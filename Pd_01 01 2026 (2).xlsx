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справ нов" sheetId="2" state="visible" r:id="rId2"/>
    <sheet xmlns:r="http://schemas.openxmlformats.org/officeDocument/2006/relationships" name="бал нов" sheetId="3" state="visible" r:id="rId3"/>
    <sheet xmlns:r="http://schemas.openxmlformats.org/officeDocument/2006/relationships" name="перевод вопроса №4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</externalReferences>
  <definedNames>
    <definedName name="________t04" hidden="1">{#N/A,#N/A,FALSE,"т04"}</definedName>
    <definedName name="________t06" hidden="1">{#N/A,#N/A,FALSE,"т04"}</definedName>
    <definedName name="______t04" hidden="1">{#N/A,#N/A,FALSE,"т04"}</definedName>
    <definedName name="______t06" hidden="1">{#N/A,#N/A,FALSE,"т04"}</definedName>
    <definedName name="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A1111" hidden="1">{"'Всего'!$A$1:$F$19"}</definedName>
    <definedName name="__A1111" hidden="1">{"'Всего'!$A$1:$F$19"}</definedName>
    <definedName name="_A1111" hidden="1">{"'Всего'!$A$1:$F$19"}</definedName>
    <definedName name="_BQ4.1" hidden="1">'[1]Total Costs'!#REF!</definedName>
    <definedName name="_BQ4.2" hidden="1">'[1]Total Costs'!#REF!</definedName>
    <definedName name="_BQ4.3" hidden="1">#REF!</definedName>
    <definedName name="_Fill" hidden="1">'[2]Subfed SpB'!$V$1:$V$49</definedName>
    <definedName name="_Key1" hidden="1">#REF!</definedName>
    <definedName name="_Order1" hidden="1">255</definedName>
    <definedName name="_Order2" hidden="1">255</definedName>
    <definedName name="_Parse_In" hidden="1">#REF!</definedName>
    <definedName name="_Sort" hidden="1">#REF!</definedName>
    <definedName name="_t04" hidden="1">{#N/A,#N/A,FALSE,"т04"}</definedName>
    <definedName name="_t06" hidden="1">{#N/A,#N/A,FALSE,"т04"}</definedName>
    <definedName name="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ccessDatabase" hidden="1">"D:\WIK\Отчеты\Планерка\2002\10\$101002_.mdb"</definedName>
    <definedName name="ajhakxja" hidden="1">{#N/A,#N/A,FALSE,"ОТЛАДКА"}</definedName>
    <definedName name="Appendix13" hidden="1">{#N/A,#N/A,TRUE,"Title";#N/A,#N/A,TRUE,"BalanceSheetAssets";#N/A,#N/A,TRUE,"BalanceSheetLiabilities";#N/A,#N/A,TRUE,"EquityControl";#N/A,#N/A,TRUE,"IncomeStatementNature";#N/A,#N/A,TRUE,"NatureByDestination";#N/A,#N/A,TRUE,"IncomeStatement";#N/A,#N/A,TRUE,"Revenue";#N/A,#N/A,TRUE,"CashFlow";#N/A,#N/A,TRUE,"PropertyPlantEquipment"}</definedName>
    <definedName name="as" hidden="1">{#N/A,#N/A,FALSE,"Tab0501";#N/A,#N/A,FALSE,"Tab0502";#N/A,#N/A,FALSE,"Tab0503";#N/A,#N/A,FALSE,"Tab0504";#N/A,#N/A,FALSE,"Tab0505"}</definedName>
    <definedName name="AS2DocOpenMode" hidden="1">"AS2DocumentEdit"</definedName>
    <definedName name="B" hidden="1">{"'Всего'!$A$1:$F$19"}</definedName>
    <definedName name="bb" hidden="1">#REF!</definedName>
    <definedName name="bp" hidden="1">{"BOP_TAB",#N/A,FALSE,"N";"MIDTERM_TAB",#N/A,FALSE,"O";"FUND_CRED",#N/A,FALSE,"P";"DEBT_TAB1",#N/A,FALSE,"Q";"DEBT_TAB2",#N/A,FALSE,"Q";"FORFIN_TAB1",#N/A,FALSE,"R";"FORFIN_TAB2",#N/A,FALSE,"R";"BOP_ANALY",#N/A,FALSE,"U"}</definedName>
    <definedName name="cc" hidden="1">#REF!</definedName>
    <definedName name="cdsqrInfo_NAME" hidden="1">[3]XLR_NoRangeSheet!$D$6</definedName>
    <definedName name="de" hidden="1">#REF!</definedName>
    <definedName name="dfgh" hidden="1">#REF!</definedName>
    <definedName name="dggs" hidden="1">#REF!</definedName>
    <definedName name="djsks" hidden="1">{#N/A,#N/A,FALSE,"NBU rates 1999"}</definedName>
    <definedName name="ee" hidden="1">#REF!</definedName>
    <definedName name="EUR">[4]Курс!$B$4</definedName>
    <definedName name="fdh" hidden="1">{"'Всего'!$A$1:$F$19"}</definedName>
    <definedName name="fdhd" hidden="1">{"'Всего'!$A$1:$F$19"}</definedName>
    <definedName name="ff" hidden="1">'[1]Total Costs'!#REF!</definedName>
    <definedName name="fg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fh" hidden="1">{#N/A,#N/A,FALSE,"NBU rates 1999"}</definedName>
    <definedName name="fhg" hidden="1">{"'Всего'!$A$1:$F$19"}</definedName>
    <definedName name="fj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garyneu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g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j" hidden="1">{#N/A,#N/A,TRUE,"Tab0201";#N/A,#N/A,TRUE,"Tab0202";#N/A,#N/A,TRUE,"Tab0203"}</definedName>
    <definedName name="gs" hidden="1">{#N/A,#N/A,FALSE,"NBU rates 1999"}</definedName>
    <definedName name="hj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hjh" hidden="1">{#N/A,#N/A,FALSE,"NBU rates 1999"}</definedName>
    <definedName name="hjk" hidden="1">{#N/A,#N/A,TRUE,"Tab0201";#N/A,#N/A,TRUE,"Tab0202";#N/A,#N/A,TRUE,"Tab0203"}</definedName>
    <definedName name="HTML_CodePage" hidden="1">1251</definedName>
    <definedName name="HTML_contr" hidden="1">{"'Всего'!$A$1:$F$19"}</definedName>
    <definedName name="Html_contro" hidden="1">{"'Всего'!$A$1:$F$19"}</definedName>
    <definedName name="HTML_Control" hidden="1">{"'Всего'!$A$1:$F$19"}</definedName>
    <definedName name="HTML_Control_1" hidden="1">{"'Всего'!$A$1:$F$19"}</definedName>
    <definedName name="HTML_Control_2" hidden="1">{"'Всего'!$A$1:$F$19"}</definedName>
    <definedName name="HTML_Control_3" hidden="1">{"'Всего'!$A$1:$F$19"}</definedName>
    <definedName name="HTML_Control_4" hidden="1">{"'Всего'!$A$1:$F$19"}</definedName>
    <definedName name="HTML_Control1" hidden="1">{"'Всего'!$A$1:$F$19"}</definedName>
    <definedName name="HTML_Description" hidden="1">""</definedName>
    <definedName name="HTML_Email" hidden="1">""</definedName>
    <definedName name="HTML_Header" hidden="1">"Всего"</definedName>
    <definedName name="HTML_LastUpdate" hidden="1">"02.03.2001"</definedName>
    <definedName name="HTML_LineAfter" hidden="1">TRUE</definedName>
    <definedName name="HTML_LineBefore" hidden="1">TRUE</definedName>
    <definedName name="HTML_Name" hidden="1">"Олег Радченко"</definedName>
    <definedName name="HTML_OBDlg2" hidden="1">TRUE</definedName>
    <definedName name="HTML_OBDlg4" hidden="1">TRUE</definedName>
    <definedName name="HTML_OS" hidden="1">0</definedName>
    <definedName name="HTML_PathFile" hidden="1">"C:\WINNT\Profiles\OLegR\Рабочий стол\MyHTML.htm"</definedName>
    <definedName name="HTML_Title" hidden="1">"Расчет налога на прибыль"</definedName>
    <definedName name="I" hidden="1">[5]PL!#REF!</definedName>
    <definedName name="igu" hidden="1">{"'Всего'!$A$1:$F$19"}</definedName>
    <definedName name="ii" hidden="1">#REF!</definedName>
    <definedName name="jd" hidden="1">{"'Всего'!$A$1:$F$19"}</definedName>
    <definedName name="jf" hidden="1">{"'Всего'!$A$1:$F$19"}</definedName>
    <definedName name="jgjhg" hidden="1">#REF!</definedName>
    <definedName name="jklkj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jljhkl" hidden="1">{#N/A,#N/A,FALSE,"т17-1банки (2)"}</definedName>
    <definedName name="k" hidden="1">{"'Всего'!$A$1:$F$19"}</definedName>
    <definedName name="ki" hidden="1">{#N/A,#N/A,FALSE,"NBU rates 1999"}</definedName>
    <definedName name="kjl" hidden="1">{#N/A,#N/A,FALSE,"Tab0501";#N/A,#N/A,FALSE,"Tab0502";#N/A,#N/A,FALSE,"Tab0503";#N/A,#N/A,FALSE,"Tab0504";#N/A,#N/A,FALSE,"Tab0505"}</definedName>
    <definedName name="kk" hidden="1">'[1]Total Costs'!#REF!</definedName>
    <definedName name="ld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lkj" hidden="1">{"'Всего'!$A$1:$F$19"}</definedName>
    <definedName name="ll" hidden="1">#REF!</definedName>
    <definedName name="lo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m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mmm" hidden="1">{"'Всего'!$A$1:$F$19"}</definedName>
    <definedName name="mn" hidden="1">{"'Всего'!$A$1:$F$19"}</definedName>
    <definedName name="new" hidden="1">{"'Всего'!$A$1:$F$19"}</definedName>
    <definedName name="nn" hidden="1">#REF!</definedName>
    <definedName name="NOK">[4]Курс!$B$10</definedName>
    <definedName name="od" hidden="1">{#N/A,#N/A,FALSE,"NBU rates 1999"}</definedName>
    <definedName name="oo" hidden="1">#REF!</definedName>
    <definedName name="PL_БРК_сокр" hidden="1">{#N/A,#N/A,FALSE,"т04"}</definedName>
    <definedName name="pp" hidden="1">#REF!</definedName>
    <definedName name="PwC" hidden="1">{#N/A,#N/A,FALSE,"NBU rates 1999"}</definedName>
    <definedName name="PwC_1" hidden="1">{#N/A,#N/A,FALSE,"NBU rates 1999"}</definedName>
    <definedName name="PwC_2" hidden="1">{#N/A,#N/A,FALSE,"NBU rates 1999"}</definedName>
    <definedName name="PwC_3" hidden="1">{#N/A,#N/A,FALSE,"NBU rates 1999"}</definedName>
    <definedName name="PwC_4" hidden="1">{#N/A,#N/A,FALSE,"NBU rates 1999"}</definedName>
    <definedName name="q" hidden="1">{#N/A,#N/A,FALSE,"т02бд"}</definedName>
    <definedName name="qef" hidden="1">#REF!</definedName>
    <definedName name="qf" hidden="1">{"'Всего'!$A$1:$F$19"}</definedName>
    <definedName name="qq" hidden="1">#REF!</definedName>
    <definedName name="qq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qwfe" hidden="1">#REF!</definedName>
    <definedName name="qwqw" hidden="1">{#N/A,#N/A,FALSE,"ОТЛАДКА"}</definedName>
    <definedName name="rrr" hidden="1">{#N/A,#N/A,FALSE,"NBU rates 1999"}</definedName>
    <definedName name="rtte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rtyu" hidden="1">{"'Всего'!$A$1:$F$19"}</definedName>
    <definedName name="SAPBEXhrIndnt" hidden="1">1</definedName>
    <definedName name="SAPBEXrevision" hidden="1">1</definedName>
    <definedName name="SAPBEXsysID" hidden="1">"BPC"</definedName>
    <definedName name="SAPBEXwbID" hidden="1">"424YQWDV76GY1AK03TG0PXUNI"</definedName>
    <definedName name="sas" hidden="1">{"'Всего'!$A$1:$F$19"}</definedName>
    <definedName name="sdsss" hidden="1">#REF!</definedName>
    <definedName name="sencount" hidden="1">2</definedName>
    <definedName name="sg" hidden="1">{#N/A,#N/A,FALSE,"NBU rates 1999"}</definedName>
    <definedName name="solver_lhs1" hidden="1">#REF!</definedName>
    <definedName name="solver_lhs2" hidden="1">#REF!</definedName>
    <definedName name="solver_lhs3" hidden="1">#REF!</definedName>
    <definedName name="solver_rel1" hidden="1">3</definedName>
    <definedName name="solver_rel2" hidden="1">3</definedName>
    <definedName name="solver_rel3" hidden="1">3</definedName>
    <definedName name="solver_rhs1" hidden="1">0</definedName>
    <definedName name="solver_rhs2" hidden="1">0</definedName>
    <definedName name="solver_rhs3" hidden="1">0</definedName>
    <definedName name="solver_sho" hidden="1">2</definedName>
    <definedName name="StudiaforTNK" hidden="1">{#N/A,#N/A,TRUE,"Пресса";#N/A,#N/A,TRUE,"Метро";#N/A,#N/A,TRUE,"Щиты";#N/A,#N/A,TRUE,"График";#N/A,#N/A,TRUE,"График"}</definedName>
    <definedName name="t" hidden="1">{#N/A,#N/A,FALSE,"NBU rates 1999"}</definedName>
    <definedName name="t05n" hidden="1">{#N/A,#N/A,FALSE,"т04"}</definedName>
    <definedName name="t05nn" hidden="1">{#N/A,#N/A,FALSE,"т04"}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xtRefCopyRangeCount" hidden="1">16</definedName>
    <definedName name="tmp" hidden="1">{#N/A,#N/A,FALSE,"NBU rates 1999"}</definedName>
    <definedName name="tmp_1" hidden="1">{#N/A,#N/A,FALSE,"NBU rates 1999"}</definedName>
    <definedName name="tmp_2" hidden="1">{#N/A,#N/A,FALSE,"NBU rates 1999"}</definedName>
    <definedName name="tmp_3" hidden="1">{#N/A,#N/A,FALSE,"NBU rates 1999"}</definedName>
    <definedName name="tmp_4" hidden="1">{#N/A,#N/A,FALSE,"NBU rates 1999"}</definedName>
    <definedName name="tt" hidden="1">{#N/A,#N/A,FALSE,"ОТЛАДКА"}</definedName>
    <definedName name="ttt" hidden="1">{#N/A,#N/A,FALSE,"NBU rates 1999"}</definedName>
    <definedName name="u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USD">[4]Курс!$B$3</definedName>
    <definedName name="uu" hidden="1">#REF!</definedName>
    <definedName name="v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vv" hidden="1">#REF!</definedName>
    <definedName name="wer" hidden="1">{#N/A,#N/A,FALSE,"NBU rates 1999"}</definedName>
    <definedName name="wrn.04." hidden="1">{#N/A,#N/A,FALSE,"т02бд"}</definedName>
    <definedName name="wrn.22." hidden="1">{#N/A,#N/A,FALSE,"ОТЛАДКА"}</definedName>
    <definedName name="wrn.astek." hidden="1">{#N/A,#N/A,TRUE,"Пресса";#N/A,#N/A,TRUE,"Метро";#N/A,#N/A,TRUE,"Щиты";#N/A,#N/A,TRUE,"График";#N/A,#N/A,TRUE,"График"}</definedName>
    <definedName name="wrn.BOP_MIDTERM." hidden="1">{"BOP_TAB",#N/A,FALSE,"N";"MIDTERM_TAB",#N/A,FALSE,"O"}</definedName>
    <definedName name="wrn.ex." hidden="1">{#N/A,#N/A,FALSE,"NBU rates 1999"}</definedName>
    <definedName name="wrn.ex._1" hidden="1">{#N/A,#N/A,FALSE,"NBU rates 1999"}</definedName>
    <definedName name="wrn.ex._2" hidden="1">{#N/A,#N/A,FALSE,"NBU rates 1999"}</definedName>
    <definedName name="wrn.ex._3" hidden="1">{#N/A,#N/A,FALSE,"NBU rates 1999"}</definedName>
    <definedName name="wrn.ex._4" hidden="1">{#N/A,#N/A,FALSE,"NBU rates 1999"}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onthly._.Report." hidden="1">{#N/A,#N/A,TRUE,"Title";#N/A,#N/A,TRUE,"BalanceSheetAssets";#N/A,#N/A,TRUE,"BalanceSheetLiabilities";#N/A,#N/A,TRUE,"EquityControl";#N/A,#N/A,TRUE,"IncomeStatementNature";#N/A,#N/A,TRUE,"NatureByDestination";#N/A,#N/A,TRUE,"IncomeStatement";#N/A,#N/A,TRUE,"Revenue";#N/A,#N/A,TRUE,"CashFlow";#N/A,#N/A,TRUE,"PropertyPlantEquipment"}</definedName>
    <definedName name="wrn.Output._.tables." hidden="1">{#N/A,#N/A,FALSE,"I";#N/A,#N/A,FALSE,"J";#N/A,#N/A,FALSE,"K";#N/A,#N/A,FALSE,"L";#N/A,#N/A,FALSE,"M";#N/A,#N/A,FALSE,"N";#N/A,#N/A,FALSE,"O"}</definedName>
    <definedName name="wrn.PL._.Report." hidden="1">{"Page1",#N/A,TRUE,"P&amp;LREP";"PAge 2",#N/A,TRUE,"P&amp;LREP";"Page3",#N/A,TRUE,"P&amp;LREP";"Page4",#N/A,TRUE,"P&amp;LREP"}</definedName>
    <definedName name="wrn.pq98o2a.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resentační._.sestava.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wrn.Quartely._.Report." hidden="1">{#N/A,#N/A,TRUE,"Title";#N/A,#N/A,TRUE,"BalanceSheetAssets";#N/A,#N/A,TRUE,"BalanceSheetLiabilities";#N/A,#N/A,TRUE,"EquityControl";#N/A,#N/A,TRUE,"IncomeStatementNature";#N/A,#N/A,TRUE,"NatureByDestination";#N/A,#N/A,TRUE,"IncomeStatement";#N/A,#N/A,TRUE,"Revenue";#N/A,#N/A,TRUE,"CashFlow";#N/A,#N/A,TRUE,"PropertyPlantEquipment";#N/A,#N/A,TRUE,"Lease";#N/A,#N/A,TRUE,"IntangibleAssets";#N/A,#N/A,TRUE,"CashEquivalent";#N/A,#N/A,TRUE,"AccountsReceivable";#N/A,#N/A,TRUE,"Interco";#N/A,#N/A,TRUE,"DetailOfAccounts";#N/A,#N/A,TRUE,"GeographicInfo";#N/A,#N/A,TRUE,"FinancialRevenue"}</definedName>
    <definedName name="wrn.RISIFE40.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wrn.Tab02." hidden="1">{#N/A,#N/A,TRUE,"Tab0201";#N/A,#N/A,TRUE,"Tab0202";#N/A,#N/A,TRUE,"Tab0203"}</definedName>
    <definedName name="wrn.tab05." hidden="1">{#N/A,#N/A,FALSE,"Tab0501";#N/A,#N/A,FALSE,"Tab0502";#N/A,#N/A,FALSE,"Tab0503";#N/A,#N/A,FALSE,"Tab0504";#N/A,#N/A,FALSE,"Tab0505"}</definedName>
    <definedName name="wrn.WEO." hidden="1">{"WEO",#N/A,FALSE,"T"}</definedName>
    <definedName name="wrn.Yearly._.Report." hidden="1">{#N/A,#N/A,TRUE,"Title";#N/A,#N/A,TRUE,"ControlSheet";#N/A,#N/A,TRUE,"BalanceSheetAssets";#N/A,#N/A,TRUE,"BalanceSheetLiabilities";#N/A,#N/A,TRUE,"EquityControl";#N/A,#N/A,TRUE,"IncomeStatementNature";#N/A,#N/A,TRUE,"NatureByDestination";#N/A,#N/A,TRUE,"IncomeStatement";#N/A,#N/A,TRUE,"Revenue";#N/A,#N/A,TRUE,"CashFlow";#N/A,#N/A,TRUE,"PropertyPlantEquipment";#N/A,#N/A,TRUE,"Lease";#N/A,#N/A,TRUE,"IntangibleAssets";#N/A,#N/A,TRUE,"CashEquivalent";#N/A,#N/A,TRUE,"AccountsReceivable";#N/A,#N/A,TRUE,"Interco";#N/A,#N/A,TRUE,"IncomeTaxes";#N/A,#N/A,TRUE,"DetailOfAccounts";#N/A,#N/A,TRUE,"RetirementPension";#N/A,#N/A,TRUE,"GeographicInfo";#N/A,#N/A,TRUE,"Depreciation";#N/A,#N/A,TRUE,"FinancialRevenue";#N/A,#N/A,TRUE,"PersonnelCost";#N/A,#N/A,TRUE,"Contingencies";#N/A,#N/A,TRUE,"UnadjustedDifferences"}</definedName>
    <definedName name="wrn.д02." hidden="1">{#N/A,#N/A,FALSE,"т02бд"}</definedName>
    <definedName name="wrn.т171банки." hidden="1">{#N/A,#N/A,FALSE,"т17-1банки (2)"}</definedName>
    <definedName name="ww" hidden="1">#REF!</definedName>
    <definedName name="xxx" hidden="1">'[1]Total Costs'!#REF!</definedName>
    <definedName name="yui" hidden="1">{"'Всего'!$A$1:$F$19"}</definedName>
    <definedName name="z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Z_08E7AB65_DA52_484E_B9C0_6C2CB618839F_.wvu.PrintArea" hidden="1">#REF!</definedName>
    <definedName name="Z_2FA7E934_2A07_11D3_B98F_00A0C9C75D97_.wvu.Cols" hidden="1">#REF!</definedName>
    <definedName name="Z_2FA7E934_2A07_11D3_B98F_00A0C9C75D97_.wvu.Rows" hidden="1">[6]свод!#REF!,[6]свод!#REF!,[6]свод!#REF!</definedName>
    <definedName name="Z_43335932_5DEE_11D3_8BE5_00A0C9C769AB_.wvu.Rows" hidden="1">[6]свод!#REF!,[6]свод!#REF!</definedName>
    <definedName name="Z_BB05C984_8CCC_4E85_BB6E_DCE07D9445F1_.wvu.Cols" hidden="1">[7]Фин!$G$1:$H$65536,[7]Фин!$J$1:$M$65536</definedName>
    <definedName name="Z_D3A71505_464F_11D3_8BF2_00A0C9C769DF_.wvu.Cols" hidden="1">#REF!,#REF!,#REF!,#REF!</definedName>
    <definedName name="Z_D3A71505_464F_11D3_8BF2_00A0C9C769DF_.wvu.FilterData" hidden="1">#REF!</definedName>
    <definedName name="Z_D3A71505_464F_11D3_8BF2_00A0C9C769DF_.wvu.Rows" hidden="1">#REF!</definedName>
    <definedName name="Z_DBDCEDA1_29F9_11D3_8BE4_00A0C9C76A0C_.wvu.Rows" hidden="1">[6]свод!#REF!,[6]свод!#REF!</definedName>
    <definedName name="Z1.wvu.Cols" hidden="1">[7]Фин!$G$1:$H$65536,[7]Фин!$J$1:$M$65536</definedName>
    <definedName name="zx" hidden="1">{#N/A,#N/A,TRUE,"Tab0201";#N/A,#N/A,TRUE,"Tab0202";#N/A,#N/A,TRUE,"Tab0203"}</definedName>
    <definedName name="zzzzzzz" hidden="1">#REF!</definedName>
    <definedName name="вваыв" hidden="1">#REF!</definedName>
    <definedName name="д" hidden="1">#REF!</definedName>
    <definedName name="дьл\" hidden="1">#REF!</definedName>
    <definedName name="е" hidden="1">{"'Всего'!$A$1:$F$19"}</definedName>
    <definedName name="ит" hidden="1">{#N/A,#N/A,FALSE,"NBU rates 1999"}</definedName>
    <definedName name="йцуцйвч" hidden="1">#REF!</definedName>
    <definedName name="лфвырларфвжыд" hidden="1">{"'Всего'!$A$1:$F$19"}</definedName>
    <definedName name="ммм" hidden="1">{"'Всего'!$A$1:$F$19"}</definedName>
    <definedName name="ммм_1" hidden="1">{"'Всего'!$A$1:$F$19"}</definedName>
    <definedName name="ммм_2" hidden="1">{"'Всего'!$A$1:$F$19"}</definedName>
    <definedName name="ммм_3" hidden="1">{"'Всего'!$A$1:$F$19"}</definedName>
    <definedName name="ммм_4" hidden="1">{"'Всего'!$A$1:$F$19"}</definedName>
    <definedName name="ннннннн" hidden="1">{"BOP_TAB",#N/A,FALSE,"N";"MIDTERM_TAB",#N/A,FALSE,"O";"FUND_CRED",#N/A,FALSE,"P";"DEBT_TAB1",#N/A,FALSE,"Q";"DEBT_TAB2",#N/A,FALSE,"Q";"FORFIN_TAB1",#N/A,FALSE,"R";"FORFIN_TAB2",#N/A,FALSE,"R";"BOP_ANALY",#N/A,FALSE,"U"}</definedName>
    <definedName name="о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РАЫРПОРЛОРФ" hidden="1">{#N/A,#N/A,FALSE,"т17-1банки (2)"}</definedName>
    <definedName name="ррпеак" hidden="1">{"MONA",#N/A,FALSE,"S"}</definedName>
    <definedName name="рррррр" hidden="1">{#N/A,#N/A,FALSE,"SimInp1";#N/A,#N/A,FALSE,"SimInp2";#N/A,#N/A,FALSE,"SimOut1";#N/A,#N/A,FALSE,"SimOut2";#N/A,#N/A,FALSE,"SimOut3";#N/A,#N/A,FALSE,"SimOut4";#N/A,#N/A,FALSE,"SimOut5"}</definedName>
    <definedName name="ршнш" hidden="1">{#N/A,#N/A,FALSE,"т17-1банки (2)"}</definedName>
    <definedName name="СВОД" hidden="1">{"'Всего'!$A$1:$F$19"}</definedName>
    <definedName name="т05" hidden="1">{#N/A,#N/A,FALSE,"т04"}</definedName>
    <definedName name="там06_2010" hidden="1">{"BOP_TAB",#N/A,FALSE,"N";"MIDTERM_TAB",#N/A,FALSE,"O";"FUND_CRED",#N/A,FALSE,"P";"DEBT_TAB1",#N/A,FALSE,"Q";"DEBT_TAB2",#N/A,FALSE,"Q";"FORFIN_TAB1",#N/A,FALSE,"R";"FORFIN_TAB2",#N/A,FALSE,"R";"BOP_ANALY",#N/A,FALSE,"U"}</definedName>
    <definedName name="тор" hidden="1">{#N/A,#N/A,TRUE,"Пресса";#N/A,#N/A,TRUE,"Метро";#N/A,#N/A,TRUE,"Щиты";#N/A,#N/A,TRUE,"График";#N/A,#N/A,TRUE,"График"}</definedName>
    <definedName name="ф" hidden="1">{"'Всего'!$A$1:$F$19"}</definedName>
    <definedName name="цууууууууууу" hidden="1">{0}</definedName>
    <definedName name="шо" hidden="1">{"'Всего'!$A$1:$F$19"}</definedName>
    <definedName name="ЫВВЫВЫВ" hidden="1">#REF!</definedName>
    <definedName name="ывфа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элд" hidden="1">{"'Всего'!$A$1:$F$19"}</definedName>
    <definedName name="_BQ4.1" localSheetId="1" hidden="1">'[1]Total Costs'!#REF!</definedName>
    <definedName name="_BQ4.2" localSheetId="1" hidden="1">'[1]Total Costs'!#REF!</definedName>
    <definedName name="_BQ4.3" localSheetId="1" hidden="1">#REF!</definedName>
    <definedName name="_Key1" localSheetId="1" hidden="1">#REF!</definedName>
    <definedName name="_Parse_In" localSheetId="1" hidden="1">#REF!</definedName>
    <definedName name="_Sort" localSheetId="1" hidden="1">#REF!</definedName>
    <definedName name="bb" localSheetId="1" hidden="1">#REF!</definedName>
    <definedName name="cc" localSheetId="1" hidden="1">#REF!</definedName>
    <definedName name="de" localSheetId="1" hidden="1">#REF!</definedName>
    <definedName name="dfgh" localSheetId="1" hidden="1">#REF!</definedName>
    <definedName name="dggs" localSheetId="1" hidden="1">#REF!</definedName>
    <definedName name="ee" localSheetId="1" hidden="1">#REF!</definedName>
    <definedName name="ff" localSheetId="1" hidden="1">'[1]Total Costs'!#REF!</definedName>
    <definedName name="I" localSheetId="1" hidden="1">[5]PL!#REF!</definedName>
    <definedName name="ii" localSheetId="1" hidden="1">#REF!</definedName>
    <definedName name="jgjhg" localSheetId="1" hidden="1">#REF!</definedName>
    <definedName name="kk" localSheetId="1" hidden="1">'[1]Total Costs'!#REF!</definedName>
    <definedName name="ll" localSheetId="1" hidden="1">#REF!</definedName>
    <definedName name="nn" localSheetId="1" hidden="1">#REF!</definedName>
    <definedName name="oo" localSheetId="1" hidden="1">#REF!</definedName>
    <definedName name="pp" localSheetId="1" hidden="1">#REF!</definedName>
    <definedName name="qef" localSheetId="1" hidden="1">#REF!</definedName>
    <definedName name="qq" localSheetId="1" hidden="1">#REF!</definedName>
    <definedName name="qqwfe" localSheetId="1" hidden="1">#REF!</definedName>
    <definedName name="sdsss" localSheetId="1" hidden="1">#REF!</definedName>
    <definedName name="solver_lhs1" localSheetId="1" hidden="1">#REF!</definedName>
    <definedName name="solver_lhs2" localSheetId="1" hidden="1">#REF!</definedName>
    <definedName name="solver_lhs3" localSheetId="1" hidden="1">#REF!</definedName>
    <definedName name="uu" localSheetId="1" hidden="1">#REF!</definedName>
    <definedName name="vv" localSheetId="1" hidden="1">#REF!</definedName>
    <definedName name="ww" localSheetId="1" hidden="1">#REF!</definedName>
    <definedName name="xxx" localSheetId="1" hidden="1">'[1]Total Costs'!#REF!</definedName>
    <definedName name="Z_08E7AB65_DA52_484E_B9C0_6C2CB618839F_.wvu.PrintArea" localSheetId="1" hidden="1">#REF!</definedName>
    <definedName name="Z_2FA7E934_2A07_11D3_B98F_00A0C9C75D97_.wvu.Cols" localSheetId="1" hidden="1">#REF!</definedName>
    <definedName name="Z_2FA7E934_2A07_11D3_B98F_00A0C9C75D97_.wvu.Rows" localSheetId="1" hidden="1">[6]свод!#REF!,[6]свод!#REF!,[6]свод!#REF!</definedName>
    <definedName name="Z_43335932_5DEE_11D3_8BE5_00A0C9C769AB_.wvu.Rows" localSheetId="1" hidden="1">[6]свод!#REF!,[6]свод!#REF!</definedName>
    <definedName name="Z_D3A71505_464F_11D3_8BF2_00A0C9C769DF_.wvu.Cols" localSheetId="1" hidden="1">#REF!,#REF!,#REF!,#REF!</definedName>
    <definedName name="Z_D3A71505_464F_11D3_8BF2_00A0C9C769DF_.wvu.FilterData" localSheetId="1" hidden="1">#REF!</definedName>
    <definedName name="Z_D3A71505_464F_11D3_8BF2_00A0C9C769DF_.wvu.Rows" localSheetId="1" hidden="1">#REF!</definedName>
    <definedName name="Z_DBDCEDA1_29F9_11D3_8BE4_00A0C9C76A0C_.wvu.Rows" localSheetId="1" hidden="1">[6]свод!#REF!,[6]свод!#REF!</definedName>
    <definedName name="zzzzzzz" localSheetId="1" hidden="1">#REF!</definedName>
    <definedName name="вваыв" localSheetId="1" hidden="1">#REF!</definedName>
    <definedName name="д" localSheetId="1" hidden="1">#REF!</definedName>
    <definedName name="дьл\" localSheetId="1" hidden="1">#REF!</definedName>
    <definedName name="йцуцйвч" localSheetId="1" hidden="1">#REF!</definedName>
    <definedName name="ЫВВЫВЫВ" localSheetId="1" hidden="1">#REF!</definedName>
    <definedName name="_xlnm._FilterDatabase" localSheetId="1" hidden="1">'справ нов'!$C$1:$N$21</definedName>
  </definedNames>
  <calcPr calcId="191029" calcMode="manual" fullCalcOnLoad="1" calcCompleted="0" calcOnSave="0"/>
</workbook>
</file>

<file path=xl/styles.xml><?xml version="1.0" encoding="utf-8"?>
<styleSheet xmlns="http://schemas.openxmlformats.org/spreadsheetml/2006/main">
  <numFmts count="6">
    <numFmt numFmtId="164" formatCode="#,##0.000"/>
    <numFmt numFmtId="165" formatCode="0.0"/>
    <numFmt numFmtId="166" formatCode="0.0%"/>
    <numFmt numFmtId="167" formatCode="YYYY-MM-DD"/>
    <numFmt numFmtId="168" formatCode="YYYY-MM-DD HH:MM:SS"/>
    <numFmt numFmtId="169" formatCode="yyyy-mm-dd h:mm:ss"/>
  </numFmts>
  <fonts count="12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FF0000"/>
      <sz val="11"/>
      <scheme val="minor"/>
    </font>
    <font>
      <name val="Consolas"/>
      <charset val="204"/>
      <family val="3"/>
      <color rgb="FF203864"/>
      <sz val="9.5"/>
      <u val="single"/>
    </font>
    <font>
      <name val="Calibri"/>
      <charset val="204"/>
      <family val="2"/>
      <sz val="11"/>
      <scheme val="minor"/>
    </font>
    <font>
      <name val="Arial"/>
      <charset val="204"/>
      <family val="2"/>
      <color rgb="FF5E5E5E"/>
      <sz val="10"/>
    </font>
    <font>
      <name val="Arial"/>
      <charset val="204"/>
      <family val="2"/>
      <color rgb="FF5E5E5E"/>
      <sz val="9"/>
    </font>
    <font>
      <name val="Arial"/>
      <charset val="204"/>
      <family val="2"/>
      <color rgb="FF5E5E5E"/>
      <sz val="8"/>
    </font>
    <font>
      <name val="Arial"/>
      <charset val="204"/>
      <family val="2"/>
      <color theme="1"/>
      <sz val="8"/>
    </font>
    <font>
      <name val="Calibri"/>
      <charset val="204"/>
      <family val="2"/>
      <b val="1"/>
      <color rgb="FFFF0000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EEEEEE"/>
      </top>
      <bottom/>
      <diagonal/>
    </border>
    <border>
      <left style="thin"/>
      <right style="thin"/>
      <top style="thin"/>
      <bottom style="thin"/>
    </border>
  </borders>
  <cellStyleXfs count="4">
    <xf numFmtId="0" fontId="1" fillId="0" borderId="0"/>
    <xf numFmtId="9" fontId="1" fillId="0" borderId="0"/>
    <xf numFmtId="0" fontId="1" fillId="0" borderId="0"/>
    <xf numFmtId="0" fontId="1" fillId="0" borderId="0"/>
  </cellStyleXfs>
  <cellXfs count="72">
    <xf numFmtId="0" fontId="0" fillId="0" borderId="0" pivotButton="0" quotePrefix="0" xfId="0"/>
    <xf numFmtId="14" fontId="0" fillId="0" borderId="0" pivotButton="0" quotePrefix="0" xfId="0"/>
    <xf numFmtId="11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4" fillId="3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center"/>
    </xf>
    <xf numFmtId="10" fontId="0" fillId="0" borderId="0" pivotButton="0" quotePrefix="0" xfId="1"/>
    <xf numFmtId="0" fontId="0" fillId="0" borderId="0" pivotButton="0" quotePrefix="0" xfId="0"/>
    <xf numFmtId="166" fontId="0" fillId="0" borderId="0" pivotButton="0" quotePrefix="0" xfId="1"/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10" fontId="0" fillId="5" borderId="0" pivotButton="0" quotePrefix="0" xfId="1"/>
    <xf numFmtId="166" fontId="0" fillId="7" borderId="0" pivotButton="0" quotePrefix="0" xfId="0"/>
    <xf numFmtId="14" fontId="0" fillId="0" borderId="0" pivotButton="0" quotePrefix="0" xfId="0"/>
    <xf numFmtId="11" fontId="0" fillId="0" borderId="0" pivotButton="0" quotePrefix="0" xfId="0"/>
    <xf numFmtId="0" fontId="0" fillId="7" borderId="0" applyAlignment="1" pivotButton="0" quotePrefix="0" xfId="0">
      <alignment horizontal="center"/>
    </xf>
    <xf numFmtId="0" fontId="0" fillId="8" borderId="0" pivotButton="0" quotePrefix="0" xfId="0"/>
    <xf numFmtId="0" fontId="5" fillId="0" borderId="2" applyAlignment="1" pivotButton="0" quotePrefix="0" xfId="0">
      <alignment vertical="center"/>
    </xf>
    <xf numFmtId="0" fontId="5" fillId="8" borderId="2" applyAlignment="1" pivotButton="0" quotePrefix="0" xfId="0">
      <alignment vertical="center"/>
    </xf>
    <xf numFmtId="0" fontId="4" fillId="8" borderId="0" pivotButton="0" quotePrefix="0" xfId="0"/>
    <xf numFmtId="10" fontId="0" fillId="2" borderId="0" pivotButton="0" quotePrefix="0" xfId="0"/>
    <xf numFmtId="0" fontId="5" fillId="8" borderId="0" applyAlignment="1" pivotButton="0" quotePrefix="0" xfId="0">
      <alignment vertical="center"/>
    </xf>
    <xf numFmtId="2" fontId="0" fillId="0" borderId="0" applyAlignment="1" pivotButton="0" quotePrefix="0" xfId="0">
      <alignment wrapText="1"/>
    </xf>
    <xf numFmtId="0" fontId="2" fillId="0" borderId="0" pivotButton="0" quotePrefix="0" xfId="0"/>
    <xf numFmtId="0" fontId="4" fillId="0" borderId="0" pivotButton="0" quotePrefix="0" xfId="0"/>
    <xf numFmtId="1" fontId="4" fillId="3" borderId="0" pivotButton="0" quotePrefix="0" xfId="0"/>
    <xf numFmtId="0" fontId="0" fillId="0" borderId="0" applyAlignment="1" pivotButton="0" quotePrefix="0" xfId="0">
      <alignment horizontal="left" vertical="top" wrapText="1"/>
    </xf>
    <xf numFmtId="4" fontId="0" fillId="6" borderId="0" pivotButton="0" quotePrefix="0" xfId="0"/>
    <xf numFmtId="0" fontId="5" fillId="0" borderId="2" applyAlignment="1" pivotButton="0" quotePrefix="0" xfId="0">
      <alignment vertical="top" wrapText="1"/>
    </xf>
    <xf numFmtId="0" fontId="5" fillId="8" borderId="2" applyAlignment="1" pivotButton="0" quotePrefix="0" xfId="0">
      <alignment vertical="top" wrapText="1"/>
    </xf>
    <xf numFmtId="0" fontId="6" fillId="9" borderId="2" applyAlignment="1" pivotButton="0" quotePrefix="0" xfId="0">
      <alignment vertical="center"/>
    </xf>
    <xf numFmtId="0" fontId="7" fillId="9" borderId="2" applyAlignment="1" pivotButton="0" quotePrefix="0" xfId="0">
      <alignment vertical="center"/>
    </xf>
    <xf numFmtId="0" fontId="8" fillId="9" borderId="0" pivotButton="0" quotePrefix="0" xfId="2"/>
    <xf numFmtId="0" fontId="0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/>
    </xf>
    <xf numFmtId="0" fontId="8" fillId="0" borderId="0" pivotButton="0" quotePrefix="0" xfId="2"/>
    <xf numFmtId="0" fontId="4" fillId="6" borderId="0" pivotButton="0" quotePrefix="0" xfId="0"/>
    <xf numFmtId="0" fontId="0" fillId="6" borderId="0" applyAlignment="1" pivotButton="0" quotePrefix="0" xfId="0">
      <alignment horizontal="left"/>
    </xf>
    <xf numFmtId="0" fontId="1" fillId="0" borderId="0" pivotButton="0" quotePrefix="0" xfId="3"/>
    <xf numFmtId="0" fontId="2" fillId="0" borderId="0" pivotButton="0" quotePrefix="0" xfId="0"/>
    <xf numFmtId="1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4" fontId="0" fillId="2" borderId="0" pivotButton="0" quotePrefix="0" xfId="0"/>
    <xf numFmtId="1" fontId="0" fillId="2" borderId="0" pivotButton="0" quotePrefix="0" xfId="0"/>
    <xf numFmtId="14" fontId="2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/>
    </xf>
    <xf numFmtId="0" fontId="0" fillId="10" borderId="0" pivotButton="0" quotePrefix="0" xfId="0"/>
    <xf numFmtId="0" fontId="10" fillId="0" borderId="0" pivotButton="0" quotePrefix="0" xfId="0"/>
    <xf numFmtId="10" fontId="0" fillId="0" borderId="0" pivotButton="0" quotePrefix="0" xfId="0"/>
    <xf numFmtId="10" fontId="0" fillId="10" borderId="0" pivotButton="0" quotePrefix="0" xfId="0"/>
    <xf numFmtId="10" fontId="0" fillId="7" borderId="0" pivotButton="0" quotePrefix="0" xfId="0"/>
    <xf numFmtId="1" fontId="0" fillId="0" borderId="0" pivotButton="0" quotePrefix="0" xfId="0"/>
    <xf numFmtId="0" fontId="0" fillId="11" borderId="0" applyAlignment="1" pivotButton="0" quotePrefix="0" xfId="0">
      <alignment horizontal="center"/>
    </xf>
    <xf numFmtId="0" fontId="0" fillId="11" borderId="0" pivotButton="0" quotePrefix="0" xfId="0"/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12" borderId="0" pivotButton="0" quotePrefix="0" xfId="0"/>
    <xf numFmtId="0" fontId="11" fillId="0" borderId="3" applyAlignment="1" pivotButton="0" quotePrefix="0" xfId="0">
      <alignment horizontal="center" vertical="top"/>
    </xf>
    <xf numFmtId="167" fontId="0" fillId="0" borderId="0" pivotButton="0" quotePrefix="0" xfId="0"/>
    <xf numFmtId="168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4">
    <cellStyle name="Звичайний" xfId="0" builtinId="0"/>
    <cellStyle name="Відсотковий" xfId="1" builtinId="5"/>
    <cellStyle name="Обычный 5" xfId="2"/>
    <cellStyle name="Обычный 2" xfId="3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externalLink" Target="/xl/externalLinks/externalLink5.xml" Id="rId9"/><Relationship Type="http://schemas.openxmlformats.org/officeDocument/2006/relationships/externalLink" Target="/xl/externalLinks/externalLink6.xml" Id="rId10"/><Relationship Type="http://schemas.openxmlformats.org/officeDocument/2006/relationships/externalLink" Target="/xl/externalLinks/externalLink7.xml" Id="rId11"/><Relationship Type="http://schemas.openxmlformats.org/officeDocument/2006/relationships/externalLink" Target="/xl/externalLinks/externalLink8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A:\Finance\MANACC\Budget00\Costs\costsummTEMP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fuib.com\kho\Documents%20and%20Settings\aandreev\Application%20Data\Microsoft\Excel\XLSTART\Skzhfi1\Users\IAS%2001.07.02\Conversion\Sec_Quotes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fuib.com\kho\My%20Documents\PROJECTS\TAS\Audit%20Final\TAS%20Invest\Yield%20analysis\PBC%20Yield\&#1087;.78++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fuib.com\kho\UKA.DRKK_NBU\Credit%20Risk\2018.09.01\Svod_01.09.2018_351_new_v7_PD_&#1073;&#1072;&#1083;&#1083;.xlsb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N125001001\users\can\My%20Documents\DNB\AUGUST%2002%20MONTHEND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fuib.com\kho\My%20Clients\UkrSib%20Bank\1Q%202008\My%20workings\Interbank\&#1076;&#1077;&#1087;&#1086;&#1079;&#1080;&#1090;&#1099;%20&#1102;&#1088;&#1083;&#1080;&#1094;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fuib.com\kho\RSBANK\REPORT\FIN_RES\CURRENT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fuib.com\kho\VAZ\&#1050;&#1088;&#1077;&#1076;&#1080;&#1090;&#1085;&#1080;&#1081;%20&#1088;&#1080;&#1079;&#1080;&#1082;\2025\2025.12.01\PD%2012\Pd_01%2012%202025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BusinessQuery#"/>
      <sheetName val="Total Costs"/>
      <sheetName val="Total Costs (2)"/>
      <sheetName val="Sheet1"/>
      <sheetName val="Sheet2"/>
      <sheetName val="Sheet3"/>
      <sheetName val="Versions_PL2"/>
      <sheetName val="список"/>
      <sheetName val="Лист1"/>
      <sheetName val="Слайд 1"/>
      <sheetName val="Лист5"/>
      <sheetName val="Выпадающий список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Выпадающий списо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VG rates PBC"/>
      <sheetName val="XLR_NoRangeSheet"/>
      <sheetName val="AVG_rates_PBC"/>
      <sheetName val="справочники"/>
    </sheetNames>
    <sheetDataSet>
      <sheetData sheetId="0" refreshError="1"/>
      <sheetData sheetId="1" refreshError="1">
        <row r="6">
          <cell r="D6" t="str">
            <v>Середньозважені відсоткові ставки за активами та зобов’язаннями</v>
          </cell>
        </row>
      </sheetData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Для сценария"/>
      <sheetName val="протокол"/>
      <sheetName val="балансы"/>
      <sheetName val="пров"/>
      <sheetName val="svod"/>
      <sheetName val="Залог"/>
      <sheetName val="Cпр_кл"/>
      <sheetName val="GR"/>
      <sheetName val="GR_r"/>
      <sheetName val="Курс"/>
      <sheetName val="Спр_ФКР"/>
      <sheetName val="Спр_зал"/>
      <sheetName val="PD"/>
      <sheetName val="бал"/>
      <sheetName val="банкрот"/>
      <sheetName val="Списания"/>
      <sheetName val="data"/>
      <sheetName val="old"/>
      <sheetName val="по 10 кл"/>
      <sheetName val="залоги"/>
      <sheetName val="товар"/>
      <sheetName val="кред без залого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B3">
            <v>28.279437000000001</v>
          </cell>
        </row>
        <row r="4">
          <cell r="B4">
            <v>33.064318</v>
          </cell>
        </row>
        <row r="10">
          <cell r="B10">
            <v>3.4016790000000001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8023"/>
      <sheetName val="8011"/>
      <sheetName val="liq"/>
      <sheetName val="cash pledge"/>
      <sheetName val="25% TESTING"/>
      <sheetName val="PL"/>
      <sheetName val="BS"/>
      <sheetName val="INT ON EQUIVALENT"/>
      <sheetName val="FIXED ASSETS"/>
      <sheetName val="8001"/>
      <sheetName val="8025"/>
      <sheetName val="TRANSACTION DETAILS"/>
      <sheetName val="DAILY DOWNLOAD"/>
      <sheetName val="MONTH END ADJUSTMENTS "/>
      <sheetName val="INT GAP"/>
      <sheetName val="fixed costs"/>
      <sheetName val="pl adjustments"/>
      <sheetName val="PL RAW DATA"/>
      <sheetName val="fx rates"/>
      <sheetName val="SWAPS"/>
      <sheetName val="CUSTOMERS"/>
      <sheetName val="COMISSIONS"/>
      <sheetName val="Sheet 1"/>
      <sheetName val="XLR_NoRangeSheet"/>
      <sheetName val="cash_pledge"/>
      <sheetName val="25%_TESTING"/>
      <sheetName val="INT_ON_EQUIVALENT"/>
      <sheetName val="FIXED_ASSETS"/>
      <sheetName val="TRANSACTION_DETAILS"/>
      <sheetName val="DAILY_DOWNLOAD"/>
      <sheetName val="MONTH_END_ADJUSTMENTS_"/>
      <sheetName val="INT_GAP"/>
      <sheetName val="fixed_costs"/>
      <sheetName val="pl_adjustments"/>
      <sheetName val="PL_RAW_DATA"/>
      <sheetName val="fx_rates"/>
      <sheetName val="Sheet_1"/>
      <sheetName val="cash_pledge1"/>
      <sheetName val="25%_TESTING1"/>
      <sheetName val="INT_ON_EQUIVALENT1"/>
      <sheetName val="FIXED_ASSETS1"/>
      <sheetName val="TRANSACTION_DETAILS1"/>
      <sheetName val="DAILY_DOWNLOAD1"/>
      <sheetName val="MONTH_END_ADJUSTMENTS_1"/>
      <sheetName val="INT_GAP1"/>
      <sheetName val="fixed_costs1"/>
      <sheetName val="pl_adjustments1"/>
      <sheetName val="PL_RAW_DATA1"/>
      <sheetName val="fx_rates1"/>
      <sheetName val="Sheet_11"/>
      <sheetName val="W2"/>
      <sheetName val="UnadjB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gfli"/>
      <sheetName val="свод"/>
      <sheetName val="LS"/>
      <sheetName val="Analysis"/>
      <sheetName val="DL as at 31.3.8"/>
      <sheetName val="Anal 1.1.8"/>
      <sheetName val="DS as at 1.1.8"/>
      <sheetName val="BS"/>
      <sheetName val="PL"/>
      <sheetName val="депозиты юрли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Всего"/>
      <sheetName val="ВсегоП"/>
      <sheetName val="Фин"/>
      <sheetName val="Налог"/>
      <sheetName val="НалогП"/>
      <sheetName val="Аморт"/>
      <sheetName val="РаспрП"/>
      <sheetName val="Правки"/>
      <sheetName val="Распр"/>
      <sheetName val="!"/>
      <sheetName val="Лист1"/>
      <sheetName val="Лист3"/>
      <sheetName val="Лист2"/>
      <sheetName val="юрлица"/>
      <sheetName val="TbrPMA"/>
      <sheetName val="Param"/>
      <sheetName val="FeuilPMA_Retrieve"/>
      <sheetName val="DSS pôle - détail par segment"/>
      <sheetName val="???"/>
      <sheetName val="свод"/>
      <sheetName val="Sheet5"/>
      <sheetName val="DSS pole - detail par segment"/>
      <sheetName val="Список банків"/>
      <sheetName val="Довідник Галузі"/>
      <sheetName val="Довідник Модель"/>
      <sheetName val="Paramètres"/>
      <sheetName val="Process SMC"/>
      <sheetName val="tbbs"/>
      <sheetName val="ARFs"/>
      <sheetName val="Довідник_Напрями роботи"/>
      <sheetName val="Аркуш2"/>
    </sheetNames>
    <sheetDataSet>
      <sheetData sheetId="0" refreshError="1"/>
      <sheetData sheetId="1" refreshError="1"/>
      <sheetData sheetId="2" refreshError="1">
        <row r="3">
          <cell r="G3" t="str">
            <v xml:space="preserve">Корректировки ("+" начисление, "-" списание) </v>
          </cell>
          <cell r="H3" t="str">
            <v>Бал. прибыль (после доп. списания)</v>
          </cell>
          <cell r="J3" t="str">
            <v>Финансовые доходы, (пред. день)</v>
          </cell>
          <cell r="K3" t="str">
            <v>Финансовые расходы, (пред. день)</v>
          </cell>
          <cell r="L3" t="str">
            <v>Финансовые доходы (откл.)</v>
          </cell>
          <cell r="M3" t="str">
            <v>Финансовые расходы (откл.)</v>
          </cell>
        </row>
        <row r="4">
          <cell r="H4">
            <v>0</v>
          </cell>
          <cell r="J4">
            <v>3414191</v>
          </cell>
          <cell r="K4">
            <v>3474940</v>
          </cell>
          <cell r="L4">
            <v>-3414191</v>
          </cell>
          <cell r="M4">
            <v>-3474940</v>
          </cell>
        </row>
        <row r="5">
          <cell r="H5">
            <v>0</v>
          </cell>
          <cell r="J5">
            <v>2135607</v>
          </cell>
          <cell r="K5">
            <v>2090314</v>
          </cell>
          <cell r="L5">
            <v>-2135607</v>
          </cell>
          <cell r="M5">
            <v>-2090314</v>
          </cell>
        </row>
        <row r="6">
          <cell r="H6">
            <v>0</v>
          </cell>
          <cell r="J6">
            <v>1667913</v>
          </cell>
          <cell r="K6">
            <v>1529567</v>
          </cell>
          <cell r="L6">
            <v>-1667913</v>
          </cell>
          <cell r="M6">
            <v>-1529567</v>
          </cell>
        </row>
        <row r="7">
          <cell r="H7">
            <v>0</v>
          </cell>
          <cell r="J7">
            <v>2327250</v>
          </cell>
          <cell r="K7">
            <v>2299785</v>
          </cell>
          <cell r="L7">
            <v>-2327250</v>
          </cell>
          <cell r="M7">
            <v>-2299785</v>
          </cell>
        </row>
        <row r="8">
          <cell r="H8">
            <v>0</v>
          </cell>
          <cell r="J8">
            <v>785736</v>
          </cell>
          <cell r="K8">
            <v>782158</v>
          </cell>
          <cell r="L8">
            <v>-785736</v>
          </cell>
          <cell r="M8">
            <v>-782158</v>
          </cell>
        </row>
        <row r="9">
          <cell r="H9">
            <v>0</v>
          </cell>
          <cell r="J9">
            <v>699280</v>
          </cell>
          <cell r="K9">
            <v>693152</v>
          </cell>
          <cell r="L9">
            <v>-699280</v>
          </cell>
          <cell r="M9">
            <v>-693152</v>
          </cell>
        </row>
        <row r="10">
          <cell r="H10">
            <v>0</v>
          </cell>
          <cell r="J10">
            <v>697322</v>
          </cell>
          <cell r="K10">
            <v>693271</v>
          </cell>
          <cell r="L10">
            <v>-697322</v>
          </cell>
          <cell r="M10">
            <v>-693271</v>
          </cell>
        </row>
        <row r="11">
          <cell r="H11">
            <v>0</v>
          </cell>
          <cell r="J11">
            <v>2448536</v>
          </cell>
          <cell r="K11">
            <v>2150477</v>
          </cell>
          <cell r="L11">
            <v>-2448536</v>
          </cell>
          <cell r="M11">
            <v>-2150477</v>
          </cell>
        </row>
        <row r="12">
          <cell r="H12">
            <v>0</v>
          </cell>
          <cell r="K12">
            <v>26279</v>
          </cell>
          <cell r="L12">
            <v>0</v>
          </cell>
          <cell r="M12">
            <v>-26279</v>
          </cell>
        </row>
        <row r="13">
          <cell r="H13">
            <v>0</v>
          </cell>
          <cell r="J13">
            <v>93621527</v>
          </cell>
          <cell r="K13">
            <v>89226671</v>
          </cell>
          <cell r="L13">
            <v>-93621527</v>
          </cell>
          <cell r="M13">
            <v>-89226671</v>
          </cell>
        </row>
        <row r="14">
          <cell r="H14">
            <v>0</v>
          </cell>
          <cell r="J14">
            <v>3302645</v>
          </cell>
          <cell r="K14">
            <v>3101025</v>
          </cell>
          <cell r="L14">
            <v>-3302645</v>
          </cell>
          <cell r="M14">
            <v>-3101025</v>
          </cell>
        </row>
        <row r="15">
          <cell r="H15">
            <v>0</v>
          </cell>
          <cell r="J15">
            <v>901332</v>
          </cell>
          <cell r="K15">
            <v>806872</v>
          </cell>
          <cell r="L15">
            <v>-901332</v>
          </cell>
          <cell r="M15">
            <v>-806872</v>
          </cell>
        </row>
        <row r="17">
          <cell r="H17">
            <v>0</v>
          </cell>
          <cell r="K17">
            <v>184137</v>
          </cell>
          <cell r="L17">
            <v>0</v>
          </cell>
          <cell r="M17">
            <v>-184137</v>
          </cell>
        </row>
        <row r="19">
          <cell r="G19">
            <v>0</v>
          </cell>
          <cell r="H19">
            <v>0</v>
          </cell>
          <cell r="J19">
            <v>112001339</v>
          </cell>
          <cell r="K19">
            <v>107058648</v>
          </cell>
          <cell r="L19">
            <v>-112001339</v>
          </cell>
          <cell r="M19">
            <v>-107058648</v>
          </cell>
        </row>
        <row r="21">
          <cell r="H21">
            <v>0</v>
          </cell>
        </row>
        <row r="28">
          <cell r="G28">
            <v>0</v>
          </cell>
          <cell r="H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30">
          <cell r="H30">
            <v>-30951344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Dm"/>
      <sheetName val="справ нов"/>
      <sheetName val="бал нов"/>
      <sheetName val="перевод вопроса №4"/>
    </sheetNames>
    <sheetDataSet>
      <sheetData sheetId="0">
        <row r="1">
          <cell r="C1">
            <v>540</v>
          </cell>
          <cell r="F1" t="str">
            <v>Було:</v>
          </cell>
          <cell r="G1">
            <v>0.06</v>
          </cell>
          <cell r="H1">
            <v>0.06</v>
          </cell>
          <cell r="I1">
            <v>0.06</v>
          </cell>
          <cell r="J1">
            <v>0.06</v>
          </cell>
          <cell r="K1">
            <v>0.06</v>
          </cell>
          <cell r="L1">
            <v>0.06</v>
          </cell>
          <cell r="M1">
            <v>0.06</v>
          </cell>
          <cell r="N1">
            <v>4.8599999999999997E-2</v>
          </cell>
          <cell r="O1">
            <v>4.8800000000000003E-2</v>
          </cell>
          <cell r="P1">
            <v>4.8800000000000003E-2</v>
          </cell>
          <cell r="Q1">
            <v>4.8800000000000003E-2</v>
          </cell>
          <cell r="R1">
            <v>4.8800000000000003E-2</v>
          </cell>
          <cell r="S1">
            <v>4.8800000000000003E-2</v>
          </cell>
          <cell r="T1">
            <v>4.8800000000000003E-2</v>
          </cell>
          <cell r="U1">
            <v>4.8800000000000003E-2</v>
          </cell>
          <cell r="V1">
            <v>4.8800000000000003E-2</v>
          </cell>
          <cell r="W1"/>
          <cell r="X1" t="str">
            <v>Було:</v>
          </cell>
        </row>
        <row r="2">
          <cell r="C2">
            <v>45809</v>
          </cell>
        </row>
        <row r="3">
          <cell r="C3">
            <v>45269</v>
          </cell>
          <cell r="G3">
            <v>0.08</v>
          </cell>
          <cell r="H3">
            <v>0.08</v>
          </cell>
          <cell r="I3">
            <v>0.08</v>
          </cell>
          <cell r="J3">
            <v>0.08</v>
          </cell>
          <cell r="K3">
            <v>0.08</v>
          </cell>
          <cell r="L3">
            <v>0.08</v>
          </cell>
          <cell r="M3">
            <v>0.08</v>
          </cell>
          <cell r="N3">
            <v>0.06</v>
          </cell>
          <cell r="O3">
            <v>0.06</v>
          </cell>
          <cell r="P3">
            <v>0.06</v>
          </cell>
          <cell r="Q3">
            <v>0.06</v>
          </cell>
          <cell r="R3">
            <v>0.06</v>
          </cell>
          <cell r="S3"/>
          <cell r="T3"/>
          <cell r="U3"/>
          <cell r="V3"/>
          <cell r="W3"/>
        </row>
        <row r="4">
          <cell r="F4" t="str">
            <v>18 міс! 
Для 01.06.2025 -  підходит  01.12.2023 і свіжіше.</v>
          </cell>
          <cell r="G4" t="str">
            <v>Рынок, на котором работает клиент &amp; Позиция на рынке</v>
          </cell>
          <cell r="H4" t="str">
            <v>Уровень валютных рисков</v>
          </cell>
          <cell r="I4" t="str">
            <v>Уровень рисков, связанных с финансовой, инвестиционной и рыночной политикой, планами компании по долгам и инвестициям</v>
          </cell>
          <cell r="J4" t="str">
            <v>Кредитная история с банком (год получения первого продукта)</v>
          </cell>
          <cell r="K4" t="str">
            <v>Характеристика отрасли и перспективы стабильного роста</v>
          </cell>
          <cell r="L4" t="str">
            <v>Качество предоставляемой финансовой отчетности</v>
          </cell>
          <cell r="M4" t="str">
            <v>Наличие максимальной просрочки за последение 36 мес (в днях)</v>
          </cell>
          <cell r="N4" t="str">
            <v>Репутация</v>
          </cell>
          <cell r="O4" t="str">
            <v>Организационная структура и преемственность</v>
          </cell>
          <cell r="P4" t="str">
            <v>Риск дебиторской задолженности</v>
          </cell>
          <cell r="Q4" t="str">
            <v>Оценка запасов</v>
          </cell>
          <cell r="R4" t="str">
            <v>Зависимость Заемщика от финансовой поддержки собственника (других компаний собственника вне анализируемого периметра)</v>
          </cell>
          <cell r="S4" t="str">
            <v>Распределение прибыли, в т.ч. управленческой за последний год</v>
          </cell>
          <cell r="T4" t="str">
            <v>Доля эксорта в структуре продаж</v>
          </cell>
          <cell r="U4" t="str">
            <v>Бизнес зависим от ключевого собственника/сотрудника</v>
          </cell>
          <cell r="V4" t="str">
            <v xml:space="preserve">Концентрация ТОП-3 покупателей </v>
          </cell>
          <cell r="W4" t="str">
            <v>**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/>
        </row>
        <row r="6">
          <cell r="C6" t="str">
            <v>Окпо</v>
          </cell>
          <cell r="D6" t="str">
            <v>Клиент</v>
          </cell>
          <cell r="E6" t="str">
            <v>Дата установки статуса_Модифікована</v>
          </cell>
          <cell r="F6" t="str">
            <v>Дата 1</v>
          </cell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 t="str">
            <v>БАЛ</v>
          </cell>
        </row>
        <row r="7">
          <cell r="C7">
            <v>132012</v>
          </cell>
          <cell r="D7" t="str">
            <v>ТОВ "ВЕЛИКОДОЛИНСЬКИЙ ЗАВОД ЗБК"</v>
          </cell>
          <cell r="E7">
            <v>45700.018499999998</v>
          </cell>
          <cell r="F7">
            <v>45566</v>
          </cell>
          <cell r="G7" t="str">
            <v>E</v>
          </cell>
          <cell r="H7" t="str">
            <v>B</v>
          </cell>
          <cell r="I7" t="str">
            <v>B</v>
          </cell>
          <cell r="J7" t="str">
            <v>B</v>
          </cell>
          <cell r="K7" t="str">
            <v>D</v>
          </cell>
          <cell r="L7" t="str">
            <v>A</v>
          </cell>
          <cell r="M7" t="str">
            <v>B</v>
          </cell>
          <cell r="N7" t="str">
            <v>A</v>
          </cell>
          <cell r="O7" t="str">
            <v>A</v>
          </cell>
          <cell r="P7" t="str">
            <v>C</v>
          </cell>
          <cell r="Q7" t="str">
            <v>B</v>
          </cell>
          <cell r="R7" t="str">
            <v>A</v>
          </cell>
          <cell r="S7"/>
          <cell r="T7"/>
          <cell r="U7"/>
          <cell r="V7"/>
          <cell r="W7"/>
          <cell r="X7">
            <v>52.6</v>
          </cell>
        </row>
        <row r="8">
          <cell r="C8">
            <v>135390</v>
          </cell>
          <cell r="D8" t="str">
            <v>АТ "УКРНАФТА"</v>
          </cell>
          <cell r="E8">
            <v>45975.712599999999</v>
          </cell>
          <cell r="F8">
            <v>45931</v>
          </cell>
          <cell r="G8" t="str">
            <v>A</v>
          </cell>
          <cell r="H8" t="str">
            <v>C</v>
          </cell>
          <cell r="I8" t="str">
            <v>B</v>
          </cell>
          <cell r="J8" t="str">
            <v>A</v>
          </cell>
          <cell r="K8" t="str">
            <v>B</v>
          </cell>
          <cell r="L8" t="str">
            <v>A</v>
          </cell>
          <cell r="M8" t="str">
            <v>A</v>
          </cell>
          <cell r="N8" t="str">
            <v>A</v>
          </cell>
          <cell r="O8" t="str">
            <v>A</v>
          </cell>
          <cell r="P8" t="str">
            <v>C</v>
          </cell>
          <cell r="Q8" t="str">
            <v>A</v>
          </cell>
          <cell r="R8" t="str">
            <v>A</v>
          </cell>
          <cell r="S8"/>
          <cell r="T8"/>
          <cell r="U8"/>
          <cell r="V8"/>
          <cell r="W8"/>
          <cell r="X8">
            <v>67</v>
          </cell>
        </row>
        <row r="9">
          <cell r="C9">
            <v>152307</v>
          </cell>
          <cell r="D9" t="str">
            <v>АТ "Укртатнафта"</v>
          </cell>
          <cell r="E9">
            <v>45841.741199999997</v>
          </cell>
          <cell r="F9">
            <v>45658</v>
          </cell>
          <cell r="G9" t="str">
            <v>B</v>
          </cell>
          <cell r="H9" t="str">
            <v>A</v>
          </cell>
          <cell r="I9" t="str">
            <v>B</v>
          </cell>
          <cell r="J9" t="str">
            <v>A</v>
          </cell>
          <cell r="K9" t="str">
            <v>F</v>
          </cell>
          <cell r="L9" t="str">
            <v>B</v>
          </cell>
          <cell r="M9" t="str">
            <v>A</v>
          </cell>
          <cell r="N9" t="str">
            <v>B</v>
          </cell>
          <cell r="O9" t="str">
            <v>A</v>
          </cell>
          <cell r="P9" t="str">
            <v>D</v>
          </cell>
          <cell r="Q9" t="str">
            <v>D</v>
          </cell>
          <cell r="R9" t="str">
            <v>C</v>
          </cell>
          <cell r="S9"/>
          <cell r="T9"/>
          <cell r="U9"/>
          <cell r="V9"/>
          <cell r="W9"/>
          <cell r="X9">
            <v>43.900000000000006</v>
          </cell>
        </row>
        <row r="10">
          <cell r="C10">
            <v>191329</v>
          </cell>
          <cell r="D10" t="str">
            <v>ПРАТ "СУХА БАЛКА"</v>
          </cell>
          <cell r="E10">
            <v>45947</v>
          </cell>
          <cell r="F10">
            <v>45839</v>
          </cell>
          <cell r="G10" t="str">
            <v>D</v>
          </cell>
          <cell r="H10" t="str">
            <v>B</v>
          </cell>
          <cell r="I10" t="str">
            <v>B</v>
          </cell>
          <cell r="J10" t="str">
            <v>C</v>
          </cell>
          <cell r="K10" t="str">
            <v>F</v>
          </cell>
          <cell r="L10" t="str">
            <v>A</v>
          </cell>
          <cell r="M10" t="str">
            <v>A</v>
          </cell>
          <cell r="N10" t="str">
            <v>B</v>
          </cell>
          <cell r="O10" t="str">
            <v>A</v>
          </cell>
          <cell r="P10" t="str">
            <v>C</v>
          </cell>
          <cell r="Q10" t="str">
            <v>B</v>
          </cell>
          <cell r="R10" t="str">
            <v>B</v>
          </cell>
          <cell r="S10"/>
          <cell r="T10"/>
          <cell r="U10"/>
          <cell r="V10"/>
          <cell r="W10"/>
          <cell r="X10">
            <v>55.300000000000004</v>
          </cell>
        </row>
        <row r="11">
          <cell r="C11">
            <v>213440</v>
          </cell>
          <cell r="D11" t="str">
            <v>ТОВ "Укрелектроапарат"</v>
          </cell>
          <cell r="E11">
            <v>45735.526599999997</v>
          </cell>
          <cell r="F11">
            <v>45566</v>
          </cell>
          <cell r="G11" t="str">
            <v>D</v>
          </cell>
          <cell r="H11" t="str">
            <v>C</v>
          </cell>
          <cell r="I11" t="str">
            <v>B</v>
          </cell>
          <cell r="J11" t="str">
            <v>D</v>
          </cell>
          <cell r="K11" t="str">
            <v>A</v>
          </cell>
          <cell r="L11" t="str">
            <v>A</v>
          </cell>
          <cell r="M11" t="str">
            <v>B</v>
          </cell>
          <cell r="N11" t="str">
            <v>B</v>
          </cell>
          <cell r="O11" t="str">
            <v>A</v>
          </cell>
          <cell r="P11" t="str">
            <v>B</v>
          </cell>
          <cell r="Q11" t="str">
            <v>B</v>
          </cell>
          <cell r="R11" t="str">
            <v>A</v>
          </cell>
          <cell r="S11"/>
          <cell r="T11"/>
          <cell r="U11"/>
          <cell r="V11"/>
          <cell r="W11"/>
          <cell r="X11">
            <v>63.100000000000009</v>
          </cell>
        </row>
        <row r="12">
          <cell r="C12">
            <v>292923</v>
          </cell>
          <cell r="D12" t="str">
            <v>ПРАТ "КРЦ"</v>
          </cell>
          <cell r="E12">
            <v>45560.404300000002</v>
          </cell>
          <cell r="F12">
            <v>45474</v>
          </cell>
          <cell r="G12" t="str">
            <v>C</v>
          </cell>
          <cell r="H12" t="str">
            <v>C</v>
          </cell>
          <cell r="I12" t="str">
            <v>B</v>
          </cell>
          <cell r="J12" t="str">
            <v>B</v>
          </cell>
          <cell r="K12" t="str">
            <v>E</v>
          </cell>
          <cell r="L12" t="str">
            <v>A</v>
          </cell>
          <cell r="M12" t="str">
            <v>A</v>
          </cell>
          <cell r="N12" t="str">
            <v>B</v>
          </cell>
          <cell r="O12" t="str">
            <v>A</v>
          </cell>
          <cell r="P12" t="str">
            <v>C</v>
          </cell>
          <cell r="Q12" t="str">
            <v>B</v>
          </cell>
          <cell r="R12" t="str">
            <v>C</v>
          </cell>
          <cell r="S12"/>
          <cell r="T12"/>
          <cell r="U12"/>
          <cell r="V12"/>
          <cell r="W12"/>
          <cell r="X12">
            <v>50.9</v>
          </cell>
        </row>
        <row r="13">
          <cell r="C13">
            <v>333581</v>
          </cell>
          <cell r="D13" t="str">
            <v>ПрАТ "КМЗ" або ПрАТ "КИЇВСЬКИЙ МАРГАРИНОВИЙ ЗАВОД"</v>
          </cell>
          <cell r="E13">
            <v>45866.639900000002</v>
          </cell>
          <cell r="F13">
            <v>45748</v>
          </cell>
          <cell r="G13" t="str">
            <v>D</v>
          </cell>
          <cell r="H13" t="str">
            <v>A</v>
          </cell>
          <cell r="I13" t="str">
            <v>A</v>
          </cell>
          <cell r="J13" t="str">
            <v>A</v>
          </cell>
          <cell r="K13" t="str">
            <v>D</v>
          </cell>
          <cell r="L13" t="str">
            <v>B</v>
          </cell>
          <cell r="M13" t="str">
            <v>B</v>
          </cell>
          <cell r="N13" t="str">
            <v>B</v>
          </cell>
          <cell r="O13" t="str">
            <v>A</v>
          </cell>
          <cell r="P13" t="str">
            <v>B</v>
          </cell>
          <cell r="Q13" t="str">
            <v>C</v>
          </cell>
          <cell r="R13" t="str">
            <v>A</v>
          </cell>
          <cell r="S13"/>
          <cell r="T13"/>
          <cell r="U13"/>
          <cell r="V13"/>
          <cell r="W13"/>
          <cell r="X13">
            <v>43.3</v>
          </cell>
        </row>
        <row r="14">
          <cell r="C14">
            <v>372109</v>
          </cell>
          <cell r="D14" t="str">
            <v>ТОВ "ОЛЕКСАНДРІЙСЬКИЙ ЦУКРОВИЙ ЗАВОД"</v>
          </cell>
          <cell r="E14">
            <v>45736.444600000003</v>
          </cell>
          <cell r="F14">
            <v>45566</v>
          </cell>
          <cell r="G14" t="str">
            <v>D</v>
          </cell>
          <cell r="H14" t="str">
            <v>C</v>
          </cell>
          <cell r="I14" t="str">
            <v>D</v>
          </cell>
          <cell r="J14" t="str">
            <v>D</v>
          </cell>
          <cell r="K14" t="str">
            <v>D</v>
          </cell>
          <cell r="L14" t="str">
            <v>A</v>
          </cell>
          <cell r="M14" t="str">
            <v>C</v>
          </cell>
          <cell r="N14" t="str">
            <v>B</v>
          </cell>
          <cell r="O14" t="str">
            <v>B</v>
          </cell>
          <cell r="P14" t="str">
            <v>C</v>
          </cell>
          <cell r="Q14" t="str">
            <v>C</v>
          </cell>
          <cell r="R14" t="str">
            <v>A</v>
          </cell>
          <cell r="S14"/>
          <cell r="T14"/>
          <cell r="U14"/>
          <cell r="V14"/>
          <cell r="W14"/>
          <cell r="X14">
            <v>43.099999999999987</v>
          </cell>
        </row>
        <row r="15">
          <cell r="C15">
            <v>375160</v>
          </cell>
          <cell r="D15" t="str">
            <v>ПАТ "СУМСЬКИЙ ЗАВОД ПРОДТОВАРІВ"</v>
          </cell>
          <cell r="E15">
            <v>45548.7068</v>
          </cell>
          <cell r="F15">
            <v>45474</v>
          </cell>
          <cell r="G15" t="str">
            <v>D</v>
          </cell>
          <cell r="H15" t="str">
            <v>B</v>
          </cell>
          <cell r="I15" t="str">
            <v>B</v>
          </cell>
          <cell r="J15" t="str">
            <v>B</v>
          </cell>
          <cell r="K15" t="str">
            <v>D</v>
          </cell>
          <cell r="L15" t="str">
            <v>B</v>
          </cell>
          <cell r="M15" t="str">
            <v>B</v>
          </cell>
          <cell r="N15" t="str">
            <v>A</v>
          </cell>
          <cell r="O15" t="str">
            <v>A</v>
          </cell>
          <cell r="P15" t="str">
            <v>B</v>
          </cell>
          <cell r="Q15" t="str">
            <v>B</v>
          </cell>
          <cell r="R15" t="str">
            <v>A</v>
          </cell>
          <cell r="S15"/>
          <cell r="T15"/>
          <cell r="U15"/>
          <cell r="V15"/>
          <cell r="W15"/>
          <cell r="X15">
            <v>53.2</v>
          </cell>
        </row>
        <row r="16">
          <cell r="C16">
            <v>386235</v>
          </cell>
          <cell r="D16" t="str">
            <v>ПРАТ "ШАРІВСЬКЕ"</v>
          </cell>
          <cell r="E16">
            <v>45736.444600000003</v>
          </cell>
          <cell r="F16">
            <v>45566</v>
          </cell>
          <cell r="G16" t="str">
            <v>D</v>
          </cell>
          <cell r="H16" t="str">
            <v>C</v>
          </cell>
          <cell r="I16" t="str">
            <v>D</v>
          </cell>
          <cell r="J16" t="str">
            <v>D</v>
          </cell>
          <cell r="K16" t="str">
            <v>D</v>
          </cell>
          <cell r="L16" t="str">
            <v>A</v>
          </cell>
          <cell r="M16" t="str">
            <v>C</v>
          </cell>
          <cell r="N16" t="str">
            <v>B</v>
          </cell>
          <cell r="O16" t="str">
            <v>B</v>
          </cell>
          <cell r="P16" t="str">
            <v>C</v>
          </cell>
          <cell r="Q16" t="str">
            <v>C</v>
          </cell>
          <cell r="R16" t="str">
            <v>A</v>
          </cell>
          <cell r="S16"/>
          <cell r="T16"/>
          <cell r="U16"/>
          <cell r="V16"/>
          <cell r="W16"/>
          <cell r="X16">
            <v>43.099999999999987</v>
          </cell>
        </row>
        <row r="17">
          <cell r="C17">
            <v>388932</v>
          </cell>
          <cell r="D17" t="str">
            <v>ПРАТ "ЛЕБЕДИНСЬКИЙ НАСІННЄВИЙ ЗАВОД"</v>
          </cell>
          <cell r="E17">
            <v>45951.531300000002</v>
          </cell>
          <cell r="F17">
            <v>45839</v>
          </cell>
          <cell r="G17" t="str">
            <v>C</v>
          </cell>
          <cell r="H17" t="str">
            <v>B</v>
          </cell>
          <cell r="I17" t="str">
            <v>B</v>
          </cell>
          <cell r="J17" t="str">
            <v>A</v>
          </cell>
          <cell r="K17" t="str">
            <v>E</v>
          </cell>
          <cell r="L17" t="str">
            <v>A</v>
          </cell>
          <cell r="M17" t="str">
            <v>A</v>
          </cell>
          <cell r="N17" t="str">
            <v>B</v>
          </cell>
          <cell r="O17" t="str">
            <v>A</v>
          </cell>
          <cell r="P17" t="str">
            <v>C</v>
          </cell>
          <cell r="Q17" t="str">
            <v>B</v>
          </cell>
          <cell r="R17" t="str">
            <v>A</v>
          </cell>
          <cell r="S17"/>
          <cell r="T17"/>
          <cell r="U17"/>
          <cell r="V17"/>
          <cell r="W17"/>
          <cell r="X17">
            <v>55.7</v>
          </cell>
        </row>
        <row r="18">
          <cell r="C18">
            <v>446813</v>
          </cell>
          <cell r="D18" t="str">
            <v>ТОВ "Лубенський молочний завод"</v>
          </cell>
          <cell r="E18">
            <v>45751.467499999999</v>
          </cell>
          <cell r="F18">
            <v>45658</v>
          </cell>
          <cell r="G18" t="str">
            <v>E</v>
          </cell>
          <cell r="H18" t="str">
            <v>A</v>
          </cell>
          <cell r="I18" t="str">
            <v>C</v>
          </cell>
          <cell r="J18" t="str">
            <v>B</v>
          </cell>
          <cell r="K18" t="str">
            <v>E</v>
          </cell>
          <cell r="L18" t="str">
            <v>B</v>
          </cell>
          <cell r="M18" t="str">
            <v>B</v>
          </cell>
          <cell r="N18" t="str">
            <v>B</v>
          </cell>
          <cell r="O18" t="str">
            <v>A</v>
          </cell>
          <cell r="P18" t="str">
            <v>C</v>
          </cell>
          <cell r="Q18" t="str">
            <v>C</v>
          </cell>
          <cell r="R18" t="str">
            <v>C</v>
          </cell>
          <cell r="S18"/>
          <cell r="T18"/>
          <cell r="U18"/>
          <cell r="V18"/>
          <cell r="W18"/>
          <cell r="X18">
            <v>29.900000000000002</v>
          </cell>
        </row>
        <row r="19">
          <cell r="C19">
            <v>481212</v>
          </cell>
          <cell r="D19" t="str">
            <v>ПРАТ "Фармацевтична фірма "Дарниця"</v>
          </cell>
          <cell r="E19">
            <v>45631.48</v>
          </cell>
          <cell r="F19">
            <v>45566</v>
          </cell>
          <cell r="G19" t="str">
            <v>D</v>
          </cell>
          <cell r="H19" t="str">
            <v>B</v>
          </cell>
          <cell r="I19" t="str">
            <v>D</v>
          </cell>
          <cell r="J19" t="str">
            <v>B</v>
          </cell>
          <cell r="K19" t="str">
            <v>D</v>
          </cell>
          <cell r="L19" t="str">
            <v>A</v>
          </cell>
          <cell r="M19" t="str">
            <v>A</v>
          </cell>
          <cell r="N19" t="str">
            <v>B</v>
          </cell>
          <cell r="O19" t="str">
            <v>A</v>
          </cell>
          <cell r="P19" t="str">
            <v>C</v>
          </cell>
          <cell r="Q19" t="str">
            <v>B</v>
          </cell>
          <cell r="R19" t="str">
            <v>B</v>
          </cell>
          <cell r="S19"/>
          <cell r="T19"/>
          <cell r="U19"/>
          <cell r="V19"/>
          <cell r="W19"/>
          <cell r="X19">
            <v>48.900000000000006</v>
          </cell>
        </row>
        <row r="20">
          <cell r="C20">
            <v>850796</v>
          </cell>
          <cell r="D20" t="str">
            <v>ТОВ "АПК УКРАЇНА"</v>
          </cell>
          <cell r="E20">
            <v>45790.379399999998</v>
          </cell>
          <cell r="F20">
            <v>45658</v>
          </cell>
          <cell r="G20" t="str">
            <v>E</v>
          </cell>
          <cell r="H20" t="str">
            <v>B</v>
          </cell>
          <cell r="I20" t="str">
            <v>B</v>
          </cell>
          <cell r="J20" t="str">
            <v>B</v>
          </cell>
          <cell r="K20" t="str">
            <v>B</v>
          </cell>
          <cell r="L20" t="str">
            <v>A</v>
          </cell>
          <cell r="M20" t="str">
            <v>B</v>
          </cell>
          <cell r="N20" t="str">
            <v>B</v>
          </cell>
          <cell r="O20" t="str">
            <v>A</v>
          </cell>
          <cell r="P20" t="str">
            <v>C</v>
          </cell>
          <cell r="Q20" t="str">
            <v>B</v>
          </cell>
          <cell r="R20" t="str">
            <v>B</v>
          </cell>
          <cell r="S20"/>
          <cell r="T20"/>
          <cell r="U20"/>
          <cell r="V20"/>
          <cell r="W20"/>
          <cell r="X20">
            <v>49.300000000000004</v>
          </cell>
        </row>
        <row r="21">
          <cell r="C21">
            <v>851376</v>
          </cell>
          <cell r="D21" t="str">
            <v>ПРАТ "ВОЛОДИМИР-ВОЛИНСЬКА ПТАХОФАБРИКА"</v>
          </cell>
          <cell r="E21">
            <v>45685.544800000003</v>
          </cell>
          <cell r="F21">
            <v>45566</v>
          </cell>
          <cell r="G21" t="str">
            <v>D</v>
          </cell>
          <cell r="H21" t="str">
            <v>C</v>
          </cell>
          <cell r="I21" t="str">
            <v>D</v>
          </cell>
          <cell r="J21" t="str">
            <v>A</v>
          </cell>
          <cell r="K21" t="str">
            <v>C</v>
          </cell>
          <cell r="L21" t="str">
            <v>A</v>
          </cell>
          <cell r="M21" t="str">
            <v>A</v>
          </cell>
          <cell r="N21" t="str">
            <v>C</v>
          </cell>
          <cell r="O21" t="str">
            <v>A</v>
          </cell>
          <cell r="P21" t="str">
            <v>C</v>
          </cell>
          <cell r="Q21" t="str">
            <v>B</v>
          </cell>
          <cell r="R21" t="str">
            <v>B</v>
          </cell>
          <cell r="S21"/>
          <cell r="T21"/>
          <cell r="U21"/>
          <cell r="V21"/>
          <cell r="W21"/>
          <cell r="X21">
            <v>45.8</v>
          </cell>
        </row>
        <row r="22">
          <cell r="C22">
            <v>855440</v>
          </cell>
          <cell r="D22" t="str">
            <v>ТОВ "АГРОФІРМА "ДНІСТРОВСЬКА"</v>
          </cell>
          <cell r="E22">
            <v>45946.913399999998</v>
          </cell>
          <cell r="F22">
            <v>45658</v>
          </cell>
          <cell r="G22" t="str">
            <v>E</v>
          </cell>
          <cell r="H22" t="str">
            <v>A</v>
          </cell>
          <cell r="I22" t="str">
            <v>A</v>
          </cell>
          <cell r="J22" t="str">
            <v>A</v>
          </cell>
          <cell r="K22" t="str">
            <v>B</v>
          </cell>
          <cell r="L22" t="str">
            <v>A</v>
          </cell>
          <cell r="M22" t="str">
            <v>A</v>
          </cell>
          <cell r="N22" t="str">
            <v>B</v>
          </cell>
          <cell r="O22" t="str">
            <v>A</v>
          </cell>
          <cell r="P22" t="str">
            <v>C</v>
          </cell>
          <cell r="Q22" t="str">
            <v>B</v>
          </cell>
          <cell r="R22" t="str">
            <v>A</v>
          </cell>
          <cell r="S22"/>
          <cell r="T22"/>
          <cell r="U22"/>
          <cell r="V22"/>
          <cell r="W22"/>
          <cell r="X22">
            <v>54.5</v>
          </cell>
        </row>
        <row r="23">
          <cell r="C23">
            <v>858102</v>
          </cell>
          <cell r="D23" t="str">
            <v>ПСП "ЖОВТНЕВЕ"</v>
          </cell>
          <cell r="E23">
            <v>45566.531300000002</v>
          </cell>
          <cell r="F23">
            <v>45474</v>
          </cell>
          <cell r="G23" t="str">
            <v>E</v>
          </cell>
          <cell r="H23" t="str">
            <v>B</v>
          </cell>
          <cell r="I23" t="str">
            <v>A</v>
          </cell>
          <cell r="J23" t="str">
            <v>B</v>
          </cell>
          <cell r="K23" t="str">
            <v>D</v>
          </cell>
          <cell r="L23" t="str">
            <v>B</v>
          </cell>
          <cell r="M23" t="str">
            <v>C</v>
          </cell>
          <cell r="N23" t="str">
            <v>B</v>
          </cell>
          <cell r="O23" t="str">
            <v>A</v>
          </cell>
          <cell r="P23" t="str">
            <v>C</v>
          </cell>
          <cell r="Q23" t="str">
            <v>C</v>
          </cell>
          <cell r="R23" t="str">
            <v>B</v>
          </cell>
          <cell r="S23"/>
          <cell r="T23"/>
          <cell r="U23"/>
          <cell r="V23"/>
          <cell r="W23"/>
          <cell r="X23">
            <v>33.5</v>
          </cell>
        </row>
        <row r="24">
          <cell r="C24">
            <v>1056280</v>
          </cell>
          <cell r="D24" t="str">
            <v>ТОВ "ЗМЗ"</v>
          </cell>
          <cell r="E24">
            <v>45981.639199999998</v>
          </cell>
          <cell r="F24">
            <v>45931</v>
          </cell>
          <cell r="G24" t="str">
            <v>E</v>
          </cell>
          <cell r="H24" t="str">
            <v>A</v>
          </cell>
          <cell r="I24" t="str">
            <v>B</v>
          </cell>
          <cell r="J24" t="str">
            <v>B</v>
          </cell>
          <cell r="K24" t="str">
            <v>D</v>
          </cell>
          <cell r="L24" t="str">
            <v>B</v>
          </cell>
          <cell r="M24" t="str">
            <v>A</v>
          </cell>
          <cell r="N24" t="str">
            <v>B</v>
          </cell>
          <cell r="O24" t="str">
            <v>A</v>
          </cell>
          <cell r="P24" t="str">
            <v>C</v>
          </cell>
          <cell r="Q24" t="str">
            <v>C</v>
          </cell>
          <cell r="R24" t="str">
            <v>A</v>
          </cell>
          <cell r="S24"/>
          <cell r="T24"/>
          <cell r="U24"/>
          <cell r="V24"/>
          <cell r="W24"/>
          <cell r="X24">
            <v>51.5</v>
          </cell>
        </row>
        <row r="25">
          <cell r="C25">
            <v>1284778</v>
          </cell>
          <cell r="D25" t="str">
            <v>ТОВ "БК"КВП"</v>
          </cell>
          <cell r="E25">
            <v>45622.644099999998</v>
          </cell>
          <cell r="F25">
            <v>45566</v>
          </cell>
          <cell r="G25" t="str">
            <v>E</v>
          </cell>
          <cell r="H25" t="str">
            <v>B</v>
          </cell>
          <cell r="I25" t="str">
            <v>B</v>
          </cell>
          <cell r="J25" t="str">
            <v>A</v>
          </cell>
          <cell r="K25" t="str">
            <v>D</v>
          </cell>
          <cell r="L25" t="str">
            <v>B</v>
          </cell>
          <cell r="M25" t="str">
            <v>A</v>
          </cell>
          <cell r="N25" t="str">
            <v>A</v>
          </cell>
          <cell r="O25" t="str">
            <v>A</v>
          </cell>
          <cell r="P25" t="str">
            <v>C</v>
          </cell>
          <cell r="Q25" t="str">
            <v>B</v>
          </cell>
          <cell r="R25" t="str">
            <v>B</v>
          </cell>
          <cell r="S25"/>
          <cell r="T25"/>
          <cell r="U25"/>
          <cell r="V25"/>
          <cell r="W25"/>
          <cell r="X25">
            <v>47.8</v>
          </cell>
        </row>
        <row r="26">
          <cell r="C26">
            <v>1354485</v>
          </cell>
          <cell r="D26" t="str">
            <v>ТОВ "СПЕЦБУДМАШ"</v>
          </cell>
          <cell r="E26">
            <v>45639.590100000001</v>
          </cell>
          <cell r="F26">
            <v>45566</v>
          </cell>
          <cell r="G26" t="str">
            <v>E</v>
          </cell>
          <cell r="H26" t="str">
            <v>B</v>
          </cell>
          <cell r="I26" t="str">
            <v>A</v>
          </cell>
          <cell r="J26" t="str">
            <v>A</v>
          </cell>
          <cell r="K26" t="str">
            <v>B</v>
          </cell>
          <cell r="L26" t="str">
            <v>A</v>
          </cell>
          <cell r="M26" t="str">
            <v>A</v>
          </cell>
          <cell r="N26" t="str">
            <v>B</v>
          </cell>
          <cell r="O26" t="str">
            <v>A</v>
          </cell>
          <cell r="P26" t="str">
            <v>C</v>
          </cell>
          <cell r="Q26" t="str">
            <v>B</v>
          </cell>
          <cell r="R26" t="str">
            <v>A</v>
          </cell>
          <cell r="S26"/>
          <cell r="T26"/>
          <cell r="U26"/>
          <cell r="V26"/>
          <cell r="W26"/>
          <cell r="X26">
            <v>52.1</v>
          </cell>
        </row>
        <row r="27">
          <cell r="C27">
            <v>1548734</v>
          </cell>
          <cell r="D27" t="str">
            <v>ТОВ "ХЛАДОПРОМ"</v>
          </cell>
          <cell r="E27">
            <v>45919.438000000002</v>
          </cell>
          <cell r="F27">
            <v>45839</v>
          </cell>
          <cell r="G27" t="str">
            <v>C</v>
          </cell>
          <cell r="H27" t="str">
            <v>B</v>
          </cell>
          <cell r="I27" t="str">
            <v>A</v>
          </cell>
          <cell r="J27" t="str">
            <v>B</v>
          </cell>
          <cell r="K27" t="str">
            <v>B</v>
          </cell>
          <cell r="L27" t="str">
            <v>A</v>
          </cell>
          <cell r="M27" t="str">
            <v>A</v>
          </cell>
          <cell r="N27" t="str">
            <v>B</v>
          </cell>
          <cell r="O27" t="str">
            <v>A</v>
          </cell>
          <cell r="P27" t="str">
            <v>A</v>
          </cell>
          <cell r="Q27" t="str">
            <v>B</v>
          </cell>
          <cell r="R27" t="str">
            <v>A</v>
          </cell>
          <cell r="S27"/>
          <cell r="T27"/>
          <cell r="U27"/>
          <cell r="V27"/>
          <cell r="W27"/>
          <cell r="X27">
            <v>63.1</v>
          </cell>
        </row>
        <row r="28">
          <cell r="C28">
            <v>1553681</v>
          </cell>
          <cell r="D28" t="str">
            <v>ТЗОВ ТВК "ЛЬВІВХОЛОД"</v>
          </cell>
          <cell r="E28">
            <v>45875.450700000001</v>
          </cell>
          <cell r="F28">
            <v>45748</v>
          </cell>
          <cell r="G28" t="str">
            <v>D</v>
          </cell>
          <cell r="H28" t="str">
            <v>B</v>
          </cell>
          <cell r="I28" t="str">
            <v>D</v>
          </cell>
          <cell r="J28" t="str">
            <v>C</v>
          </cell>
          <cell r="K28" t="str">
            <v>C</v>
          </cell>
          <cell r="L28" t="str">
            <v>B</v>
          </cell>
          <cell r="M28" t="str">
            <v>A</v>
          </cell>
          <cell r="N28" t="str">
            <v>A</v>
          </cell>
          <cell r="O28" t="str">
            <v>A</v>
          </cell>
          <cell r="P28" t="str">
            <v>A</v>
          </cell>
          <cell r="Q28" t="str">
            <v>A</v>
          </cell>
          <cell r="R28" t="str">
            <v>A</v>
          </cell>
          <cell r="S28"/>
          <cell r="T28"/>
          <cell r="U28"/>
          <cell r="V28"/>
          <cell r="W28"/>
          <cell r="X28">
            <v>63.2</v>
          </cell>
        </row>
        <row r="29">
          <cell r="C29">
            <v>1553770</v>
          </cell>
          <cell r="D29" t="str">
            <v>АТ "ПОЛТАВАХОЛОД"</v>
          </cell>
          <cell r="E29">
            <v>45604.489000000001</v>
          </cell>
          <cell r="F29">
            <v>45474</v>
          </cell>
          <cell r="G29" t="str">
            <v>E</v>
          </cell>
          <cell r="H29" t="str">
            <v>A</v>
          </cell>
          <cell r="I29" t="str">
            <v>B</v>
          </cell>
          <cell r="J29" t="str">
            <v>B</v>
          </cell>
          <cell r="K29" t="str">
            <v>D</v>
          </cell>
          <cell r="L29" t="str">
            <v>B</v>
          </cell>
          <cell r="M29" t="str">
            <v>A</v>
          </cell>
          <cell r="N29" t="str">
            <v>B</v>
          </cell>
          <cell r="O29" t="str">
            <v>A</v>
          </cell>
          <cell r="P29" t="str">
            <v>C</v>
          </cell>
          <cell r="Q29" t="str">
            <v>B</v>
          </cell>
          <cell r="R29" t="str">
            <v>B</v>
          </cell>
          <cell r="S29"/>
          <cell r="T29"/>
          <cell r="U29"/>
          <cell r="V29"/>
          <cell r="W29"/>
          <cell r="X29">
            <v>49.7</v>
          </cell>
        </row>
        <row r="30">
          <cell r="C30">
            <v>1973472</v>
          </cell>
          <cell r="D30" t="str">
            <v>ПРАТ ФФ "ВІОЛА"</v>
          </cell>
          <cell r="E30">
            <v>45965.636599999998</v>
          </cell>
          <cell r="F30">
            <v>45839</v>
          </cell>
          <cell r="G30" t="str">
            <v>D</v>
          </cell>
          <cell r="H30" t="str">
            <v>B</v>
          </cell>
          <cell r="I30" t="str">
            <v>B</v>
          </cell>
          <cell r="J30" t="str">
            <v>C</v>
          </cell>
          <cell r="K30" t="str">
            <v>C</v>
          </cell>
          <cell r="L30" t="str">
            <v>A</v>
          </cell>
          <cell r="M30" t="str">
            <v>A</v>
          </cell>
          <cell r="N30" t="str">
            <v>A</v>
          </cell>
          <cell r="O30" t="str">
            <v>A</v>
          </cell>
          <cell r="P30" t="str">
            <v>A</v>
          </cell>
          <cell r="Q30" t="str">
            <v>A</v>
          </cell>
          <cell r="R30" t="str">
            <v>B</v>
          </cell>
          <cell r="S30"/>
          <cell r="T30"/>
          <cell r="U30"/>
          <cell r="V30"/>
          <cell r="W30"/>
          <cell r="X30">
            <v>71.200000000000017</v>
          </cell>
        </row>
        <row r="31">
          <cell r="C31">
            <v>1977334</v>
          </cell>
          <cell r="D31" t="str">
            <v>ПРАТ "АПТЕКИ ЗАПОРІЖЖЯ"</v>
          </cell>
          <cell r="E31">
            <v>45818.388099999996</v>
          </cell>
          <cell r="F31">
            <v>45658</v>
          </cell>
          <cell r="G31" t="str">
            <v>E</v>
          </cell>
          <cell r="H31" t="str">
            <v>A</v>
          </cell>
          <cell r="I31" t="str">
            <v>B</v>
          </cell>
          <cell r="J31" t="str">
            <v>C</v>
          </cell>
          <cell r="K31" t="str">
            <v>D</v>
          </cell>
          <cell r="L31" t="str">
            <v>A</v>
          </cell>
          <cell r="M31" t="str">
            <v>A</v>
          </cell>
          <cell r="N31" t="str">
            <v>A</v>
          </cell>
          <cell r="O31" t="str">
            <v>A</v>
          </cell>
          <cell r="P31" t="str">
            <v>C</v>
          </cell>
          <cell r="Q31" t="str">
            <v>C</v>
          </cell>
          <cell r="R31" t="str">
            <v>A</v>
          </cell>
          <cell r="S31"/>
          <cell r="T31"/>
          <cell r="U31"/>
          <cell r="V31"/>
          <cell r="W31"/>
          <cell r="X31">
            <v>62.399999999999991</v>
          </cell>
        </row>
        <row r="32">
          <cell r="C32">
            <v>2224583</v>
          </cell>
          <cell r="D32" t="str">
            <v>ТВЗК "КИЇВСЬКИЙ АКАДЕМІЧНИЙ ТЕАТР ЛЯЛЬОК"</v>
          </cell>
          <cell r="E32">
            <v>45636.679199999999</v>
          </cell>
          <cell r="F32">
            <v>45566</v>
          </cell>
          <cell r="G32" t="str">
            <v>E</v>
          </cell>
          <cell r="H32" t="str">
            <v>B</v>
          </cell>
          <cell r="I32" t="str">
            <v>B</v>
          </cell>
          <cell r="J32" t="str">
            <v>A</v>
          </cell>
          <cell r="K32" t="str">
            <v>D</v>
          </cell>
          <cell r="L32" t="str">
            <v>A</v>
          </cell>
          <cell r="M32" t="str">
            <v>A</v>
          </cell>
          <cell r="N32" t="str">
            <v>B</v>
          </cell>
          <cell r="O32" t="str">
            <v>A</v>
          </cell>
          <cell r="P32" t="str">
            <v>B</v>
          </cell>
          <cell r="Q32" t="str">
            <v>B</v>
          </cell>
          <cell r="R32" t="str">
            <v>A</v>
          </cell>
          <cell r="S32"/>
          <cell r="T32"/>
          <cell r="U32"/>
          <cell r="V32"/>
          <cell r="W32"/>
          <cell r="X32">
            <v>54.7</v>
          </cell>
        </row>
        <row r="33">
          <cell r="C33">
            <v>2649437</v>
          </cell>
          <cell r="D33" t="str">
            <v>ПРАТ "МИРГОРОДКУРОРТ"</v>
          </cell>
          <cell r="E33">
            <v>45621.957300000002</v>
          </cell>
          <cell r="F33">
            <v>45566</v>
          </cell>
          <cell r="G33" t="str">
            <v>E</v>
          </cell>
          <cell r="H33" t="str">
            <v>A</v>
          </cell>
          <cell r="I33" t="str">
            <v>B</v>
          </cell>
          <cell r="J33" t="str">
            <v>B</v>
          </cell>
          <cell r="K33" t="str">
            <v>D</v>
          </cell>
          <cell r="L33" t="str">
            <v>B</v>
          </cell>
          <cell r="M33" t="str">
            <v>B</v>
          </cell>
          <cell r="N33" t="str">
            <v>B</v>
          </cell>
          <cell r="O33" t="str">
            <v>A</v>
          </cell>
          <cell r="P33" t="str">
            <v>C</v>
          </cell>
          <cell r="Q33" t="str">
            <v>B</v>
          </cell>
          <cell r="R33" t="str">
            <v>A</v>
          </cell>
          <cell r="S33"/>
          <cell r="T33"/>
          <cell r="U33"/>
          <cell r="V33"/>
          <cell r="W33"/>
          <cell r="X33">
            <v>46.9</v>
          </cell>
        </row>
        <row r="34">
          <cell r="C34">
            <v>3567397</v>
          </cell>
          <cell r="D34" t="str">
            <v>ТОВ "ПЛАЗМАТЕК"</v>
          </cell>
          <cell r="E34">
            <v>45880.755100000002</v>
          </cell>
          <cell r="F34">
            <v>45658</v>
          </cell>
          <cell r="G34" t="str">
            <v>B</v>
          </cell>
          <cell r="H34" t="str">
            <v>B</v>
          </cell>
          <cell r="I34" t="str">
            <v>B</v>
          </cell>
          <cell r="J34" t="str">
            <v>D</v>
          </cell>
          <cell r="K34" t="str">
            <v>D</v>
          </cell>
          <cell r="L34" t="str">
            <v>A</v>
          </cell>
          <cell r="M34" t="str">
            <v>A</v>
          </cell>
          <cell r="N34" t="str">
            <v>C</v>
          </cell>
          <cell r="O34" t="str">
            <v>A</v>
          </cell>
          <cell r="P34" t="str">
            <v>C</v>
          </cell>
          <cell r="Q34" t="str">
            <v>B</v>
          </cell>
          <cell r="R34" t="str">
            <v>B</v>
          </cell>
          <cell r="S34"/>
          <cell r="T34"/>
          <cell r="U34"/>
          <cell r="V34"/>
          <cell r="W34"/>
          <cell r="X34">
            <v>63.800000000000004</v>
          </cell>
        </row>
        <row r="35">
          <cell r="C35">
            <v>3568113</v>
          </cell>
          <cell r="D35" t="str">
            <v>СТОВ "ПОЛІСЬКИЙ КРАЙ"</v>
          </cell>
          <cell r="E35">
            <v>45700.422400000003</v>
          </cell>
          <cell r="F35">
            <v>45566</v>
          </cell>
          <cell r="G35" t="str">
            <v>E</v>
          </cell>
          <cell r="H35" t="str">
            <v>C</v>
          </cell>
          <cell r="I35" t="str">
            <v>B</v>
          </cell>
          <cell r="J35" t="str">
            <v>C</v>
          </cell>
          <cell r="K35" t="str">
            <v>E</v>
          </cell>
          <cell r="L35" t="str">
            <v>A</v>
          </cell>
          <cell r="M35" t="str">
            <v>C</v>
          </cell>
          <cell r="N35" t="str">
            <v>B</v>
          </cell>
          <cell r="O35" t="str">
            <v>B</v>
          </cell>
          <cell r="P35" t="str">
            <v>C</v>
          </cell>
          <cell r="Q35" t="str">
            <v>B</v>
          </cell>
          <cell r="R35" t="str">
            <v>C</v>
          </cell>
          <cell r="S35"/>
          <cell r="T35"/>
          <cell r="U35"/>
          <cell r="V35"/>
          <cell r="W35"/>
          <cell r="X35">
            <v>38.5</v>
          </cell>
        </row>
        <row r="36">
          <cell r="C36">
            <v>3581836</v>
          </cell>
          <cell r="D36" t="str">
            <v>ТОВ "КРАСНОКУТСЬКИЙ АШБУД"</v>
          </cell>
          <cell r="E36">
            <v>45791.5245</v>
          </cell>
          <cell r="F36">
            <v>45566</v>
          </cell>
          <cell r="G36" t="str">
            <v>E</v>
          </cell>
          <cell r="H36" t="str">
            <v>C</v>
          </cell>
          <cell r="I36" t="str">
            <v>B</v>
          </cell>
          <cell r="J36" t="str">
            <v>C</v>
          </cell>
          <cell r="K36" t="str">
            <v>D</v>
          </cell>
          <cell r="L36" t="str">
            <v>B</v>
          </cell>
          <cell r="M36" t="str">
            <v>B</v>
          </cell>
          <cell r="N36" t="str">
            <v>B</v>
          </cell>
          <cell r="O36" t="str">
            <v>B</v>
          </cell>
          <cell r="P36" t="str">
            <v>C</v>
          </cell>
          <cell r="Q36" t="str">
            <v>B</v>
          </cell>
          <cell r="R36" t="str">
            <v>C</v>
          </cell>
          <cell r="S36"/>
          <cell r="T36"/>
          <cell r="U36"/>
          <cell r="V36"/>
          <cell r="W36"/>
          <cell r="X36">
            <v>36.1</v>
          </cell>
        </row>
        <row r="37">
          <cell r="C37">
            <v>3731260</v>
          </cell>
          <cell r="D37" t="str">
            <v>ФГ "ДРУЖБА-Л"</v>
          </cell>
          <cell r="E37">
            <v>45985.454400000002</v>
          </cell>
          <cell r="F37">
            <v>45658</v>
          </cell>
          <cell r="G37" t="str">
            <v>E</v>
          </cell>
          <cell r="H37" t="str">
            <v>B</v>
          </cell>
          <cell r="I37" t="str">
            <v>B</v>
          </cell>
          <cell r="J37" t="str">
            <v>B</v>
          </cell>
          <cell r="K37" t="str">
            <v>D</v>
          </cell>
          <cell r="L37" t="str">
            <v>A</v>
          </cell>
          <cell r="M37" t="str">
            <v>A</v>
          </cell>
          <cell r="N37" t="str">
            <v>B</v>
          </cell>
          <cell r="O37" t="str">
            <v>A</v>
          </cell>
          <cell r="P37" t="str">
            <v>C</v>
          </cell>
          <cell r="Q37" t="str">
            <v>C</v>
          </cell>
          <cell r="R37" t="str">
            <v>A</v>
          </cell>
          <cell r="S37"/>
          <cell r="T37"/>
          <cell r="U37"/>
          <cell r="V37"/>
          <cell r="W37"/>
          <cell r="X37">
            <v>53.9</v>
          </cell>
        </row>
        <row r="38">
          <cell r="C38">
            <v>3743405</v>
          </cell>
          <cell r="D38" t="str">
            <v>ПОСП "Колос"</v>
          </cell>
          <cell r="E38">
            <v>45700.422400000003</v>
          </cell>
          <cell r="F38">
            <v>45566</v>
          </cell>
          <cell r="G38" t="str">
            <v>E</v>
          </cell>
          <cell r="H38" t="str">
            <v>C</v>
          </cell>
          <cell r="I38" t="str">
            <v>B</v>
          </cell>
          <cell r="J38" t="str">
            <v>C</v>
          </cell>
          <cell r="K38" t="str">
            <v>E</v>
          </cell>
          <cell r="L38" t="str">
            <v>A</v>
          </cell>
          <cell r="M38" t="str">
            <v>C</v>
          </cell>
          <cell r="N38" t="str">
            <v>B</v>
          </cell>
          <cell r="O38" t="str">
            <v>B</v>
          </cell>
          <cell r="P38" t="str">
            <v>C</v>
          </cell>
          <cell r="Q38" t="str">
            <v>B</v>
          </cell>
          <cell r="R38" t="str">
            <v>C</v>
          </cell>
          <cell r="S38"/>
          <cell r="T38"/>
          <cell r="U38"/>
          <cell r="V38"/>
          <cell r="W38"/>
          <cell r="X38">
            <v>38.5</v>
          </cell>
        </row>
        <row r="39">
          <cell r="C39">
            <v>3794590</v>
          </cell>
          <cell r="D39" t="str">
            <v>СТОВ Агрофірма "Заячківка"</v>
          </cell>
          <cell r="E39">
            <v>45803.992400000003</v>
          </cell>
          <cell r="F39">
            <v>45658</v>
          </cell>
          <cell r="G39" t="str">
            <v>E</v>
          </cell>
          <cell r="H39" t="str">
            <v>B</v>
          </cell>
          <cell r="I39" t="str">
            <v>B</v>
          </cell>
          <cell r="J39" t="str">
            <v>A</v>
          </cell>
          <cell r="K39" t="str">
            <v>D</v>
          </cell>
          <cell r="L39" t="str">
            <v>B</v>
          </cell>
          <cell r="M39" t="str">
            <v>A</v>
          </cell>
          <cell r="N39" t="str">
            <v>B</v>
          </cell>
          <cell r="O39" t="str">
            <v>A</v>
          </cell>
          <cell r="P39" t="str">
            <v>A</v>
          </cell>
          <cell r="Q39" t="str">
            <v>B</v>
          </cell>
          <cell r="R39" t="str">
            <v>A</v>
          </cell>
          <cell r="S39"/>
          <cell r="T39"/>
          <cell r="U39"/>
          <cell r="V39"/>
          <cell r="W39"/>
          <cell r="X39">
            <v>52.300000000000004</v>
          </cell>
        </row>
        <row r="40">
          <cell r="C40">
            <v>3796761</v>
          </cell>
          <cell r="D40" t="str">
            <v>ТОВ ІМ. ШЕВЧЕНКА</v>
          </cell>
          <cell r="E40">
            <v>45723.782200000001</v>
          </cell>
          <cell r="F40">
            <v>45566</v>
          </cell>
          <cell r="G40" t="str">
            <v>E</v>
          </cell>
          <cell r="H40" t="str">
            <v>C</v>
          </cell>
          <cell r="I40" t="str">
            <v>B</v>
          </cell>
          <cell r="J40" t="str">
            <v>A</v>
          </cell>
          <cell r="K40" t="str">
            <v>D</v>
          </cell>
          <cell r="L40" t="str">
            <v>B</v>
          </cell>
          <cell r="M40" t="str">
            <v>A</v>
          </cell>
          <cell r="N40" t="str">
            <v>B</v>
          </cell>
          <cell r="O40" t="str">
            <v>A</v>
          </cell>
          <cell r="P40" t="str">
            <v>C</v>
          </cell>
          <cell r="Q40" t="str">
            <v>B</v>
          </cell>
          <cell r="R40" t="str">
            <v>A</v>
          </cell>
          <cell r="S40"/>
          <cell r="T40"/>
          <cell r="U40"/>
          <cell r="V40"/>
          <cell r="W40"/>
          <cell r="X40">
            <v>46.499999999999993</v>
          </cell>
        </row>
        <row r="41">
          <cell r="C41">
            <v>5430596</v>
          </cell>
          <cell r="D41" t="str">
            <v>ПРАТ "ФІТОФАРМ"</v>
          </cell>
          <cell r="E41">
            <v>45951.446199999998</v>
          </cell>
          <cell r="F41">
            <v>45839</v>
          </cell>
          <cell r="G41" t="str">
            <v>E</v>
          </cell>
          <cell r="H41" t="str">
            <v>B</v>
          </cell>
          <cell r="I41" t="str">
            <v>B</v>
          </cell>
          <cell r="J41" t="str">
            <v>C</v>
          </cell>
          <cell r="K41" t="str">
            <v>B</v>
          </cell>
          <cell r="L41" t="str">
            <v>B</v>
          </cell>
          <cell r="M41" t="str">
            <v>B</v>
          </cell>
          <cell r="N41" t="str">
            <v>B</v>
          </cell>
          <cell r="O41" t="str">
            <v>A</v>
          </cell>
          <cell r="P41" t="str">
            <v>C</v>
          </cell>
          <cell r="Q41" t="str">
            <v>B</v>
          </cell>
          <cell r="R41" t="str">
            <v>C</v>
          </cell>
          <cell r="S41"/>
          <cell r="T41"/>
          <cell r="U41"/>
          <cell r="V41"/>
          <cell r="W41"/>
          <cell r="X41">
            <v>44.900000000000006</v>
          </cell>
        </row>
        <row r="42">
          <cell r="C42">
            <v>5761873</v>
          </cell>
          <cell r="D42" t="str">
            <v>АТ "ЛЬВІВСЬКИЙ ХІМІЧНИЙ ЗАВОД"</v>
          </cell>
          <cell r="E42">
            <v>45650.543799999999</v>
          </cell>
          <cell r="F42">
            <v>45566</v>
          </cell>
          <cell r="G42" t="str">
            <v>D</v>
          </cell>
          <cell r="H42" t="str">
            <v>B</v>
          </cell>
          <cell r="I42" t="str">
            <v>D</v>
          </cell>
          <cell r="J42" t="str">
            <v>A</v>
          </cell>
          <cell r="K42" t="str">
            <v>D</v>
          </cell>
          <cell r="L42" t="str">
            <v>A</v>
          </cell>
          <cell r="M42" t="str">
            <v>A</v>
          </cell>
          <cell r="N42" t="str">
            <v>B</v>
          </cell>
          <cell r="O42" t="str">
            <v>A</v>
          </cell>
          <cell r="P42" t="str">
            <v>C</v>
          </cell>
          <cell r="Q42" t="str">
            <v>B</v>
          </cell>
          <cell r="R42" t="str">
            <v>A</v>
          </cell>
          <cell r="S42"/>
          <cell r="T42"/>
          <cell r="U42"/>
          <cell r="V42"/>
          <cell r="W42"/>
          <cell r="X42">
            <v>49.7</v>
          </cell>
        </row>
        <row r="43">
          <cell r="C43">
            <v>6681089</v>
          </cell>
          <cell r="D43" t="str">
            <v>Д.ТРЕЙДІНГ ІНТЕРНЕШНЛ СА (D.TRADING INTERNATIONAL SA)</v>
          </cell>
          <cell r="E43">
            <v>45959.486400000002</v>
          </cell>
          <cell r="F43">
            <v>45658</v>
          </cell>
          <cell r="G43" t="str">
            <v>B</v>
          </cell>
          <cell r="H43" t="str">
            <v>C</v>
          </cell>
          <cell r="I43" t="str">
            <v>C</v>
          </cell>
          <cell r="J43" t="str">
            <v>C</v>
          </cell>
          <cell r="K43" t="str">
            <v>C</v>
          </cell>
          <cell r="L43" t="str">
            <v>A</v>
          </cell>
          <cell r="M43" t="str">
            <v>A</v>
          </cell>
          <cell r="N43" t="str">
            <v>A</v>
          </cell>
          <cell r="O43" t="str">
            <v>A</v>
          </cell>
          <cell r="P43" t="str">
            <v>C</v>
          </cell>
          <cell r="Q43" t="str">
            <v>B</v>
          </cell>
          <cell r="R43" t="str">
            <v>A</v>
          </cell>
          <cell r="S43"/>
          <cell r="T43"/>
          <cell r="U43"/>
          <cell r="V43"/>
          <cell r="W43"/>
          <cell r="X43">
            <v>63</v>
          </cell>
        </row>
        <row r="44">
          <cell r="C44">
            <v>9335025</v>
          </cell>
          <cell r="D44" t="str">
            <v>RSE s.r.o / ТОВ «РСЕ» с.р.о.</v>
          </cell>
          <cell r="E44">
            <v>45855.606299999999</v>
          </cell>
          <cell r="F44">
            <v>45658</v>
          </cell>
          <cell r="G44" t="str">
            <v>C</v>
          </cell>
          <cell r="H44" t="str">
            <v>B</v>
          </cell>
          <cell r="I44" t="str">
            <v>B</v>
          </cell>
          <cell r="J44" t="str">
            <v>A</v>
          </cell>
          <cell r="K44" t="str">
            <v>B</v>
          </cell>
          <cell r="L44" t="str">
            <v>A</v>
          </cell>
          <cell r="M44" t="str">
            <v>A</v>
          </cell>
          <cell r="N44" t="str">
            <v>B</v>
          </cell>
          <cell r="O44" t="str">
            <v>A</v>
          </cell>
          <cell r="P44" t="str">
            <v>C</v>
          </cell>
          <cell r="Q44" t="str">
            <v>B</v>
          </cell>
          <cell r="R44" t="str">
            <v>A</v>
          </cell>
          <cell r="S44"/>
          <cell r="T44"/>
          <cell r="U44"/>
          <cell r="V44"/>
          <cell r="W44"/>
          <cell r="X44">
            <v>60.500000000000007</v>
          </cell>
        </row>
        <row r="45">
          <cell r="C45">
            <v>13508852</v>
          </cell>
          <cell r="D45" t="str">
            <v>ТОВ "КЕРАМЕТ"</v>
          </cell>
          <cell r="E45">
            <v>45917.590700000001</v>
          </cell>
          <cell r="F45">
            <v>45839</v>
          </cell>
          <cell r="G45" t="str">
            <v>E</v>
          </cell>
          <cell r="H45" t="str">
            <v>A</v>
          </cell>
          <cell r="I45" t="str">
            <v>A</v>
          </cell>
          <cell r="J45" t="str">
            <v>D</v>
          </cell>
          <cell r="K45" t="str">
            <v>D</v>
          </cell>
          <cell r="L45" t="str">
            <v>A</v>
          </cell>
          <cell r="M45" t="str">
            <v>A</v>
          </cell>
          <cell r="N45" t="str">
            <v>A</v>
          </cell>
          <cell r="O45" t="str">
            <v>A</v>
          </cell>
          <cell r="P45" t="str">
            <v>C</v>
          </cell>
          <cell r="Q45" t="str">
            <v>B</v>
          </cell>
          <cell r="R45" t="str">
            <v>A</v>
          </cell>
          <cell r="S45"/>
          <cell r="T45"/>
          <cell r="U45"/>
          <cell r="V45"/>
          <cell r="W45"/>
          <cell r="X45">
            <v>62.199999999999996</v>
          </cell>
        </row>
        <row r="46">
          <cell r="C46">
            <v>13838294</v>
          </cell>
          <cell r="D46" t="str">
            <v>ТЗОВ "МАРКЕТ УНІВЕРСАЛ ЛТД"</v>
          </cell>
          <cell r="E46">
            <v>45833.633099999999</v>
          </cell>
          <cell r="F46">
            <v>45748</v>
          </cell>
          <cell r="G46" t="str">
            <v>E</v>
          </cell>
          <cell r="H46" t="str">
            <v>B</v>
          </cell>
          <cell r="I46" t="str">
            <v>B</v>
          </cell>
          <cell r="J46" t="str">
            <v>B</v>
          </cell>
          <cell r="K46" t="str">
            <v>D</v>
          </cell>
          <cell r="L46" t="str">
            <v>B</v>
          </cell>
          <cell r="M46" t="str">
            <v>A</v>
          </cell>
          <cell r="N46" t="str">
            <v>B</v>
          </cell>
          <cell r="O46" t="str">
            <v>A</v>
          </cell>
          <cell r="P46" t="str">
            <v>C</v>
          </cell>
          <cell r="Q46" t="str">
            <v>B</v>
          </cell>
          <cell r="R46" t="str">
            <v>A</v>
          </cell>
          <cell r="S46"/>
          <cell r="T46"/>
          <cell r="U46"/>
          <cell r="V46"/>
          <cell r="W46"/>
          <cell r="X46">
            <v>50.9</v>
          </cell>
        </row>
        <row r="47">
          <cell r="C47">
            <v>13877727</v>
          </cell>
          <cell r="D47" t="str">
            <v>ТОВ "ПЕК"</v>
          </cell>
          <cell r="E47">
            <v>45686.732300000003</v>
          </cell>
          <cell r="F47">
            <v>45566</v>
          </cell>
          <cell r="G47" t="str">
            <v>E</v>
          </cell>
          <cell r="H47" t="str">
            <v>A</v>
          </cell>
          <cell r="I47" t="str">
            <v>C</v>
          </cell>
          <cell r="J47" t="str">
            <v>A</v>
          </cell>
          <cell r="K47" t="str">
            <v>D</v>
          </cell>
          <cell r="L47" t="str">
            <v>B</v>
          </cell>
          <cell r="M47" t="str">
            <v>A</v>
          </cell>
          <cell r="N47" t="str">
            <v>B</v>
          </cell>
          <cell r="O47" t="str">
            <v>A</v>
          </cell>
          <cell r="P47" t="str">
            <v>C</v>
          </cell>
          <cell r="Q47" t="str">
            <v>C</v>
          </cell>
          <cell r="R47" t="str">
            <v>A</v>
          </cell>
          <cell r="S47"/>
          <cell r="T47"/>
          <cell r="U47"/>
          <cell r="V47"/>
          <cell r="W47"/>
          <cell r="X47">
            <v>40.699999999999996</v>
          </cell>
        </row>
        <row r="48">
          <cell r="C48">
            <v>13906950</v>
          </cell>
          <cell r="D48" t="str">
            <v>ТОВ "МП ЕФЕС"</v>
          </cell>
          <cell r="E48">
            <v>45960.7765</v>
          </cell>
          <cell r="F48">
            <v>45839</v>
          </cell>
          <cell r="G48" t="str">
            <v>E</v>
          </cell>
          <cell r="H48" t="str">
            <v>B</v>
          </cell>
          <cell r="I48" t="str">
            <v>B</v>
          </cell>
          <cell r="J48" t="str">
            <v>A</v>
          </cell>
          <cell r="K48" t="str">
            <v>D</v>
          </cell>
          <cell r="L48" t="str">
            <v>A</v>
          </cell>
          <cell r="M48" t="str">
            <v>A</v>
          </cell>
          <cell r="N48" t="str">
            <v>B</v>
          </cell>
          <cell r="O48" t="str">
            <v>A</v>
          </cell>
          <cell r="P48" t="str">
            <v>C</v>
          </cell>
          <cell r="Q48" t="str">
            <v>B</v>
          </cell>
          <cell r="R48" t="str">
            <v>A</v>
          </cell>
          <cell r="X48">
            <v>52.9</v>
          </cell>
        </row>
        <row r="49">
          <cell r="C49">
            <v>13931059</v>
          </cell>
          <cell r="D49" t="str">
            <v>ТОВ-ПІДПРИЄМСТВО "ІЗУМРУД ЛТД"</v>
          </cell>
          <cell r="E49">
            <v>45895.414900000003</v>
          </cell>
          <cell r="F49">
            <v>45748</v>
          </cell>
          <cell r="G49" t="str">
            <v>D</v>
          </cell>
          <cell r="H49" t="str">
            <v>B</v>
          </cell>
          <cell r="I49" t="str">
            <v>B</v>
          </cell>
          <cell r="J49" t="str">
            <v>A</v>
          </cell>
          <cell r="K49" t="str">
            <v>D</v>
          </cell>
          <cell r="L49" t="str">
            <v>B</v>
          </cell>
          <cell r="M49" t="str">
            <v>A</v>
          </cell>
          <cell r="N49" t="str">
            <v>B</v>
          </cell>
          <cell r="O49" t="str">
            <v>A</v>
          </cell>
          <cell r="P49" t="str">
            <v>C</v>
          </cell>
          <cell r="Q49" t="str">
            <v>C</v>
          </cell>
          <cell r="R49" t="str">
            <v>C</v>
          </cell>
          <cell r="S49"/>
          <cell r="T49"/>
          <cell r="U49"/>
          <cell r="V49"/>
          <cell r="W49"/>
          <cell r="X49">
            <v>43.9</v>
          </cell>
        </row>
        <row r="50">
          <cell r="C50">
            <v>13938392</v>
          </cell>
          <cell r="D50" t="str">
            <v>ТОВ БФ "АСТРА"</v>
          </cell>
          <cell r="E50">
            <v>45750.502500000002</v>
          </cell>
          <cell r="F50">
            <v>45658</v>
          </cell>
          <cell r="G50" t="str">
            <v>E</v>
          </cell>
          <cell r="H50" t="str">
            <v>C</v>
          </cell>
          <cell r="I50" t="str">
            <v>B</v>
          </cell>
          <cell r="J50" t="str">
            <v>C</v>
          </cell>
          <cell r="K50" t="str">
            <v>D</v>
          </cell>
          <cell r="L50" t="str">
            <v>A</v>
          </cell>
          <cell r="M50" t="str">
            <v>A</v>
          </cell>
          <cell r="N50" t="str">
            <v>B</v>
          </cell>
          <cell r="O50" t="str">
            <v>A</v>
          </cell>
          <cell r="P50" t="str">
            <v>C</v>
          </cell>
          <cell r="Q50" t="str">
            <v>B</v>
          </cell>
          <cell r="R50" t="str">
            <v>A</v>
          </cell>
          <cell r="S50"/>
          <cell r="T50"/>
          <cell r="U50"/>
          <cell r="V50"/>
          <cell r="W50"/>
          <cell r="X50">
            <v>56.9</v>
          </cell>
        </row>
        <row r="51">
          <cell r="C51">
            <v>14013532</v>
          </cell>
          <cell r="D51" t="str">
            <v>ТОВ "ТД "УКРМІНХІМ"</v>
          </cell>
          <cell r="E51">
            <v>45699.6198</v>
          </cell>
          <cell r="F51">
            <v>45566</v>
          </cell>
          <cell r="G51" t="str">
            <v>D</v>
          </cell>
          <cell r="H51" t="str">
            <v>C</v>
          </cell>
          <cell r="I51" t="str">
            <v>B</v>
          </cell>
          <cell r="J51" t="str">
            <v>C</v>
          </cell>
          <cell r="K51" t="str">
            <v>D</v>
          </cell>
          <cell r="L51" t="str">
            <v>A</v>
          </cell>
          <cell r="M51" t="str">
            <v>A</v>
          </cell>
          <cell r="N51" t="str">
            <v>A</v>
          </cell>
          <cell r="O51" t="str">
            <v>A</v>
          </cell>
          <cell r="P51" t="str">
            <v>C</v>
          </cell>
          <cell r="Q51" t="str">
            <v>B</v>
          </cell>
          <cell r="R51" t="str">
            <v>A</v>
          </cell>
          <cell r="S51"/>
          <cell r="T51"/>
          <cell r="U51"/>
          <cell r="V51"/>
          <cell r="W51"/>
          <cell r="X51">
            <v>63.8</v>
          </cell>
        </row>
        <row r="52">
          <cell r="C52">
            <v>14284053</v>
          </cell>
          <cell r="D52" t="str">
            <v>ТОВ "ІЛТА"</v>
          </cell>
          <cell r="E52">
            <v>45596.6011</v>
          </cell>
          <cell r="F52">
            <v>45474</v>
          </cell>
          <cell r="G52" t="str">
            <v>D</v>
          </cell>
          <cell r="H52" t="str">
            <v>B</v>
          </cell>
          <cell r="I52" t="str">
            <v>B</v>
          </cell>
          <cell r="J52" t="str">
            <v>D</v>
          </cell>
          <cell r="K52" t="str">
            <v>D</v>
          </cell>
          <cell r="L52" t="str">
            <v>A</v>
          </cell>
          <cell r="M52" t="str">
            <v>A</v>
          </cell>
          <cell r="N52" t="str">
            <v>A</v>
          </cell>
          <cell r="O52" t="str">
            <v>A</v>
          </cell>
          <cell r="P52" t="str">
            <v>B</v>
          </cell>
          <cell r="Q52" t="str">
            <v>A</v>
          </cell>
          <cell r="R52" t="str">
            <v>A</v>
          </cell>
          <cell r="S52"/>
          <cell r="T52"/>
          <cell r="U52"/>
          <cell r="V52"/>
          <cell r="W52"/>
          <cell r="X52">
            <v>72</v>
          </cell>
        </row>
        <row r="53">
          <cell r="C53">
            <v>14291113</v>
          </cell>
          <cell r="D53" t="str">
            <v>ТОВ СП "НІБУЛОН"</v>
          </cell>
          <cell r="E53">
            <v>45911</v>
          </cell>
          <cell r="F53">
            <v>45658</v>
          </cell>
          <cell r="G53" t="str">
            <v>D</v>
          </cell>
          <cell r="H53" t="str">
            <v>C</v>
          </cell>
          <cell r="I53" t="str">
            <v>C</v>
          </cell>
          <cell r="J53" t="str">
            <v>A</v>
          </cell>
          <cell r="K53" t="str">
            <v>D</v>
          </cell>
          <cell r="L53" t="str">
            <v>B</v>
          </cell>
          <cell r="M53" t="str">
            <v>E</v>
          </cell>
          <cell r="N53" t="str">
            <v>B</v>
          </cell>
          <cell r="O53" t="str">
            <v>A</v>
          </cell>
          <cell r="P53" t="str">
            <v>C</v>
          </cell>
          <cell r="Q53" t="str">
            <v>A</v>
          </cell>
          <cell r="R53" t="str">
            <v>A</v>
          </cell>
          <cell r="S53"/>
          <cell r="T53"/>
          <cell r="U53"/>
          <cell r="V53"/>
          <cell r="W53"/>
          <cell r="X53">
            <v>36.5</v>
          </cell>
        </row>
        <row r="54">
          <cell r="C54">
            <v>14300875</v>
          </cell>
          <cell r="D54" t="str">
            <v>ТОВ "УКРІНФОРМТРЕЙД"</v>
          </cell>
          <cell r="E54">
            <v>45586.630299999997</v>
          </cell>
          <cell r="F54">
            <v>45474</v>
          </cell>
          <cell r="G54" t="str">
            <v>E</v>
          </cell>
          <cell r="H54" t="str">
            <v>B</v>
          </cell>
          <cell r="I54" t="str">
            <v>C</v>
          </cell>
          <cell r="J54" t="str">
            <v>B</v>
          </cell>
          <cell r="K54" t="str">
            <v>D</v>
          </cell>
          <cell r="L54" t="str">
            <v>A</v>
          </cell>
          <cell r="M54" t="str">
            <v>D</v>
          </cell>
          <cell r="N54" t="str">
            <v>D</v>
          </cell>
          <cell r="O54" t="str">
            <v>A</v>
          </cell>
          <cell r="P54" t="str">
            <v>C</v>
          </cell>
          <cell r="Q54" t="str">
            <v>C</v>
          </cell>
          <cell r="R54" t="str">
            <v>A</v>
          </cell>
          <cell r="S54"/>
          <cell r="T54"/>
          <cell r="U54"/>
          <cell r="V54"/>
          <cell r="W54"/>
          <cell r="X54">
            <v>35.200000000000003</v>
          </cell>
        </row>
        <row r="55">
          <cell r="C55">
            <v>14307529</v>
          </cell>
          <cell r="D55" t="str">
            <v>АТ «АНТОНОВ»</v>
          </cell>
          <cell r="E55">
            <v>45966.404399999999</v>
          </cell>
          <cell r="F55">
            <v>45931</v>
          </cell>
          <cell r="G55" t="str">
            <v>B</v>
          </cell>
          <cell r="H55" t="str">
            <v>B</v>
          </cell>
          <cell r="I55" t="str">
            <v>B</v>
          </cell>
          <cell r="J55" t="str">
            <v>C</v>
          </cell>
          <cell r="K55" t="str">
            <v>D</v>
          </cell>
          <cell r="L55" t="str">
            <v>A</v>
          </cell>
          <cell r="M55" t="str">
            <v>A</v>
          </cell>
          <cell r="N55" t="str">
            <v>A</v>
          </cell>
          <cell r="O55" t="str">
            <v>A</v>
          </cell>
          <cell r="P55" t="str">
            <v>C</v>
          </cell>
          <cell r="Q55" t="str">
            <v>B</v>
          </cell>
          <cell r="R55" t="str">
            <v>A</v>
          </cell>
          <cell r="X55">
            <v>69.800000000000011</v>
          </cell>
        </row>
        <row r="56">
          <cell r="C56">
            <v>14307794</v>
          </cell>
          <cell r="D56" t="str">
            <v>АТ "МОТОР СІЧ"</v>
          </cell>
          <cell r="E56">
            <v>45971.499499999998</v>
          </cell>
          <cell r="F56">
            <v>45839</v>
          </cell>
          <cell r="G56" t="str">
            <v>A</v>
          </cell>
          <cell r="H56" t="str">
            <v>B</v>
          </cell>
          <cell r="I56" t="str">
            <v>B</v>
          </cell>
          <cell r="J56" t="str">
            <v>D</v>
          </cell>
          <cell r="K56" t="str">
            <v>D</v>
          </cell>
          <cell r="L56" t="str">
            <v>A</v>
          </cell>
          <cell r="M56" t="str">
            <v>A</v>
          </cell>
          <cell r="N56" t="str">
            <v>B</v>
          </cell>
          <cell r="O56" t="str">
            <v>A</v>
          </cell>
          <cell r="P56" t="str">
            <v>C</v>
          </cell>
          <cell r="Q56" t="str">
            <v>C</v>
          </cell>
          <cell r="R56" t="str">
            <v>B</v>
          </cell>
          <cell r="S56"/>
          <cell r="T56"/>
          <cell r="U56"/>
          <cell r="V56"/>
          <cell r="W56"/>
          <cell r="X56">
            <v>61.9</v>
          </cell>
        </row>
        <row r="57">
          <cell r="C57">
            <v>14311169</v>
          </cell>
          <cell r="D57" t="str">
            <v>ПРАТ "КМЗ", ПРАТ "КАРЛІВСЬКИЙ МАШИНОБУДІВНИЙ ЗАВОД"</v>
          </cell>
          <cell r="E57">
            <v>45933.651700000002</v>
          </cell>
          <cell r="F57">
            <v>45839</v>
          </cell>
          <cell r="G57" t="str">
            <v>D</v>
          </cell>
          <cell r="H57" t="str">
            <v>C</v>
          </cell>
          <cell r="I57" t="str">
            <v>B</v>
          </cell>
          <cell r="J57" t="str">
            <v>B</v>
          </cell>
          <cell r="K57" t="str">
            <v>D</v>
          </cell>
          <cell r="L57" t="str">
            <v>A</v>
          </cell>
          <cell r="M57" t="str">
            <v>A</v>
          </cell>
          <cell r="N57" t="str">
            <v>B</v>
          </cell>
          <cell r="O57" t="str">
            <v>A</v>
          </cell>
          <cell r="P57" t="str">
            <v>C</v>
          </cell>
          <cell r="Q57" t="str">
            <v>B</v>
          </cell>
          <cell r="R57" t="str">
            <v>A</v>
          </cell>
          <cell r="X57">
            <v>57.699999999999996</v>
          </cell>
        </row>
        <row r="58">
          <cell r="C58">
            <v>14338180</v>
          </cell>
          <cell r="D58" t="str">
            <v>ТОВ "СЛАВСАНТ"</v>
          </cell>
          <cell r="E58">
            <v>45722.548900000002</v>
          </cell>
          <cell r="F58">
            <v>45566</v>
          </cell>
          <cell r="G58" t="str">
            <v>E</v>
          </cell>
          <cell r="H58" t="str">
            <v>B</v>
          </cell>
          <cell r="I58" t="str">
            <v>B</v>
          </cell>
          <cell r="J58" t="str">
            <v>D</v>
          </cell>
          <cell r="K58" t="str">
            <v>D</v>
          </cell>
          <cell r="L58" t="str">
            <v>B</v>
          </cell>
          <cell r="M58" t="str">
            <v>C</v>
          </cell>
          <cell r="N58" t="str">
            <v>A</v>
          </cell>
          <cell r="O58" t="str">
            <v>A</v>
          </cell>
          <cell r="P58" t="str">
            <v>C</v>
          </cell>
          <cell r="Q58" t="str">
            <v>B</v>
          </cell>
          <cell r="R58" t="str">
            <v>A</v>
          </cell>
          <cell r="S58"/>
          <cell r="T58"/>
          <cell r="U58"/>
          <cell r="V58"/>
          <cell r="W58"/>
          <cell r="X58">
            <v>51.8</v>
          </cell>
        </row>
        <row r="59">
          <cell r="C59">
            <v>14344944</v>
          </cell>
          <cell r="D59" t="str">
            <v>ТзОВ "Віденська кава"</v>
          </cell>
          <cell r="E59">
            <v>45978.420400000003</v>
          </cell>
          <cell r="F59">
            <v>45931</v>
          </cell>
          <cell r="G59" t="str">
            <v>D</v>
          </cell>
          <cell r="H59" t="str">
            <v>B</v>
          </cell>
          <cell r="I59" t="str">
            <v>B</v>
          </cell>
          <cell r="J59" t="str">
            <v>B</v>
          </cell>
          <cell r="K59" t="str">
            <v>C</v>
          </cell>
          <cell r="L59" t="str">
            <v>A</v>
          </cell>
          <cell r="M59" t="str">
            <v>A</v>
          </cell>
          <cell r="N59" t="str">
            <v>A</v>
          </cell>
          <cell r="O59" t="str">
            <v>A</v>
          </cell>
          <cell r="P59" t="str">
            <v>C</v>
          </cell>
          <cell r="Q59" t="str">
            <v>B</v>
          </cell>
          <cell r="R59" t="str">
            <v>A</v>
          </cell>
          <cell r="X59">
            <v>65.400000000000006</v>
          </cell>
        </row>
        <row r="60">
          <cell r="C60">
            <v>16305477</v>
          </cell>
          <cell r="D60" t="str">
            <v>ТОВ "СавВАТС"</v>
          </cell>
          <cell r="E60">
            <v>45959.733</v>
          </cell>
          <cell r="F60">
            <v>45839</v>
          </cell>
          <cell r="G60" t="str">
            <v>E</v>
          </cell>
          <cell r="H60" t="str">
            <v>A</v>
          </cell>
          <cell r="I60" t="str">
            <v>B</v>
          </cell>
          <cell r="J60" t="str">
            <v>A</v>
          </cell>
          <cell r="K60" t="str">
            <v>D</v>
          </cell>
          <cell r="L60" t="str">
            <v>A</v>
          </cell>
          <cell r="M60" t="str">
            <v>A</v>
          </cell>
          <cell r="N60" t="str">
            <v>B</v>
          </cell>
          <cell r="O60" t="str">
            <v>A</v>
          </cell>
          <cell r="P60" t="str">
            <v>C</v>
          </cell>
          <cell r="Q60" t="str">
            <v>B</v>
          </cell>
          <cell r="R60" t="str">
            <v>A</v>
          </cell>
          <cell r="S60"/>
          <cell r="T60"/>
          <cell r="U60"/>
          <cell r="V60"/>
          <cell r="W60"/>
          <cell r="X60">
            <v>55.300000000000004</v>
          </cell>
        </row>
        <row r="61">
          <cell r="C61">
            <v>19151204</v>
          </cell>
          <cell r="D61" t="str">
            <v>ПрАТ "ДНІПРОВСЬКИЙ ЗАВОД "АЛЮМАШ"</v>
          </cell>
          <cell r="E61">
            <v>45558.563000000002</v>
          </cell>
          <cell r="F61">
            <v>45474</v>
          </cell>
          <cell r="G61" t="str">
            <v>E</v>
          </cell>
          <cell r="H61" t="str">
            <v>A</v>
          </cell>
          <cell r="I61" t="str">
            <v>A</v>
          </cell>
          <cell r="J61" t="str">
            <v>A</v>
          </cell>
          <cell r="K61" t="str">
            <v>D</v>
          </cell>
          <cell r="L61" t="str">
            <v>A</v>
          </cell>
          <cell r="M61" t="str">
            <v>A</v>
          </cell>
          <cell r="N61" t="str">
            <v>B</v>
          </cell>
          <cell r="O61" t="str">
            <v>A</v>
          </cell>
          <cell r="P61" t="str">
            <v>C</v>
          </cell>
          <cell r="Q61" t="str">
            <v>B</v>
          </cell>
          <cell r="R61" t="str">
            <v>A</v>
          </cell>
          <cell r="S61"/>
          <cell r="T61"/>
          <cell r="U61"/>
          <cell r="V61"/>
          <cell r="W61"/>
          <cell r="X61">
            <v>50.9</v>
          </cell>
        </row>
        <row r="62">
          <cell r="C62">
            <v>19338138</v>
          </cell>
          <cell r="D62" t="str">
            <v>ПрАТ "ЛАКМА"</v>
          </cell>
          <cell r="E62">
            <v>45596.3534</v>
          </cell>
          <cell r="F62">
            <v>45474</v>
          </cell>
          <cell r="G62" t="str">
            <v>E</v>
          </cell>
          <cell r="H62" t="str">
            <v>B</v>
          </cell>
          <cell r="I62" t="str">
            <v>B</v>
          </cell>
          <cell r="J62" t="str">
            <v>B</v>
          </cell>
          <cell r="K62" t="str">
            <v>D</v>
          </cell>
          <cell r="L62" t="str">
            <v>A</v>
          </cell>
          <cell r="M62" t="str">
            <v>A</v>
          </cell>
          <cell r="N62" t="str">
            <v>A</v>
          </cell>
          <cell r="O62" t="str">
            <v>A</v>
          </cell>
          <cell r="P62" t="str">
            <v>C</v>
          </cell>
          <cell r="Q62" t="str">
            <v>B</v>
          </cell>
          <cell r="R62" t="str">
            <v>A</v>
          </cell>
          <cell r="S62"/>
          <cell r="T62"/>
          <cell r="U62"/>
          <cell r="V62"/>
          <cell r="W62"/>
          <cell r="X62">
            <v>59</v>
          </cell>
        </row>
        <row r="63">
          <cell r="C63">
            <v>19394119</v>
          </cell>
          <cell r="D63" t="str">
            <v>ПП "Вестхім"</v>
          </cell>
          <cell r="E63">
            <v>45874.492700000003</v>
          </cell>
          <cell r="F63">
            <v>45748</v>
          </cell>
          <cell r="G63" t="str">
            <v>E</v>
          </cell>
          <cell r="H63" t="str">
            <v>A</v>
          </cell>
          <cell r="I63" t="str">
            <v>C</v>
          </cell>
          <cell r="J63" t="str">
            <v>A</v>
          </cell>
          <cell r="K63" t="str">
            <v>D</v>
          </cell>
          <cell r="L63" t="str">
            <v>B</v>
          </cell>
          <cell r="M63" t="str">
            <v>A</v>
          </cell>
          <cell r="N63" t="str">
            <v>B</v>
          </cell>
          <cell r="O63" t="str">
            <v>A</v>
          </cell>
          <cell r="P63" t="str">
            <v>C</v>
          </cell>
          <cell r="Q63" t="str">
            <v>B</v>
          </cell>
          <cell r="R63" t="str">
            <v>A</v>
          </cell>
          <cell r="S63"/>
          <cell r="T63"/>
          <cell r="U63"/>
          <cell r="V63"/>
          <cell r="W63"/>
          <cell r="X63">
            <v>42.5</v>
          </cell>
        </row>
        <row r="64">
          <cell r="C64">
            <v>20122395</v>
          </cell>
          <cell r="D64" t="str">
            <v>ТОВ "ОККО-ДРАЙВ"</v>
          </cell>
          <cell r="E64">
            <v>45653.631099999999</v>
          </cell>
          <cell r="F64">
            <v>45474</v>
          </cell>
          <cell r="G64" t="str">
            <v>C</v>
          </cell>
          <cell r="H64" t="str">
            <v>C</v>
          </cell>
          <cell r="I64" t="str">
            <v>B</v>
          </cell>
          <cell r="J64" t="str">
            <v>C</v>
          </cell>
          <cell r="K64" t="str">
            <v>D</v>
          </cell>
          <cell r="L64" t="str">
            <v>A</v>
          </cell>
          <cell r="M64" t="str">
            <v>A</v>
          </cell>
          <cell r="N64" t="str">
            <v>A</v>
          </cell>
          <cell r="O64" t="str">
            <v>B</v>
          </cell>
          <cell r="P64" t="str">
            <v>C</v>
          </cell>
          <cell r="Q64" t="str">
            <v>B</v>
          </cell>
          <cell r="R64" t="str">
            <v>A</v>
          </cell>
          <cell r="S64"/>
          <cell r="T64"/>
          <cell r="U64"/>
          <cell r="V64"/>
          <cell r="W64"/>
          <cell r="X64">
            <v>60.599999999999994</v>
          </cell>
        </row>
        <row r="65">
          <cell r="C65">
            <v>20303352</v>
          </cell>
          <cell r="D65" t="str">
            <v>ТОВ "ЗАВОД "ПСМ"</v>
          </cell>
          <cell r="E65">
            <v>45948.830699999999</v>
          </cell>
          <cell r="F65">
            <v>45658</v>
          </cell>
          <cell r="G65" t="str">
            <v>E</v>
          </cell>
          <cell r="H65" t="str">
            <v>B</v>
          </cell>
          <cell r="I65" t="str">
            <v>B</v>
          </cell>
          <cell r="J65" t="str">
            <v>A</v>
          </cell>
          <cell r="K65" t="str">
            <v>D</v>
          </cell>
          <cell r="L65" t="str">
            <v>B</v>
          </cell>
          <cell r="M65" t="str">
            <v>B</v>
          </cell>
          <cell r="N65" t="str">
            <v>B</v>
          </cell>
          <cell r="O65" t="str">
            <v>A</v>
          </cell>
          <cell r="P65" t="str">
            <v>C</v>
          </cell>
          <cell r="Q65" t="str">
            <v>B</v>
          </cell>
          <cell r="R65" t="str">
            <v>A</v>
          </cell>
          <cell r="S65"/>
          <cell r="T65"/>
          <cell r="U65"/>
          <cell r="V65"/>
          <cell r="W65"/>
          <cell r="X65">
            <v>41.7</v>
          </cell>
        </row>
        <row r="66">
          <cell r="C66">
            <v>20620489</v>
          </cell>
          <cell r="D66" t="str">
            <v>ПРАТ "ПЕНТОПАК"</v>
          </cell>
          <cell r="E66">
            <v>45862.927300000003</v>
          </cell>
          <cell r="F66">
            <v>45748</v>
          </cell>
          <cell r="G66" t="str">
            <v>E</v>
          </cell>
          <cell r="H66" t="str">
            <v>B</v>
          </cell>
          <cell r="I66" t="str">
            <v>C</v>
          </cell>
          <cell r="J66" t="str">
            <v>A</v>
          </cell>
          <cell r="K66" t="str">
            <v>D</v>
          </cell>
          <cell r="L66" t="str">
            <v>A</v>
          </cell>
          <cell r="M66" t="str">
            <v>A</v>
          </cell>
          <cell r="N66" t="str">
            <v>B</v>
          </cell>
          <cell r="O66" t="str">
            <v>A</v>
          </cell>
          <cell r="P66" t="str">
            <v>C</v>
          </cell>
          <cell r="Q66" t="str">
            <v>C</v>
          </cell>
          <cell r="R66" t="str">
            <v>A</v>
          </cell>
          <cell r="X66">
            <v>43.099999999999994</v>
          </cell>
        </row>
        <row r="67">
          <cell r="C67">
            <v>20641422</v>
          </cell>
          <cell r="D67" t="str">
            <v>ТОВ ФІРМА  "АЛЕКО"</v>
          </cell>
          <cell r="E67">
            <v>45639.675000000003</v>
          </cell>
          <cell r="F67">
            <v>45566</v>
          </cell>
          <cell r="G67" t="str">
            <v>E</v>
          </cell>
          <cell r="H67" t="str">
            <v>B</v>
          </cell>
          <cell r="I67" t="str">
            <v>B</v>
          </cell>
          <cell r="J67" t="str">
            <v>B</v>
          </cell>
          <cell r="K67" t="str">
            <v>D</v>
          </cell>
          <cell r="L67" t="str">
            <v>B</v>
          </cell>
          <cell r="M67" t="str">
            <v>A</v>
          </cell>
          <cell r="N67" t="str">
            <v>A</v>
          </cell>
          <cell r="O67" t="str">
            <v>A</v>
          </cell>
          <cell r="P67" t="str">
            <v>C</v>
          </cell>
          <cell r="Q67" t="str">
            <v>B</v>
          </cell>
          <cell r="R67" t="str">
            <v>A</v>
          </cell>
          <cell r="X67">
            <v>54.199999999999996</v>
          </cell>
        </row>
        <row r="68">
          <cell r="C68">
            <v>20651018</v>
          </cell>
          <cell r="D68" t="str">
            <v>ПП "ВІКТОР І К"</v>
          </cell>
          <cell r="E68">
            <v>45866.767399999997</v>
          </cell>
          <cell r="F68">
            <v>45748</v>
          </cell>
          <cell r="G68" t="str">
            <v>D</v>
          </cell>
          <cell r="H68" t="str">
            <v>B</v>
          </cell>
          <cell r="I68" t="str">
            <v>B</v>
          </cell>
          <cell r="J68" t="str">
            <v>B</v>
          </cell>
          <cell r="K68" t="str">
            <v>D</v>
          </cell>
          <cell r="L68" t="str">
            <v>A</v>
          </cell>
          <cell r="M68" t="str">
            <v>A</v>
          </cell>
          <cell r="N68" t="str">
            <v>B</v>
          </cell>
          <cell r="O68" t="str">
            <v>B</v>
          </cell>
          <cell r="P68" t="str">
            <v>B</v>
          </cell>
          <cell r="Q68" t="str">
            <v>B</v>
          </cell>
          <cell r="R68" t="str">
            <v>A</v>
          </cell>
          <cell r="X68">
            <v>57.500000000000007</v>
          </cell>
        </row>
        <row r="69">
          <cell r="C69">
            <v>20873670</v>
          </cell>
          <cell r="D69" t="str">
            <v>ППФ "ЮНІКС ТРЕЙД КО"</v>
          </cell>
          <cell r="E69">
            <v>45832.481299999999</v>
          </cell>
          <cell r="F69">
            <v>45658</v>
          </cell>
          <cell r="G69" t="str">
            <v>E</v>
          </cell>
          <cell r="H69" t="str">
            <v>C</v>
          </cell>
          <cell r="I69" t="str">
            <v>A</v>
          </cell>
          <cell r="J69" t="str">
            <v>A</v>
          </cell>
          <cell r="K69" t="str">
            <v>B</v>
          </cell>
          <cell r="L69" t="str">
            <v>A</v>
          </cell>
          <cell r="M69" t="str">
            <v>A</v>
          </cell>
          <cell r="N69" t="str">
            <v>B</v>
          </cell>
          <cell r="O69" t="str">
            <v>A</v>
          </cell>
          <cell r="P69" t="str">
            <v>C</v>
          </cell>
          <cell r="Q69" t="str">
            <v>B</v>
          </cell>
          <cell r="R69" t="str">
            <v>A</v>
          </cell>
          <cell r="X69">
            <v>50.5</v>
          </cell>
        </row>
        <row r="70">
          <cell r="C70">
            <v>20920180</v>
          </cell>
          <cell r="D70" t="str">
            <v>ТОВ "ЕЛЕФАНТ"</v>
          </cell>
          <cell r="E70">
            <v>45705.411</v>
          </cell>
          <cell r="F70">
            <v>45658</v>
          </cell>
          <cell r="G70" t="str">
            <v>E</v>
          </cell>
          <cell r="H70" t="str">
            <v>C</v>
          </cell>
          <cell r="I70" t="str">
            <v>B</v>
          </cell>
          <cell r="J70" t="str">
            <v>D</v>
          </cell>
          <cell r="K70" t="str">
            <v>D</v>
          </cell>
          <cell r="L70" t="str">
            <v>A</v>
          </cell>
          <cell r="M70" t="str">
            <v>A</v>
          </cell>
          <cell r="N70" t="str">
            <v>B</v>
          </cell>
          <cell r="O70" t="str">
            <v>A</v>
          </cell>
          <cell r="P70" t="str">
            <v>C</v>
          </cell>
          <cell r="Q70" t="str">
            <v>B</v>
          </cell>
          <cell r="R70" t="str">
            <v>A</v>
          </cell>
          <cell r="X70">
            <v>59.300000000000004</v>
          </cell>
        </row>
        <row r="71">
          <cell r="C71">
            <v>20955698</v>
          </cell>
          <cell r="D71" t="str">
            <v>ТОВ ФІРМА "ОНИСС"</v>
          </cell>
          <cell r="E71">
            <v>45785.4571</v>
          </cell>
          <cell r="F71">
            <v>45658</v>
          </cell>
          <cell r="G71" t="str">
            <v>E</v>
          </cell>
          <cell r="H71" t="str">
            <v>A</v>
          </cell>
          <cell r="I71" t="str">
            <v>C</v>
          </cell>
          <cell r="J71" t="str">
            <v>A</v>
          </cell>
          <cell r="K71" t="str">
            <v>F</v>
          </cell>
          <cell r="L71" t="str">
            <v>B</v>
          </cell>
          <cell r="M71" t="str">
            <v>A</v>
          </cell>
          <cell r="N71" t="str">
            <v>B</v>
          </cell>
          <cell r="O71" t="str">
            <v>A</v>
          </cell>
          <cell r="P71" t="str">
            <v>C</v>
          </cell>
          <cell r="Q71" t="str">
            <v>B</v>
          </cell>
          <cell r="R71" t="str">
            <v>C</v>
          </cell>
          <cell r="X71">
            <v>33.299999999999997</v>
          </cell>
        </row>
        <row r="72">
          <cell r="C72">
            <v>21031996</v>
          </cell>
          <cell r="D72" t="str">
            <v>ФІРМА "ПОЛІМЕД"</v>
          </cell>
          <cell r="E72">
            <v>45579.374799999998</v>
          </cell>
          <cell r="F72">
            <v>45474</v>
          </cell>
          <cell r="G72" t="str">
            <v>E</v>
          </cell>
          <cell r="H72" t="str">
            <v>B</v>
          </cell>
          <cell r="I72" t="str">
            <v>B</v>
          </cell>
          <cell r="J72" t="str">
            <v>B</v>
          </cell>
          <cell r="K72" t="str">
            <v>D</v>
          </cell>
          <cell r="L72" t="str">
            <v>A</v>
          </cell>
          <cell r="M72" t="str">
            <v>B</v>
          </cell>
          <cell r="N72" t="str">
            <v>B</v>
          </cell>
          <cell r="O72" t="str">
            <v>A</v>
          </cell>
          <cell r="P72" t="str">
            <v>C</v>
          </cell>
          <cell r="Q72" t="str">
            <v>C</v>
          </cell>
          <cell r="R72" t="str">
            <v>A</v>
          </cell>
          <cell r="X72">
            <v>47.5</v>
          </cell>
        </row>
        <row r="73">
          <cell r="C73">
            <v>21127532</v>
          </cell>
          <cell r="D73" t="str">
            <v>ТОВ "УКРТЕХНОСИНТЕЗ"</v>
          </cell>
          <cell r="E73">
            <v>45702.761599999998</v>
          </cell>
          <cell r="F73">
            <v>45566</v>
          </cell>
          <cell r="G73" t="str">
            <v>D</v>
          </cell>
          <cell r="H73" t="str">
            <v>B</v>
          </cell>
          <cell r="I73" t="str">
            <v>D</v>
          </cell>
          <cell r="J73" t="str">
            <v>D</v>
          </cell>
          <cell r="K73" t="str">
            <v>E</v>
          </cell>
          <cell r="L73" t="str">
            <v>B</v>
          </cell>
          <cell r="M73" t="str">
            <v>B</v>
          </cell>
          <cell r="N73" t="str">
            <v>D</v>
          </cell>
          <cell r="O73" t="str">
            <v>A</v>
          </cell>
          <cell r="P73" t="str">
            <v>C</v>
          </cell>
          <cell r="Q73" t="str">
            <v>B</v>
          </cell>
          <cell r="R73" t="str">
            <v>B</v>
          </cell>
          <cell r="X73">
            <v>39</v>
          </cell>
        </row>
        <row r="74">
          <cell r="C74">
            <v>21131806</v>
          </cell>
          <cell r="D74" t="str">
            <v>СГ ТОВ"ДРУЖБА"</v>
          </cell>
          <cell r="E74">
            <v>45672.716</v>
          </cell>
          <cell r="F74">
            <v>45566</v>
          </cell>
          <cell r="G74" t="str">
            <v>E</v>
          </cell>
          <cell r="H74" t="str">
            <v>B</v>
          </cell>
          <cell r="I74" t="str">
            <v>D</v>
          </cell>
          <cell r="J74" t="str">
            <v>A</v>
          </cell>
          <cell r="K74" t="str">
            <v>D</v>
          </cell>
          <cell r="L74" t="str">
            <v>A</v>
          </cell>
          <cell r="M74" t="str">
            <v>A</v>
          </cell>
          <cell r="N74" t="str">
            <v>A</v>
          </cell>
          <cell r="O74" t="str">
            <v>A</v>
          </cell>
          <cell r="P74" t="str">
            <v>C</v>
          </cell>
          <cell r="Q74" t="str">
            <v>B</v>
          </cell>
          <cell r="R74" t="str">
            <v>A</v>
          </cell>
          <cell r="X74">
            <v>49.4</v>
          </cell>
        </row>
        <row r="75">
          <cell r="C75">
            <v>21278751</v>
          </cell>
          <cell r="D75" t="str">
            <v>ПП "ВКФ "ДИАДЕМА-КОНСАЛТИНГ"</v>
          </cell>
          <cell r="E75">
            <v>45636.655400000003</v>
          </cell>
          <cell r="F75">
            <v>45566</v>
          </cell>
          <cell r="G75" t="str">
            <v>E</v>
          </cell>
          <cell r="H75" t="str">
            <v>B</v>
          </cell>
          <cell r="I75" t="str">
            <v>B</v>
          </cell>
          <cell r="J75" t="str">
            <v>D</v>
          </cell>
          <cell r="K75" t="str">
            <v>D</v>
          </cell>
          <cell r="L75" t="str">
            <v>A</v>
          </cell>
          <cell r="M75" t="str">
            <v>A</v>
          </cell>
          <cell r="N75" t="str">
            <v>A</v>
          </cell>
          <cell r="O75" t="str">
            <v>A</v>
          </cell>
          <cell r="P75" t="str">
            <v>C</v>
          </cell>
          <cell r="Q75" t="str">
            <v>B</v>
          </cell>
          <cell r="R75" t="str">
            <v>A</v>
          </cell>
          <cell r="X75">
            <v>64.199999999999989</v>
          </cell>
        </row>
        <row r="76">
          <cell r="C76">
            <v>21560045</v>
          </cell>
          <cell r="D76" t="str">
            <v>АТ "Укрпошта"</v>
          </cell>
          <cell r="E76">
            <v>45748.673900000002</v>
          </cell>
          <cell r="F76">
            <v>45566</v>
          </cell>
          <cell r="G76" t="str">
            <v>A</v>
          </cell>
          <cell r="H76" t="str">
            <v>D</v>
          </cell>
          <cell r="I76" t="str">
            <v>D</v>
          </cell>
          <cell r="J76" t="str">
            <v>C</v>
          </cell>
          <cell r="K76" t="str">
            <v>D</v>
          </cell>
          <cell r="L76" t="str">
            <v>A</v>
          </cell>
          <cell r="M76" t="str">
            <v>A</v>
          </cell>
          <cell r="N76" t="str">
            <v>A</v>
          </cell>
          <cell r="O76" t="str">
            <v>A</v>
          </cell>
          <cell r="P76" t="str">
            <v>C</v>
          </cell>
          <cell r="Q76" t="str">
            <v>B</v>
          </cell>
          <cell r="R76" t="str">
            <v>A</v>
          </cell>
          <cell r="X76">
            <v>55.800000000000004</v>
          </cell>
        </row>
        <row r="77">
          <cell r="C77">
            <v>21560766</v>
          </cell>
          <cell r="D77" t="str">
            <v>АТ "УКРТЕЛЕКОМ"</v>
          </cell>
          <cell r="E77">
            <v>45552.680699999997</v>
          </cell>
          <cell r="F77">
            <v>45474</v>
          </cell>
          <cell r="G77" t="str">
            <v>B</v>
          </cell>
          <cell r="H77" t="str">
            <v>C</v>
          </cell>
          <cell r="I77" t="str">
            <v>B</v>
          </cell>
          <cell r="J77" t="str">
            <v>A</v>
          </cell>
          <cell r="K77" t="str">
            <v>D</v>
          </cell>
          <cell r="L77" t="str">
            <v>A</v>
          </cell>
          <cell r="M77" t="str">
            <v>A</v>
          </cell>
          <cell r="N77" t="str">
            <v>B</v>
          </cell>
          <cell r="O77" t="str">
            <v>A</v>
          </cell>
          <cell r="P77" t="str">
            <v>A</v>
          </cell>
          <cell r="Q77" t="str">
            <v>B</v>
          </cell>
          <cell r="R77" t="str">
            <v>A</v>
          </cell>
          <cell r="X77">
            <v>63.500000000000007</v>
          </cell>
        </row>
        <row r="78">
          <cell r="C78">
            <v>21665318</v>
          </cell>
          <cell r="D78" t="str">
            <v>ТОВ "АВЕР-ТЕХ"</v>
          </cell>
          <cell r="E78">
            <v>45960.723100000003</v>
          </cell>
          <cell r="F78">
            <v>45839</v>
          </cell>
          <cell r="G78" t="str">
            <v>E</v>
          </cell>
          <cell r="H78" t="str">
            <v>A</v>
          </cell>
          <cell r="I78" t="str">
            <v>B</v>
          </cell>
          <cell r="J78" t="str">
            <v>B</v>
          </cell>
          <cell r="K78" t="str">
            <v>D</v>
          </cell>
          <cell r="L78" t="str">
            <v>A</v>
          </cell>
          <cell r="M78" t="str">
            <v>A</v>
          </cell>
          <cell r="N78" t="str">
            <v>B</v>
          </cell>
          <cell r="O78" t="str">
            <v>A</v>
          </cell>
          <cell r="P78" t="str">
            <v>C</v>
          </cell>
          <cell r="Q78" t="str">
            <v>C</v>
          </cell>
          <cell r="R78" t="str">
            <v>A</v>
          </cell>
          <cell r="X78">
            <v>56.3</v>
          </cell>
        </row>
        <row r="79">
          <cell r="C79">
            <v>21672519</v>
          </cell>
          <cell r="D79" t="str">
            <v>ТОВ "ХФК "БІОКОН"</v>
          </cell>
          <cell r="E79">
            <v>45992.643300000003</v>
          </cell>
          <cell r="F79">
            <v>45931</v>
          </cell>
          <cell r="G79" t="str">
            <v>E</v>
          </cell>
          <cell r="H79" t="str">
            <v>C</v>
          </cell>
          <cell r="I79" t="str">
            <v>A</v>
          </cell>
          <cell r="J79" t="str">
            <v>A</v>
          </cell>
          <cell r="K79" t="str">
            <v>B</v>
          </cell>
          <cell r="L79" t="str">
            <v>A</v>
          </cell>
          <cell r="M79" t="str">
            <v>A</v>
          </cell>
          <cell r="N79" t="str">
            <v>A</v>
          </cell>
          <cell r="O79" t="str">
            <v>A</v>
          </cell>
          <cell r="P79" t="str">
            <v>C</v>
          </cell>
          <cell r="Q79" t="str">
            <v>B</v>
          </cell>
          <cell r="R79" t="str">
            <v>C</v>
          </cell>
          <cell r="X79">
            <v>47.8</v>
          </cell>
        </row>
        <row r="80">
          <cell r="C80">
            <v>21739072</v>
          </cell>
          <cell r="D80" t="str">
            <v>ТОВ "ТАТРАФАН"</v>
          </cell>
          <cell r="E80">
            <v>45812.387000000002</v>
          </cell>
          <cell r="F80">
            <v>45748</v>
          </cell>
          <cell r="G80" t="str">
            <v>D</v>
          </cell>
          <cell r="H80" t="str">
            <v>B</v>
          </cell>
          <cell r="I80" t="str">
            <v>B</v>
          </cell>
          <cell r="J80" t="str">
            <v>A</v>
          </cell>
          <cell r="K80" t="str">
            <v>A</v>
          </cell>
          <cell r="L80" t="str">
            <v>A</v>
          </cell>
          <cell r="M80" t="str">
            <v>B</v>
          </cell>
          <cell r="N80" t="str">
            <v>A</v>
          </cell>
          <cell r="O80" t="str">
            <v>A</v>
          </cell>
          <cell r="P80" t="str">
            <v>A</v>
          </cell>
          <cell r="Q80" t="str">
            <v>A</v>
          </cell>
          <cell r="R80" t="str">
            <v>B</v>
          </cell>
          <cell r="X80">
            <v>61.2</v>
          </cell>
        </row>
        <row r="81">
          <cell r="C81">
            <v>21751578</v>
          </cell>
          <cell r="D81" t="str">
            <v>СП ТОВ "МОДЕРН-ЕКСПО"</v>
          </cell>
          <cell r="E81">
            <v>45638.983</v>
          </cell>
          <cell r="F81">
            <v>45566</v>
          </cell>
          <cell r="G81" t="str">
            <v>C</v>
          </cell>
          <cell r="H81" t="str">
            <v>B</v>
          </cell>
          <cell r="I81" t="str">
            <v>B</v>
          </cell>
          <cell r="J81" t="str">
            <v>B</v>
          </cell>
          <cell r="K81" t="str">
            <v>C</v>
          </cell>
          <cell r="L81" t="str">
            <v>A</v>
          </cell>
          <cell r="M81" t="str">
            <v>A</v>
          </cell>
          <cell r="N81" t="str">
            <v>A</v>
          </cell>
          <cell r="O81" t="str">
            <v>A</v>
          </cell>
          <cell r="P81" t="str">
            <v>C</v>
          </cell>
          <cell r="Q81" t="str">
            <v>B</v>
          </cell>
          <cell r="R81" t="str">
            <v>A</v>
          </cell>
          <cell r="X81">
            <v>65.800000000000011</v>
          </cell>
        </row>
        <row r="82">
          <cell r="C82">
            <v>21875464</v>
          </cell>
          <cell r="D82" t="str">
            <v>ТОВ ПП "ЗІП"</v>
          </cell>
          <cell r="E82">
            <v>45814</v>
          </cell>
          <cell r="F82">
            <v>45748</v>
          </cell>
          <cell r="G82" t="str">
            <v>E</v>
          </cell>
          <cell r="H82" t="str">
            <v>B</v>
          </cell>
          <cell r="I82" t="str">
            <v>A</v>
          </cell>
          <cell r="J82" t="str">
            <v>A</v>
          </cell>
          <cell r="K82" t="str">
            <v>C</v>
          </cell>
          <cell r="L82" t="str">
            <v>A</v>
          </cell>
          <cell r="M82" t="str">
            <v>A</v>
          </cell>
          <cell r="N82" t="str">
            <v>B</v>
          </cell>
          <cell r="O82" t="str">
            <v>A</v>
          </cell>
          <cell r="P82" t="str">
            <v>C</v>
          </cell>
          <cell r="Q82" t="str">
            <v>B</v>
          </cell>
          <cell r="R82" t="str">
            <v>A</v>
          </cell>
          <cell r="X82">
            <v>51.300000000000004</v>
          </cell>
        </row>
        <row r="83">
          <cell r="C83">
            <v>21899269</v>
          </cell>
          <cell r="D83" t="str">
            <v>ФГ "ЛЮДМИЛА І КО"</v>
          </cell>
          <cell r="E83">
            <v>45854.645900000003</v>
          </cell>
          <cell r="F83">
            <v>45748</v>
          </cell>
          <cell r="G83" t="str">
            <v>E</v>
          </cell>
          <cell r="H83" t="str">
            <v>B</v>
          </cell>
          <cell r="I83" t="str">
            <v>B</v>
          </cell>
          <cell r="J83" t="str">
            <v>B</v>
          </cell>
          <cell r="K83" t="str">
            <v>D</v>
          </cell>
          <cell r="L83" t="str">
            <v>B</v>
          </cell>
          <cell r="M83" t="str">
            <v>A</v>
          </cell>
          <cell r="N83" t="str">
            <v>B</v>
          </cell>
          <cell r="O83" t="str">
            <v>A</v>
          </cell>
          <cell r="P83" t="str">
            <v>C</v>
          </cell>
          <cell r="Q83" t="str">
            <v>B</v>
          </cell>
          <cell r="R83" t="str">
            <v>B</v>
          </cell>
          <cell r="X83">
            <v>47.3</v>
          </cell>
        </row>
        <row r="84">
          <cell r="C84">
            <v>22372423</v>
          </cell>
          <cell r="D84" t="str">
            <v>ТЗОВ "Ю.Р.К."</v>
          </cell>
          <cell r="E84">
            <v>45533.470399999998</v>
          </cell>
          <cell r="F84">
            <v>45474</v>
          </cell>
          <cell r="G84" t="str">
            <v>E</v>
          </cell>
          <cell r="H84" t="str">
            <v>A</v>
          </cell>
          <cell r="I84" t="str">
            <v>B</v>
          </cell>
          <cell r="J84" t="str">
            <v>C</v>
          </cell>
          <cell r="K84" t="str">
            <v>D</v>
          </cell>
          <cell r="L84" t="str">
            <v>A</v>
          </cell>
          <cell r="M84" t="str">
            <v>A</v>
          </cell>
          <cell r="N84" t="str">
            <v>A</v>
          </cell>
          <cell r="O84" t="str">
            <v>A</v>
          </cell>
          <cell r="P84" t="str">
            <v>C</v>
          </cell>
          <cell r="Q84" t="str">
            <v>B</v>
          </cell>
          <cell r="R84" t="str">
            <v>A</v>
          </cell>
          <cell r="X84">
            <v>64.199999999999989</v>
          </cell>
        </row>
        <row r="85">
          <cell r="C85">
            <v>22392394</v>
          </cell>
          <cell r="D85" t="str">
            <v>ТзОВ "ОВАЦІЯ"</v>
          </cell>
          <cell r="E85">
            <v>45588.540999999997</v>
          </cell>
          <cell r="F85">
            <v>45474</v>
          </cell>
          <cell r="G85" t="str">
            <v>E</v>
          </cell>
          <cell r="H85" t="str">
            <v>A</v>
          </cell>
          <cell r="I85" t="str">
            <v>B</v>
          </cell>
          <cell r="J85" t="str">
            <v>D</v>
          </cell>
          <cell r="K85" t="str">
            <v>D</v>
          </cell>
          <cell r="L85" t="str">
            <v>A</v>
          </cell>
          <cell r="M85" t="str">
            <v>A</v>
          </cell>
          <cell r="N85" t="str">
            <v>A</v>
          </cell>
          <cell r="O85" t="str">
            <v>A</v>
          </cell>
          <cell r="P85" t="str">
            <v>C</v>
          </cell>
          <cell r="Q85" t="str">
            <v>B</v>
          </cell>
          <cell r="R85" t="str">
            <v>B</v>
          </cell>
          <cell r="X85">
            <v>63</v>
          </cell>
        </row>
        <row r="86">
          <cell r="C86">
            <v>22447546</v>
          </cell>
          <cell r="D86" t="str">
            <v>ПІДПРИЄМСТВО "ФЛАГМАН" У ФОРМІ ТОВ</v>
          </cell>
          <cell r="E86">
            <v>45588.492400000003</v>
          </cell>
          <cell r="F86">
            <v>45474</v>
          </cell>
          <cell r="G86" t="str">
            <v>E</v>
          </cell>
          <cell r="H86" t="str">
            <v>C</v>
          </cell>
          <cell r="I86" t="str">
            <v>A</v>
          </cell>
          <cell r="J86" t="str">
            <v>C</v>
          </cell>
          <cell r="K86" t="str">
            <v>D</v>
          </cell>
          <cell r="L86" t="str">
            <v>B</v>
          </cell>
          <cell r="M86" t="str">
            <v>A</v>
          </cell>
          <cell r="N86" t="str">
            <v>A</v>
          </cell>
          <cell r="O86" t="str">
            <v>A</v>
          </cell>
          <cell r="P86" t="str">
            <v>C</v>
          </cell>
          <cell r="Q86" t="str">
            <v>B</v>
          </cell>
          <cell r="R86" t="str">
            <v>B</v>
          </cell>
          <cell r="X86">
            <v>47.399999999999991</v>
          </cell>
        </row>
        <row r="87">
          <cell r="C87">
            <v>22748650</v>
          </cell>
          <cell r="D87" t="str">
            <v>ТОВ НВФ "Дріада, ЛТД"</v>
          </cell>
          <cell r="E87">
            <v>45975.521800000002</v>
          </cell>
          <cell r="F87">
            <v>45658</v>
          </cell>
          <cell r="G87" t="str">
            <v>E</v>
          </cell>
          <cell r="H87" t="str">
            <v>B</v>
          </cell>
          <cell r="I87" t="str">
            <v>B</v>
          </cell>
          <cell r="J87" t="str">
            <v>B</v>
          </cell>
          <cell r="K87" t="str">
            <v>D</v>
          </cell>
          <cell r="L87" t="str">
            <v>A</v>
          </cell>
          <cell r="M87" t="str">
            <v>B</v>
          </cell>
          <cell r="N87" t="str">
            <v>A</v>
          </cell>
          <cell r="O87" t="str">
            <v>B</v>
          </cell>
          <cell r="P87" t="str">
            <v>C</v>
          </cell>
          <cell r="Q87" t="str">
            <v>C</v>
          </cell>
          <cell r="R87" t="str">
            <v>B</v>
          </cell>
          <cell r="X87">
            <v>43.599999999999994</v>
          </cell>
        </row>
        <row r="88">
          <cell r="C88">
            <v>22802562</v>
          </cell>
          <cell r="D88" t="str">
            <v>ПП "ВЛАНДЕР"</v>
          </cell>
          <cell r="E88">
            <v>45820.467700000001</v>
          </cell>
          <cell r="F88">
            <v>45748</v>
          </cell>
          <cell r="G88" t="str">
            <v>D</v>
          </cell>
          <cell r="H88" t="str">
            <v>A</v>
          </cell>
          <cell r="I88" t="str">
            <v>B</v>
          </cell>
          <cell r="J88" t="str">
            <v>A</v>
          </cell>
          <cell r="K88" t="str">
            <v>B</v>
          </cell>
          <cell r="L88" t="str">
            <v>A</v>
          </cell>
          <cell r="M88" t="str">
            <v>A</v>
          </cell>
          <cell r="N88" t="str">
            <v>A</v>
          </cell>
          <cell r="O88" t="str">
            <v>A</v>
          </cell>
          <cell r="P88" t="str">
            <v>A</v>
          </cell>
          <cell r="Q88" t="str">
            <v>B</v>
          </cell>
          <cell r="R88" t="str">
            <v>A</v>
          </cell>
          <cell r="X88">
            <v>70</v>
          </cell>
        </row>
        <row r="89">
          <cell r="C89">
            <v>23079576</v>
          </cell>
          <cell r="D89" t="str">
            <v>ТОВ "Бетонярня "Будмайстер"</v>
          </cell>
          <cell r="E89">
            <v>45948.830699999999</v>
          </cell>
          <cell r="F89">
            <v>45658</v>
          </cell>
          <cell r="G89" t="str">
            <v>E</v>
          </cell>
          <cell r="H89" t="str">
            <v>B</v>
          </cell>
          <cell r="I89" t="str">
            <v>B</v>
          </cell>
          <cell r="J89" t="str">
            <v>A</v>
          </cell>
          <cell r="K89" t="str">
            <v>D</v>
          </cell>
          <cell r="L89" t="str">
            <v>B</v>
          </cell>
          <cell r="M89" t="str">
            <v>B</v>
          </cell>
          <cell r="N89" t="str">
            <v>B</v>
          </cell>
          <cell r="O89" t="str">
            <v>A</v>
          </cell>
          <cell r="P89" t="str">
            <v>C</v>
          </cell>
          <cell r="Q89" t="str">
            <v>B</v>
          </cell>
          <cell r="R89" t="str">
            <v>A</v>
          </cell>
          <cell r="X89">
            <v>41.7</v>
          </cell>
        </row>
        <row r="90">
          <cell r="C90">
            <v>23182771</v>
          </cell>
          <cell r="D90" t="str">
            <v>ТОВ "ГЕФЕСТ. ЛТД"</v>
          </cell>
          <cell r="E90">
            <v>45730.466699999997</v>
          </cell>
          <cell r="F90">
            <v>45658</v>
          </cell>
          <cell r="G90" t="str">
            <v>E</v>
          </cell>
          <cell r="H90" t="str">
            <v>C</v>
          </cell>
          <cell r="I90" t="str">
            <v>D</v>
          </cell>
          <cell r="J90" t="str">
            <v>B</v>
          </cell>
          <cell r="K90" t="str">
            <v>B</v>
          </cell>
          <cell r="L90" t="str">
            <v>B</v>
          </cell>
          <cell r="M90" t="str">
            <v>A</v>
          </cell>
          <cell r="N90" t="str">
            <v>B</v>
          </cell>
          <cell r="O90" t="str">
            <v>B</v>
          </cell>
          <cell r="P90" t="str">
            <v>C</v>
          </cell>
          <cell r="Q90" t="str">
            <v>C</v>
          </cell>
          <cell r="R90" t="str">
            <v>A</v>
          </cell>
          <cell r="X90">
            <v>40.699999999999996</v>
          </cell>
        </row>
        <row r="91">
          <cell r="C91">
            <v>23764970</v>
          </cell>
          <cell r="D91" t="str">
            <v>ТОВ ВК "ІНДАСТРІ"</v>
          </cell>
          <cell r="E91">
            <v>45713.861599999997</v>
          </cell>
          <cell r="F91">
            <v>45566</v>
          </cell>
          <cell r="G91" t="str">
            <v>E</v>
          </cell>
          <cell r="H91" t="str">
            <v>B</v>
          </cell>
          <cell r="I91" t="str">
            <v>B</v>
          </cell>
          <cell r="J91" t="str">
            <v>C</v>
          </cell>
          <cell r="K91" t="str">
            <v>E</v>
          </cell>
          <cell r="L91" t="str">
            <v>B</v>
          </cell>
          <cell r="M91" t="str">
            <v>D</v>
          </cell>
          <cell r="N91" t="str">
            <v>C</v>
          </cell>
          <cell r="O91" t="str">
            <v>B</v>
          </cell>
          <cell r="P91" t="str">
            <v>C</v>
          </cell>
          <cell r="Q91" t="str">
            <v>C</v>
          </cell>
          <cell r="R91" t="str">
            <v>A</v>
          </cell>
          <cell r="X91">
            <v>37.6</v>
          </cell>
        </row>
        <row r="92">
          <cell r="C92">
            <v>23934596</v>
          </cell>
          <cell r="D92" t="str">
            <v>ТОВ ФІРМА "КАСКАД"</v>
          </cell>
          <cell r="E92">
            <v>45747.778599999998</v>
          </cell>
          <cell r="F92">
            <v>45658</v>
          </cell>
          <cell r="G92" t="str">
            <v>E</v>
          </cell>
          <cell r="H92" t="str">
            <v>C</v>
          </cell>
          <cell r="I92" t="str">
            <v>B</v>
          </cell>
          <cell r="J92" t="str">
            <v>A</v>
          </cell>
          <cell r="K92" t="str">
            <v>D</v>
          </cell>
          <cell r="L92" t="str">
            <v>B</v>
          </cell>
          <cell r="M92" t="str">
            <v>A</v>
          </cell>
          <cell r="N92" t="str">
            <v>C</v>
          </cell>
          <cell r="O92" t="str">
            <v>A</v>
          </cell>
          <cell r="P92" t="str">
            <v>C</v>
          </cell>
          <cell r="Q92" t="str">
            <v>C</v>
          </cell>
          <cell r="R92" t="str">
            <v>C</v>
          </cell>
          <cell r="X92">
            <v>37.199999999999989</v>
          </cell>
        </row>
        <row r="93">
          <cell r="C93">
            <v>23946642</v>
          </cell>
          <cell r="D93" t="str">
            <v>ТОВ ФІРМА "АЛМАЗ МОТОР, ЛТД"</v>
          </cell>
          <cell r="E93">
            <v>45674.599900000001</v>
          </cell>
          <cell r="F93">
            <v>45566</v>
          </cell>
          <cell r="G93" t="str">
            <v>E</v>
          </cell>
          <cell r="H93" t="str">
            <v>B</v>
          </cell>
          <cell r="I93" t="str">
            <v>B</v>
          </cell>
          <cell r="J93" t="str">
            <v>D</v>
          </cell>
          <cell r="K93" t="str">
            <v>D</v>
          </cell>
          <cell r="L93" t="str">
            <v>A</v>
          </cell>
          <cell r="M93" t="str">
            <v>A</v>
          </cell>
          <cell r="N93" t="str">
            <v>A</v>
          </cell>
          <cell r="O93" t="str">
            <v>A</v>
          </cell>
          <cell r="P93" t="str">
            <v>C</v>
          </cell>
          <cell r="Q93" t="str">
            <v>B</v>
          </cell>
          <cell r="R93" t="str">
            <v>B</v>
          </cell>
          <cell r="X93">
            <v>60.599999999999994</v>
          </cell>
        </row>
        <row r="94">
          <cell r="C94">
            <v>23957545</v>
          </cell>
          <cell r="D94" t="str">
            <v>ТОВ "ЕЛЬПЛАСТ-ЛЬВІВ"</v>
          </cell>
          <cell r="E94">
            <v>45974.6659</v>
          </cell>
          <cell r="F94">
            <v>45839</v>
          </cell>
          <cell r="G94" t="str">
            <v>D</v>
          </cell>
          <cell r="H94" t="str">
            <v>B</v>
          </cell>
          <cell r="I94" t="str">
            <v>B</v>
          </cell>
          <cell r="J94" t="str">
            <v>B</v>
          </cell>
          <cell r="K94" t="str">
            <v>B</v>
          </cell>
          <cell r="L94" t="str">
            <v>B</v>
          </cell>
          <cell r="M94" t="str">
            <v>B</v>
          </cell>
          <cell r="N94" t="str">
            <v>C</v>
          </cell>
          <cell r="O94" t="str">
            <v>A</v>
          </cell>
          <cell r="P94" t="str">
            <v>C</v>
          </cell>
          <cell r="Q94" t="str">
            <v>C</v>
          </cell>
          <cell r="R94" t="str">
            <v>A</v>
          </cell>
          <cell r="X94">
            <v>48.4</v>
          </cell>
        </row>
        <row r="95">
          <cell r="C95">
            <v>23958622</v>
          </cell>
          <cell r="D95" t="str">
            <v>ПрАТ "Галнафтохім"</v>
          </cell>
          <cell r="E95">
            <v>45918.628599999996</v>
          </cell>
          <cell r="F95">
            <v>45839</v>
          </cell>
          <cell r="G95" t="str">
            <v>E</v>
          </cell>
          <cell r="H95" t="str">
            <v>B</v>
          </cell>
          <cell r="I95" t="str">
            <v>A</v>
          </cell>
          <cell r="J95" t="str">
            <v>D</v>
          </cell>
          <cell r="K95" t="str">
            <v>D</v>
          </cell>
          <cell r="L95" t="str">
            <v>A</v>
          </cell>
          <cell r="M95" t="str">
            <v>A</v>
          </cell>
          <cell r="N95" t="str">
            <v>A</v>
          </cell>
          <cell r="O95" t="str">
            <v>A</v>
          </cell>
          <cell r="P95" t="str">
            <v>B</v>
          </cell>
          <cell r="Q95" t="str">
            <v>B</v>
          </cell>
          <cell r="R95" t="str">
            <v>C</v>
          </cell>
          <cell r="X95">
            <v>55.600000000000009</v>
          </cell>
        </row>
        <row r="96">
          <cell r="C96">
            <v>24127337</v>
          </cell>
          <cell r="D96" t="str">
            <v>ТОВ "АВТОМОБІЛЬНИЙ ДОМ "СОЛЛІ-ПЛЮС"</v>
          </cell>
          <cell r="E96">
            <v>45861.418100000003</v>
          </cell>
          <cell r="F96">
            <v>45748</v>
          </cell>
          <cell r="G96" t="str">
            <v>E</v>
          </cell>
          <cell r="H96" t="str">
            <v>B</v>
          </cell>
          <cell r="I96" t="str">
            <v>B</v>
          </cell>
          <cell r="J96" t="str">
            <v>C</v>
          </cell>
          <cell r="K96" t="str">
            <v>D</v>
          </cell>
          <cell r="L96" t="str">
            <v>A</v>
          </cell>
          <cell r="M96" t="str">
            <v>A</v>
          </cell>
          <cell r="N96" t="str">
            <v>B</v>
          </cell>
          <cell r="O96" t="str">
            <v>B</v>
          </cell>
          <cell r="P96" t="str">
            <v>C</v>
          </cell>
          <cell r="Q96" t="str">
            <v>B</v>
          </cell>
          <cell r="R96" t="str">
            <v>C</v>
          </cell>
          <cell r="X96">
            <v>48.900000000000006</v>
          </cell>
        </row>
        <row r="97">
          <cell r="C97">
            <v>24267110</v>
          </cell>
          <cell r="D97" t="str">
            <v>ПП "БУДПОСТАЧ"</v>
          </cell>
          <cell r="E97">
            <v>45707.598599999998</v>
          </cell>
          <cell r="F97">
            <v>45566</v>
          </cell>
          <cell r="G97" t="str">
            <v>D</v>
          </cell>
          <cell r="H97" t="str">
            <v>C</v>
          </cell>
          <cell r="I97" t="str">
            <v>B</v>
          </cell>
          <cell r="J97" t="str">
            <v>A</v>
          </cell>
          <cell r="K97" t="str">
            <v>C</v>
          </cell>
          <cell r="L97" t="str">
            <v>B</v>
          </cell>
          <cell r="M97" t="str">
            <v>A</v>
          </cell>
          <cell r="N97" t="str">
            <v>B</v>
          </cell>
          <cell r="O97" t="str">
            <v>A</v>
          </cell>
          <cell r="P97" t="str">
            <v>C</v>
          </cell>
          <cell r="Q97" t="str">
            <v>C</v>
          </cell>
          <cell r="R97" t="str">
            <v>C</v>
          </cell>
          <cell r="X97">
            <v>45.099999999999994</v>
          </cell>
        </row>
        <row r="98">
          <cell r="C98">
            <v>24316073</v>
          </cell>
          <cell r="D98" t="str">
            <v>ТОВ "ПАРАЛЛЕЛЬ-М ЛТД"</v>
          </cell>
          <cell r="E98">
            <v>45730.466699999997</v>
          </cell>
          <cell r="F98">
            <v>45658</v>
          </cell>
          <cell r="G98" t="str">
            <v>E</v>
          </cell>
          <cell r="H98" t="str">
            <v>C</v>
          </cell>
          <cell r="I98" t="str">
            <v>D</v>
          </cell>
          <cell r="J98" t="str">
            <v>B</v>
          </cell>
          <cell r="K98" t="str">
            <v>B</v>
          </cell>
          <cell r="L98" t="str">
            <v>B</v>
          </cell>
          <cell r="M98" t="str">
            <v>A</v>
          </cell>
          <cell r="N98" t="str">
            <v>B</v>
          </cell>
          <cell r="O98" t="str">
            <v>B</v>
          </cell>
          <cell r="P98" t="str">
            <v>C</v>
          </cell>
          <cell r="Q98" t="str">
            <v>C</v>
          </cell>
          <cell r="R98" t="str">
            <v>A</v>
          </cell>
          <cell r="X98">
            <v>40.699999999999996</v>
          </cell>
        </row>
        <row r="99">
          <cell r="C99">
            <v>24430567</v>
          </cell>
          <cell r="D99" t="str">
            <v>ПП "ДАСК-ЦЕНТР"</v>
          </cell>
          <cell r="E99">
            <v>45833.5432</v>
          </cell>
          <cell r="F99">
            <v>45748</v>
          </cell>
          <cell r="G99" t="str">
            <v>E</v>
          </cell>
          <cell r="H99" t="str">
            <v>B</v>
          </cell>
          <cell r="I99" t="str">
            <v>B</v>
          </cell>
          <cell r="J99" t="str">
            <v>A</v>
          </cell>
          <cell r="K99" t="str">
            <v>D</v>
          </cell>
          <cell r="L99" t="str">
            <v>A</v>
          </cell>
          <cell r="M99" t="str">
            <v>A</v>
          </cell>
          <cell r="N99" t="str">
            <v>B</v>
          </cell>
          <cell r="O99" t="str">
            <v>A</v>
          </cell>
          <cell r="P99" t="str">
            <v>C</v>
          </cell>
          <cell r="Q99" t="str">
            <v>B</v>
          </cell>
          <cell r="R99" t="str">
            <v>A</v>
          </cell>
          <cell r="X99">
            <v>52.9</v>
          </cell>
        </row>
        <row r="100">
          <cell r="C100">
            <v>24432974</v>
          </cell>
          <cell r="D100" t="str">
            <v>ПАТ "АРСЕЛОРМІТТАЛ КРИВИЙ РІГ"</v>
          </cell>
          <cell r="E100">
            <v>45981.718399999998</v>
          </cell>
          <cell r="F100">
            <v>45931</v>
          </cell>
          <cell r="G100" t="str">
            <v>B</v>
          </cell>
          <cell r="H100" t="str">
            <v>B</v>
          </cell>
          <cell r="I100" t="str">
            <v>B</v>
          </cell>
          <cell r="J100" t="str">
            <v>C</v>
          </cell>
          <cell r="K100" t="str">
            <v>D</v>
          </cell>
          <cell r="L100" t="str">
            <v>A</v>
          </cell>
          <cell r="M100" t="str">
            <v>A</v>
          </cell>
          <cell r="N100" t="str">
            <v>A</v>
          </cell>
          <cell r="O100" t="str">
            <v>A</v>
          </cell>
          <cell r="P100" t="str">
            <v>A</v>
          </cell>
          <cell r="Q100" t="str">
            <v>B</v>
          </cell>
          <cell r="R100" t="str">
            <v>C</v>
          </cell>
          <cell r="X100">
            <v>68</v>
          </cell>
        </row>
        <row r="101">
          <cell r="C101">
            <v>24435910</v>
          </cell>
          <cell r="D101" t="str">
            <v>ТОВ "УКРАГРОМЕТПРОМ"</v>
          </cell>
          <cell r="E101">
            <v>45645.5167</v>
          </cell>
          <cell r="F101">
            <v>45566</v>
          </cell>
          <cell r="G101" t="str">
            <v>E</v>
          </cell>
          <cell r="H101" t="str">
            <v>A</v>
          </cell>
          <cell r="I101" t="str">
            <v>A</v>
          </cell>
          <cell r="J101" t="str">
            <v>A</v>
          </cell>
          <cell r="K101" t="str">
            <v>D</v>
          </cell>
          <cell r="L101" t="str">
            <v>A</v>
          </cell>
          <cell r="M101" t="str">
            <v>A</v>
          </cell>
          <cell r="N101" t="str">
            <v>A</v>
          </cell>
          <cell r="O101" t="str">
            <v>A</v>
          </cell>
          <cell r="P101" t="str">
            <v>C</v>
          </cell>
          <cell r="Q101" t="str">
            <v>B</v>
          </cell>
          <cell r="R101" t="str">
            <v>A</v>
          </cell>
          <cell r="X101">
            <v>54.199999999999996</v>
          </cell>
        </row>
        <row r="102">
          <cell r="C102">
            <v>24615640</v>
          </cell>
          <cell r="D102" t="str">
            <v>ТОВ М'ЯСОКОМБІНАТ "ЮВІЛЕЙНИЙ"</v>
          </cell>
          <cell r="E102">
            <v>45874.732100000001</v>
          </cell>
          <cell r="F102">
            <v>45658</v>
          </cell>
          <cell r="G102" t="str">
            <v>D</v>
          </cell>
          <cell r="H102" t="str">
            <v>B</v>
          </cell>
          <cell r="I102" t="str">
            <v>B</v>
          </cell>
          <cell r="J102" t="str">
            <v>B</v>
          </cell>
          <cell r="K102" t="str">
            <v>D</v>
          </cell>
          <cell r="L102" t="str">
            <v>A</v>
          </cell>
          <cell r="M102" t="str">
            <v>A</v>
          </cell>
          <cell r="N102" t="str">
            <v>A</v>
          </cell>
          <cell r="O102" t="str">
            <v>A</v>
          </cell>
          <cell r="P102" t="str">
            <v>B</v>
          </cell>
          <cell r="Q102" t="str">
            <v>B</v>
          </cell>
          <cell r="R102" t="str">
            <v>A</v>
          </cell>
          <cell r="X102">
            <v>64.400000000000006</v>
          </cell>
        </row>
        <row r="103">
          <cell r="C103">
            <v>24942675</v>
          </cell>
          <cell r="D103" t="str">
            <v>ТОВ "ФІРМА"ВІКАНТ"</v>
          </cell>
          <cell r="E103">
            <v>45833.469400000002</v>
          </cell>
          <cell r="F103">
            <v>45748</v>
          </cell>
          <cell r="G103" t="str">
            <v>D</v>
          </cell>
          <cell r="H103" t="str">
            <v>C</v>
          </cell>
          <cell r="I103" t="str">
            <v>B</v>
          </cell>
          <cell r="J103" t="str">
            <v>B</v>
          </cell>
          <cell r="K103" t="str">
            <v>C</v>
          </cell>
          <cell r="L103" t="str">
            <v>A</v>
          </cell>
          <cell r="M103" t="str">
            <v>A</v>
          </cell>
          <cell r="N103" t="str">
            <v>B</v>
          </cell>
          <cell r="O103" t="str">
            <v>A</v>
          </cell>
          <cell r="P103" t="str">
            <v>C</v>
          </cell>
          <cell r="Q103" t="str">
            <v>B</v>
          </cell>
          <cell r="R103" t="str">
            <v>B</v>
          </cell>
          <cell r="X103">
            <v>56.9</v>
          </cell>
        </row>
        <row r="104">
          <cell r="C104">
            <v>25024651</v>
          </cell>
          <cell r="D104" t="str">
            <v>ТОВ "МУЛЬТИТРАНС"</v>
          </cell>
          <cell r="E104">
            <v>45875.487099999998</v>
          </cell>
          <cell r="F104">
            <v>45748</v>
          </cell>
          <cell r="G104" t="str">
            <v>E</v>
          </cell>
          <cell r="H104" t="str">
            <v>B</v>
          </cell>
          <cell r="I104" t="str">
            <v>B</v>
          </cell>
          <cell r="J104" t="str">
            <v>A</v>
          </cell>
          <cell r="K104" t="str">
            <v>D</v>
          </cell>
          <cell r="L104" t="str">
            <v>A</v>
          </cell>
          <cell r="M104" t="str">
            <v>A</v>
          </cell>
          <cell r="N104" t="str">
            <v>B</v>
          </cell>
          <cell r="O104" t="str">
            <v>B</v>
          </cell>
          <cell r="P104" t="str">
            <v>C</v>
          </cell>
          <cell r="Q104" t="str">
            <v>B</v>
          </cell>
          <cell r="R104" t="str">
            <v>A</v>
          </cell>
          <cell r="X104">
            <v>49.3</v>
          </cell>
        </row>
        <row r="105">
          <cell r="C105">
            <v>25101110</v>
          </cell>
          <cell r="D105" t="str">
            <v>ТОВ "АБ ПЛЮС"</v>
          </cell>
          <cell r="E105">
            <v>45897.684699999998</v>
          </cell>
          <cell r="F105">
            <v>45839</v>
          </cell>
          <cell r="G105" t="str">
            <v>E</v>
          </cell>
          <cell r="H105" t="str">
            <v>B</v>
          </cell>
          <cell r="I105" t="str">
            <v>C</v>
          </cell>
          <cell r="J105" t="str">
            <v>D</v>
          </cell>
          <cell r="K105" t="str">
            <v>D</v>
          </cell>
          <cell r="L105" t="str">
            <v>A</v>
          </cell>
          <cell r="M105" t="str">
            <v>A</v>
          </cell>
          <cell r="N105" t="str">
            <v>B</v>
          </cell>
          <cell r="O105" t="str">
            <v>A</v>
          </cell>
          <cell r="P105" t="str">
            <v>C</v>
          </cell>
          <cell r="Q105" t="str">
            <v>B</v>
          </cell>
          <cell r="R105" t="str">
            <v>C</v>
          </cell>
          <cell r="X105">
            <v>46.9</v>
          </cell>
        </row>
        <row r="106">
          <cell r="C106">
            <v>25264533</v>
          </cell>
          <cell r="D106" t="str">
            <v>ПІІ "ВІП-РЕНТ"</v>
          </cell>
          <cell r="E106">
            <v>45943.622300000003</v>
          </cell>
          <cell r="F106">
            <v>45839</v>
          </cell>
          <cell r="G106" t="str">
            <v>C</v>
          </cell>
          <cell r="H106" t="str">
            <v>B</v>
          </cell>
          <cell r="I106" t="str">
            <v>D</v>
          </cell>
          <cell r="J106" t="str">
            <v>A</v>
          </cell>
          <cell r="K106" t="str">
            <v>B</v>
          </cell>
          <cell r="L106" t="str">
            <v>A</v>
          </cell>
          <cell r="M106" t="str">
            <v>A</v>
          </cell>
          <cell r="N106" t="str">
            <v>B</v>
          </cell>
          <cell r="O106" t="str">
            <v>A</v>
          </cell>
          <cell r="P106" t="str">
            <v>A</v>
          </cell>
          <cell r="Q106" t="str">
            <v>B</v>
          </cell>
          <cell r="R106" t="str">
            <v>A</v>
          </cell>
          <cell r="X106">
            <v>57.900000000000006</v>
          </cell>
        </row>
        <row r="107">
          <cell r="C107">
            <v>25388117</v>
          </cell>
          <cell r="D107" t="str">
            <v>ТОВ "ТК "КИЇВСЬКИЙ СУПУТНИК"</v>
          </cell>
          <cell r="E107">
            <v>45785.566500000001</v>
          </cell>
          <cell r="F107">
            <v>45658</v>
          </cell>
          <cell r="G107" t="str">
            <v>E</v>
          </cell>
          <cell r="H107" t="str">
            <v>B</v>
          </cell>
          <cell r="I107" t="str">
            <v>B</v>
          </cell>
          <cell r="J107" t="str">
            <v>C</v>
          </cell>
          <cell r="K107" t="str">
            <v>D</v>
          </cell>
          <cell r="L107" t="str">
            <v>A</v>
          </cell>
          <cell r="M107" t="str">
            <v>A</v>
          </cell>
          <cell r="N107" t="str">
            <v>B</v>
          </cell>
          <cell r="O107" t="str">
            <v>A</v>
          </cell>
          <cell r="P107" t="str">
            <v>C</v>
          </cell>
          <cell r="Q107" t="str">
            <v>A</v>
          </cell>
          <cell r="R107" t="str">
            <v>A</v>
          </cell>
          <cell r="X107">
            <v>60.900000000000006</v>
          </cell>
        </row>
        <row r="108">
          <cell r="C108">
            <v>25414435</v>
          </cell>
          <cell r="D108" t="str">
            <v>ТОВ ФІРМА "ОДРІ"</v>
          </cell>
          <cell r="E108">
            <v>45895.545100000003</v>
          </cell>
          <cell r="F108">
            <v>45839</v>
          </cell>
          <cell r="G108" t="str">
            <v>E</v>
          </cell>
          <cell r="H108" t="str">
            <v>B</v>
          </cell>
          <cell r="I108" t="str">
            <v>A</v>
          </cell>
          <cell r="J108" t="str">
            <v>A</v>
          </cell>
          <cell r="K108" t="str">
            <v>D</v>
          </cell>
          <cell r="L108" t="str">
            <v>A</v>
          </cell>
          <cell r="M108" t="str">
            <v>A</v>
          </cell>
          <cell r="N108" t="str">
            <v>B</v>
          </cell>
          <cell r="O108" t="str">
            <v>A</v>
          </cell>
          <cell r="P108" t="str">
            <v>C</v>
          </cell>
          <cell r="Q108" t="str">
            <v>B</v>
          </cell>
          <cell r="R108" t="str">
            <v>A</v>
          </cell>
          <cell r="X108">
            <v>48.5</v>
          </cell>
        </row>
        <row r="109">
          <cell r="C109">
            <v>25498828</v>
          </cell>
          <cell r="D109" t="str">
            <v>ТОВ "Українські технологічні продукти"</v>
          </cell>
          <cell r="E109">
            <v>45778.500399999997</v>
          </cell>
          <cell r="F109">
            <v>45658</v>
          </cell>
          <cell r="G109" t="str">
            <v>E</v>
          </cell>
          <cell r="H109" t="str">
            <v>A</v>
          </cell>
          <cell r="I109" t="str">
            <v>A</v>
          </cell>
          <cell r="J109" t="str">
            <v>A</v>
          </cell>
          <cell r="K109" t="str">
            <v>A</v>
          </cell>
          <cell r="L109" t="str">
            <v>A</v>
          </cell>
          <cell r="M109" t="str">
            <v>A</v>
          </cell>
          <cell r="N109" t="str">
            <v>A</v>
          </cell>
          <cell r="O109" t="str">
            <v>A</v>
          </cell>
          <cell r="P109" t="str">
            <v>C</v>
          </cell>
          <cell r="Q109" t="str">
            <v>A</v>
          </cell>
          <cell r="R109" t="str">
            <v>A</v>
          </cell>
          <cell r="X109">
            <v>61.4</v>
          </cell>
        </row>
        <row r="110">
          <cell r="C110">
            <v>25513976</v>
          </cell>
          <cell r="D110" t="str">
            <v>ТОВ "ВІНІЛ"</v>
          </cell>
          <cell r="E110">
            <v>45651.532800000001</v>
          </cell>
          <cell r="F110">
            <v>45474</v>
          </cell>
          <cell r="G110" t="str">
            <v>E</v>
          </cell>
          <cell r="H110" t="str">
            <v>D</v>
          </cell>
          <cell r="I110" t="str">
            <v>A</v>
          </cell>
          <cell r="J110" t="str">
            <v>D</v>
          </cell>
          <cell r="K110" t="str">
            <v>E</v>
          </cell>
          <cell r="L110" t="str">
            <v>A</v>
          </cell>
          <cell r="M110" t="str">
            <v>B</v>
          </cell>
          <cell r="N110" t="str">
            <v>B</v>
          </cell>
          <cell r="O110" t="str">
            <v>A</v>
          </cell>
          <cell r="P110" t="str">
            <v>B</v>
          </cell>
          <cell r="Q110" t="str">
            <v>C</v>
          </cell>
          <cell r="R110" t="str">
            <v>A</v>
          </cell>
          <cell r="X110">
            <v>43.3</v>
          </cell>
        </row>
        <row r="111">
          <cell r="C111">
            <v>25548331</v>
          </cell>
          <cell r="D111" t="str">
            <v>ТЗОВ " ІНТЕР - СИНТЕЗ "</v>
          </cell>
          <cell r="E111">
            <v>45541.447099999998</v>
          </cell>
          <cell r="F111">
            <v>45474</v>
          </cell>
          <cell r="G111" t="str">
            <v>E</v>
          </cell>
          <cell r="H111" t="str">
            <v>A</v>
          </cell>
          <cell r="I111" t="str">
            <v>B</v>
          </cell>
          <cell r="J111" t="str">
            <v>B</v>
          </cell>
          <cell r="K111" t="str">
            <v>D</v>
          </cell>
          <cell r="L111" t="str">
            <v>A</v>
          </cell>
          <cell r="M111" t="str">
            <v>A</v>
          </cell>
          <cell r="N111" t="str">
            <v>B</v>
          </cell>
          <cell r="O111" t="str">
            <v>A</v>
          </cell>
          <cell r="P111" t="str">
            <v>C</v>
          </cell>
          <cell r="Q111" t="str">
            <v>B</v>
          </cell>
          <cell r="R111" t="str">
            <v>A</v>
          </cell>
          <cell r="X111">
            <v>58.1</v>
          </cell>
        </row>
        <row r="112">
          <cell r="C112">
            <v>25556075</v>
          </cell>
          <cell r="D112" t="str">
            <v>ТОВ "БАРКОМ"</v>
          </cell>
          <cell r="E112">
            <v>45937.550199999998</v>
          </cell>
          <cell r="F112">
            <v>45839</v>
          </cell>
          <cell r="G112" t="str">
            <v>D</v>
          </cell>
          <cell r="H112" t="str">
            <v>B</v>
          </cell>
          <cell r="I112" t="str">
            <v>B</v>
          </cell>
          <cell r="J112" t="str">
            <v>B</v>
          </cell>
          <cell r="K112" t="str">
            <v>D</v>
          </cell>
          <cell r="L112" t="str">
            <v>B</v>
          </cell>
          <cell r="M112" t="str">
            <v>C</v>
          </cell>
          <cell r="N112" t="str">
            <v>A</v>
          </cell>
          <cell r="O112" t="str">
            <v>A</v>
          </cell>
          <cell r="P112" t="str">
            <v>C</v>
          </cell>
          <cell r="Q112" t="str">
            <v>C</v>
          </cell>
          <cell r="R112" t="str">
            <v>A</v>
          </cell>
          <cell r="X112">
            <v>48.399999999999991</v>
          </cell>
        </row>
        <row r="113">
          <cell r="C113">
            <v>25657043</v>
          </cell>
          <cell r="D113" t="str">
            <v>ТОВ ВФ "Базальт"</v>
          </cell>
          <cell r="E113">
            <v>45887.597099999999</v>
          </cell>
          <cell r="F113">
            <v>45658</v>
          </cell>
          <cell r="G113" t="str">
            <v>E</v>
          </cell>
          <cell r="H113" t="str">
            <v>A</v>
          </cell>
          <cell r="I113" t="str">
            <v>A</v>
          </cell>
          <cell r="J113" t="str">
            <v>A</v>
          </cell>
          <cell r="K113" t="str">
            <v>D</v>
          </cell>
          <cell r="L113" t="str">
            <v>A</v>
          </cell>
          <cell r="M113" t="str">
            <v>A</v>
          </cell>
          <cell r="N113" t="str">
            <v>B</v>
          </cell>
          <cell r="O113" t="str">
            <v>A</v>
          </cell>
          <cell r="P113" t="str">
            <v>C</v>
          </cell>
          <cell r="Q113" t="str">
            <v>C</v>
          </cell>
          <cell r="R113" t="str">
            <v>A</v>
          </cell>
          <cell r="X113">
            <v>49.099999999999994</v>
          </cell>
        </row>
        <row r="114">
          <cell r="C114">
            <v>30050930</v>
          </cell>
          <cell r="D114" t="str">
            <v>ТОВ "АБА "АСТРА"</v>
          </cell>
          <cell r="E114">
            <v>45772.509299999998</v>
          </cell>
          <cell r="F114">
            <v>45658</v>
          </cell>
          <cell r="G114" t="str">
            <v>E</v>
          </cell>
          <cell r="H114" t="str">
            <v>C</v>
          </cell>
          <cell r="I114" t="str">
            <v>B</v>
          </cell>
          <cell r="J114" t="str">
            <v>B</v>
          </cell>
          <cell r="K114" t="str">
            <v>B</v>
          </cell>
          <cell r="L114" t="str">
            <v>A</v>
          </cell>
          <cell r="M114" t="str">
            <v>A</v>
          </cell>
          <cell r="N114" t="str">
            <v>A</v>
          </cell>
          <cell r="O114" t="str">
            <v>A</v>
          </cell>
          <cell r="P114" t="str">
            <v>C</v>
          </cell>
          <cell r="Q114" t="str">
            <v>C</v>
          </cell>
          <cell r="R114" t="str">
            <v>C</v>
          </cell>
          <cell r="X114">
            <v>53.199999999999996</v>
          </cell>
        </row>
        <row r="115">
          <cell r="C115">
            <v>30094098</v>
          </cell>
          <cell r="D115" t="str">
            <v>ТОВ "АГРОФІРМА ІМ.ГОРЬКОГО"</v>
          </cell>
          <cell r="E115">
            <v>45743.484499999999</v>
          </cell>
          <cell r="F115">
            <v>45474</v>
          </cell>
          <cell r="G115" t="str">
            <v>D</v>
          </cell>
          <cell r="H115" t="str">
            <v>B</v>
          </cell>
          <cell r="I115" t="str">
            <v>B</v>
          </cell>
          <cell r="J115" t="str">
            <v>C</v>
          </cell>
          <cell r="K115" t="str">
            <v>A</v>
          </cell>
          <cell r="L115" t="str">
            <v>A</v>
          </cell>
          <cell r="M115" t="str">
            <v>A</v>
          </cell>
          <cell r="N115" t="str">
            <v>A</v>
          </cell>
          <cell r="O115" t="str">
            <v>A</v>
          </cell>
          <cell r="P115" t="str">
            <v>A</v>
          </cell>
          <cell r="Q115" t="str">
            <v>A</v>
          </cell>
          <cell r="R115" t="str">
            <v>B</v>
          </cell>
          <cell r="X115">
            <v>73.200000000000017</v>
          </cell>
        </row>
        <row r="116">
          <cell r="C116">
            <v>30105738</v>
          </cell>
          <cell r="D116" t="str">
            <v>ТОВ "МІК"</v>
          </cell>
          <cell r="E116">
            <v>45553.472399999999</v>
          </cell>
          <cell r="F116">
            <v>45474</v>
          </cell>
          <cell r="G116" t="str">
            <v>E</v>
          </cell>
          <cell r="H116" t="str">
            <v>B</v>
          </cell>
          <cell r="I116" t="str">
            <v>B</v>
          </cell>
          <cell r="J116" t="str">
            <v>A</v>
          </cell>
          <cell r="K116" t="str">
            <v>D</v>
          </cell>
          <cell r="L116" t="str">
            <v>B</v>
          </cell>
          <cell r="M116" t="str">
            <v>A</v>
          </cell>
          <cell r="N116" t="str">
            <v>B</v>
          </cell>
          <cell r="O116" t="str">
            <v>A</v>
          </cell>
          <cell r="P116" t="str">
            <v>B</v>
          </cell>
          <cell r="Q116" t="str">
            <v>C</v>
          </cell>
          <cell r="R116" t="str">
            <v>A</v>
          </cell>
          <cell r="X116">
            <v>48.1</v>
          </cell>
        </row>
        <row r="117">
          <cell r="C117">
            <v>30116577</v>
          </cell>
          <cell r="D117" t="str">
            <v>ТОВ НВП "ІНФОРМАЦІЙНІ ТЕХНОЛОГІЇ"</v>
          </cell>
          <cell r="E117">
            <v>45875.621500000001</v>
          </cell>
          <cell r="F117">
            <v>45658</v>
          </cell>
          <cell r="G117" t="str">
            <v>E</v>
          </cell>
          <cell r="H117" t="str">
            <v>A</v>
          </cell>
          <cell r="I117" t="str">
            <v>B</v>
          </cell>
          <cell r="J117" t="str">
            <v>D</v>
          </cell>
          <cell r="K117" t="str">
            <v>C</v>
          </cell>
          <cell r="L117" t="str">
            <v>A</v>
          </cell>
          <cell r="M117" t="str">
            <v>A</v>
          </cell>
          <cell r="N117" t="str">
            <v>B</v>
          </cell>
          <cell r="O117" t="str">
            <v>A</v>
          </cell>
          <cell r="P117" t="str">
            <v>C</v>
          </cell>
          <cell r="Q117" t="str">
            <v>B</v>
          </cell>
          <cell r="R117" t="str">
            <v>A</v>
          </cell>
          <cell r="X117">
            <v>66.099999999999994</v>
          </cell>
        </row>
        <row r="118">
          <cell r="C118">
            <v>30132761</v>
          </cell>
          <cell r="D118" t="str">
            <v>ПП "АГРО-ЕКСПРЕС-СЕРВІС"</v>
          </cell>
          <cell r="E118">
            <v>45980.482199999999</v>
          </cell>
          <cell r="F118">
            <v>45931</v>
          </cell>
          <cell r="G118" t="str">
            <v>E</v>
          </cell>
          <cell r="H118" t="str">
            <v>C</v>
          </cell>
          <cell r="I118" t="str">
            <v>B</v>
          </cell>
          <cell r="J118" t="str">
            <v>C</v>
          </cell>
          <cell r="K118" t="str">
            <v>D</v>
          </cell>
          <cell r="L118" t="str">
            <v>B</v>
          </cell>
          <cell r="M118" t="str">
            <v>C</v>
          </cell>
          <cell r="N118" t="str">
            <v>B</v>
          </cell>
          <cell r="O118" t="str">
            <v>B</v>
          </cell>
          <cell r="P118" t="str">
            <v>A</v>
          </cell>
          <cell r="Q118" t="str">
            <v>C</v>
          </cell>
          <cell r="R118" t="str">
            <v>A</v>
          </cell>
          <cell r="X118">
            <v>43.3</v>
          </cell>
        </row>
        <row r="119">
          <cell r="C119">
            <v>30161290</v>
          </cell>
          <cell r="D119" t="str">
            <v>ТОВ "Контакт Плюс"</v>
          </cell>
          <cell r="E119">
            <v>45946.609600000003</v>
          </cell>
          <cell r="F119">
            <v>45839</v>
          </cell>
          <cell r="G119" t="str">
            <v>E</v>
          </cell>
          <cell r="H119" t="str">
            <v>B</v>
          </cell>
          <cell r="I119" t="str">
            <v>B</v>
          </cell>
          <cell r="J119" t="str">
            <v>C</v>
          </cell>
          <cell r="K119" t="str">
            <v>D</v>
          </cell>
          <cell r="L119" t="str">
            <v>A</v>
          </cell>
          <cell r="M119" t="str">
            <v>A</v>
          </cell>
          <cell r="N119" t="str">
            <v>A</v>
          </cell>
          <cell r="O119" t="str">
            <v>A</v>
          </cell>
          <cell r="P119" t="str">
            <v>C</v>
          </cell>
          <cell r="Q119" t="str">
            <v>B</v>
          </cell>
          <cell r="R119" t="str">
            <v>B</v>
          </cell>
          <cell r="X119">
            <v>58.2</v>
          </cell>
        </row>
        <row r="120">
          <cell r="C120">
            <v>30163496</v>
          </cell>
          <cell r="D120" t="str">
            <v>ПП "СОЛОМІЯ-СЕРВІС"</v>
          </cell>
          <cell r="E120">
            <v>45812</v>
          </cell>
          <cell r="F120">
            <v>45658</v>
          </cell>
          <cell r="G120" t="str">
            <v>B</v>
          </cell>
          <cell r="H120" t="str">
            <v>B</v>
          </cell>
          <cell r="I120" t="str">
            <v>B</v>
          </cell>
          <cell r="J120" t="str">
            <v>A</v>
          </cell>
          <cell r="K120" t="str">
            <v>A</v>
          </cell>
          <cell r="L120" t="str">
            <v>A</v>
          </cell>
          <cell r="M120" t="str">
            <v>A</v>
          </cell>
          <cell r="N120" t="str">
            <v>A</v>
          </cell>
          <cell r="O120" t="str">
            <v>A</v>
          </cell>
          <cell r="P120" t="str">
            <v>A</v>
          </cell>
          <cell r="Q120" t="str">
            <v>A</v>
          </cell>
          <cell r="R120" t="str">
            <v>C</v>
          </cell>
          <cell r="X120">
            <v>69.599999999999994</v>
          </cell>
        </row>
        <row r="121">
          <cell r="C121">
            <v>30169090</v>
          </cell>
          <cell r="D121" t="str">
            <v>ТОВ "ПАРК ПЛЮС"</v>
          </cell>
          <cell r="E121">
            <v>45686.6636</v>
          </cell>
          <cell r="F121">
            <v>45566</v>
          </cell>
          <cell r="G121" t="str">
            <v>E</v>
          </cell>
          <cell r="H121" t="str">
            <v>B</v>
          </cell>
          <cell r="I121" t="str">
            <v>B</v>
          </cell>
          <cell r="J121" t="str">
            <v>A</v>
          </cell>
          <cell r="K121" t="str">
            <v>D</v>
          </cell>
          <cell r="L121" t="str">
            <v>A</v>
          </cell>
          <cell r="M121" t="str">
            <v>A</v>
          </cell>
          <cell r="N121" t="str">
            <v>A</v>
          </cell>
          <cell r="O121" t="str">
            <v>A</v>
          </cell>
          <cell r="P121" t="str">
            <v>C</v>
          </cell>
          <cell r="Q121" t="str">
            <v>B</v>
          </cell>
          <cell r="R121" t="str">
            <v>A</v>
          </cell>
          <cell r="X121">
            <v>56.199999999999996</v>
          </cell>
        </row>
        <row r="122">
          <cell r="C122">
            <v>30189336</v>
          </cell>
          <cell r="D122" t="str">
            <v>ТОВ "АГРОФІРМА ОРІЛЬСЬКА"</v>
          </cell>
          <cell r="E122">
            <v>45743.484499999999</v>
          </cell>
          <cell r="F122">
            <v>45474</v>
          </cell>
          <cell r="G122" t="str">
            <v>D</v>
          </cell>
          <cell r="H122" t="str">
            <v>B</v>
          </cell>
          <cell r="I122" t="str">
            <v>B</v>
          </cell>
          <cell r="J122" t="str">
            <v>C</v>
          </cell>
          <cell r="K122" t="str">
            <v>A</v>
          </cell>
          <cell r="L122" t="str">
            <v>A</v>
          </cell>
          <cell r="M122" t="str">
            <v>A</v>
          </cell>
          <cell r="N122" t="str">
            <v>A</v>
          </cell>
          <cell r="O122" t="str">
            <v>A</v>
          </cell>
          <cell r="P122" t="str">
            <v>A</v>
          </cell>
          <cell r="Q122" t="str">
            <v>A</v>
          </cell>
          <cell r="R122" t="str">
            <v>B</v>
          </cell>
          <cell r="X122">
            <v>73.200000000000017</v>
          </cell>
        </row>
        <row r="123">
          <cell r="C123">
            <v>30262667</v>
          </cell>
          <cell r="D123" t="str">
            <v>ТОВ "Хімагромаркетинг"</v>
          </cell>
          <cell r="E123">
            <v>45974.670700000002</v>
          </cell>
          <cell r="F123">
            <v>45931</v>
          </cell>
          <cell r="G123" t="str">
            <v>E</v>
          </cell>
          <cell r="H123" t="str">
            <v>B</v>
          </cell>
          <cell r="I123" t="str">
            <v>C</v>
          </cell>
          <cell r="J123" t="str">
            <v>D</v>
          </cell>
          <cell r="K123" t="str">
            <v>D</v>
          </cell>
          <cell r="L123" t="str">
            <v>A</v>
          </cell>
          <cell r="M123" t="str">
            <v>A</v>
          </cell>
          <cell r="N123" t="str">
            <v>B</v>
          </cell>
          <cell r="O123" t="str">
            <v>A</v>
          </cell>
          <cell r="P123" t="str">
            <v>C</v>
          </cell>
          <cell r="Q123" t="str">
            <v>B</v>
          </cell>
          <cell r="R123" t="str">
            <v>A</v>
          </cell>
          <cell r="X123">
            <v>52.9</v>
          </cell>
        </row>
        <row r="124">
          <cell r="C124">
            <v>30307697</v>
          </cell>
          <cell r="D124" t="str">
            <v>ТОВ "ЄВРОПА АРМ СПОРТ"</v>
          </cell>
          <cell r="E124">
            <v>45785.457399999999</v>
          </cell>
          <cell r="F124">
            <v>45658</v>
          </cell>
          <cell r="G124" t="str">
            <v>E</v>
          </cell>
          <cell r="H124" t="str">
            <v>A</v>
          </cell>
          <cell r="I124" t="str">
            <v>D</v>
          </cell>
          <cell r="J124" t="str">
            <v>A</v>
          </cell>
          <cell r="K124" t="str">
            <v>B</v>
          </cell>
          <cell r="L124" t="str">
            <v>A</v>
          </cell>
          <cell r="M124" t="str">
            <v>A</v>
          </cell>
          <cell r="N124" t="str">
            <v>B</v>
          </cell>
          <cell r="O124" t="str">
            <v>A</v>
          </cell>
          <cell r="P124" t="str">
            <v>B</v>
          </cell>
          <cell r="Q124" t="str">
            <v>B</v>
          </cell>
          <cell r="R124" t="str">
            <v>C</v>
          </cell>
          <cell r="X124">
            <v>47.900000000000006</v>
          </cell>
        </row>
        <row r="125">
          <cell r="C125">
            <v>30316717</v>
          </cell>
          <cell r="D125" t="str">
            <v>ТОВ "МАГРОК"</v>
          </cell>
          <cell r="E125">
            <v>45870.613799999999</v>
          </cell>
          <cell r="F125">
            <v>45748</v>
          </cell>
          <cell r="G125" t="str">
            <v>E</v>
          </cell>
          <cell r="H125" t="str">
            <v>A</v>
          </cell>
          <cell r="I125" t="str">
            <v>B</v>
          </cell>
          <cell r="J125" t="str">
            <v>A</v>
          </cell>
          <cell r="K125" t="str">
            <v>D</v>
          </cell>
          <cell r="L125" t="str">
            <v>A</v>
          </cell>
          <cell r="M125" t="str">
            <v>A</v>
          </cell>
          <cell r="N125" t="str">
            <v>B</v>
          </cell>
          <cell r="O125" t="str">
            <v>A</v>
          </cell>
          <cell r="P125" t="str">
            <v>C</v>
          </cell>
          <cell r="Q125" t="str">
            <v>B</v>
          </cell>
          <cell r="R125" t="str">
            <v>A</v>
          </cell>
          <cell r="X125">
            <v>55.300000000000004</v>
          </cell>
        </row>
        <row r="126">
          <cell r="C126">
            <v>30327425</v>
          </cell>
          <cell r="D126" t="str">
            <v>ТОВ "УкрАгроКом"</v>
          </cell>
          <cell r="E126">
            <v>45736.444600000003</v>
          </cell>
          <cell r="F126">
            <v>45566</v>
          </cell>
          <cell r="G126" t="str">
            <v>D</v>
          </cell>
          <cell r="H126" t="str">
            <v>C</v>
          </cell>
          <cell r="I126" t="str">
            <v>D</v>
          </cell>
          <cell r="J126" t="str">
            <v>D</v>
          </cell>
          <cell r="K126" t="str">
            <v>D</v>
          </cell>
          <cell r="L126" t="str">
            <v>A</v>
          </cell>
          <cell r="M126" t="str">
            <v>C</v>
          </cell>
          <cell r="N126" t="str">
            <v>B</v>
          </cell>
          <cell r="O126" t="str">
            <v>B</v>
          </cell>
          <cell r="P126" t="str">
            <v>C</v>
          </cell>
          <cell r="Q126" t="str">
            <v>C</v>
          </cell>
          <cell r="R126" t="str">
            <v>A</v>
          </cell>
          <cell r="X126">
            <v>43.099999999999987</v>
          </cell>
        </row>
        <row r="127">
          <cell r="C127">
            <v>30344330</v>
          </cell>
          <cell r="D127" t="str">
            <v>ДП "ЧАРЗ-АВТО"</v>
          </cell>
          <cell r="E127">
            <v>45761</v>
          </cell>
          <cell r="F127">
            <v>45658</v>
          </cell>
          <cell r="G127" t="str">
            <v>E</v>
          </cell>
          <cell r="H127" t="str">
            <v>B</v>
          </cell>
          <cell r="I127" t="str">
            <v>B</v>
          </cell>
          <cell r="J127" t="str">
            <v>A</v>
          </cell>
          <cell r="K127" t="str">
            <v>D</v>
          </cell>
          <cell r="L127" t="str">
            <v>A</v>
          </cell>
          <cell r="M127" t="str">
            <v>A</v>
          </cell>
          <cell r="N127" t="str">
            <v>B</v>
          </cell>
          <cell r="O127" t="str">
            <v>A</v>
          </cell>
          <cell r="P127" t="str">
            <v>C</v>
          </cell>
          <cell r="Q127" t="str">
            <v>B</v>
          </cell>
          <cell r="R127" t="str">
            <v>A</v>
          </cell>
          <cell r="X127">
            <v>52.9</v>
          </cell>
        </row>
        <row r="128">
          <cell r="C128">
            <v>30355611</v>
          </cell>
          <cell r="D128" t="str">
            <v>ТОВ "БХ АГРО"</v>
          </cell>
          <cell r="E128">
            <v>45665.607799999998</v>
          </cell>
          <cell r="F128">
            <v>45566</v>
          </cell>
          <cell r="G128" t="str">
            <v>E</v>
          </cell>
          <cell r="H128" t="str">
            <v>B</v>
          </cell>
          <cell r="I128" t="str">
            <v>B</v>
          </cell>
          <cell r="J128" t="str">
            <v>B</v>
          </cell>
          <cell r="K128" t="str">
            <v>D</v>
          </cell>
          <cell r="L128" t="str">
            <v>A</v>
          </cell>
          <cell r="M128" t="str">
            <v>B</v>
          </cell>
          <cell r="N128" t="str">
            <v>B</v>
          </cell>
          <cell r="O128" t="str">
            <v>A</v>
          </cell>
          <cell r="P128" t="str">
            <v>C</v>
          </cell>
          <cell r="Q128" t="str">
            <v>B</v>
          </cell>
          <cell r="R128" t="str">
            <v>A</v>
          </cell>
          <cell r="X128">
            <v>49.300000000000004</v>
          </cell>
        </row>
        <row r="129">
          <cell r="C129">
            <v>30356917</v>
          </cell>
          <cell r="D129" t="str">
            <v>ПрАТ "Тернопільський молокозавод"</v>
          </cell>
          <cell r="E129">
            <v>45689.981</v>
          </cell>
          <cell r="F129">
            <v>45566</v>
          </cell>
          <cell r="G129" t="str">
            <v>C</v>
          </cell>
          <cell r="H129" t="str">
            <v>A</v>
          </cell>
          <cell r="I129" t="str">
            <v>D</v>
          </cell>
          <cell r="J129" t="str">
            <v>D</v>
          </cell>
          <cell r="K129" t="str">
            <v>D</v>
          </cell>
          <cell r="L129" t="str">
            <v>A</v>
          </cell>
          <cell r="M129" t="str">
            <v>A</v>
          </cell>
          <cell r="N129" t="str">
            <v>A</v>
          </cell>
          <cell r="O129" t="str">
            <v>A</v>
          </cell>
          <cell r="P129" t="str">
            <v>C</v>
          </cell>
          <cell r="Q129" t="str">
            <v>B</v>
          </cell>
          <cell r="R129" t="str">
            <v>A</v>
          </cell>
          <cell r="X129">
            <v>63.8</v>
          </cell>
        </row>
        <row r="130">
          <cell r="C130">
            <v>30443517</v>
          </cell>
          <cell r="D130" t="str">
            <v>ТОВ "ТМІ"</v>
          </cell>
          <cell r="E130">
            <v>45856.599800000004</v>
          </cell>
          <cell r="F130">
            <v>45748</v>
          </cell>
          <cell r="G130" t="str">
            <v>E</v>
          </cell>
          <cell r="H130" t="str">
            <v>C</v>
          </cell>
          <cell r="I130" t="str">
            <v>B</v>
          </cell>
          <cell r="J130" t="str">
            <v>A</v>
          </cell>
          <cell r="K130" t="str">
            <v>C</v>
          </cell>
          <cell r="L130" t="str">
            <v>A</v>
          </cell>
          <cell r="M130" t="str">
            <v>A</v>
          </cell>
          <cell r="N130" t="str">
            <v>B</v>
          </cell>
          <cell r="O130" t="str">
            <v>A</v>
          </cell>
          <cell r="P130" t="str">
            <v>C</v>
          </cell>
          <cell r="Q130" t="str">
            <v>B</v>
          </cell>
          <cell r="R130" t="str">
            <v>A</v>
          </cell>
          <cell r="X130">
            <v>54.1</v>
          </cell>
        </row>
        <row r="131">
          <cell r="C131">
            <v>30481196</v>
          </cell>
          <cell r="D131" t="str">
            <v>ПП "ВКП "АЛЬФАТЕКС"</v>
          </cell>
          <cell r="E131">
            <v>45792.556900000003</v>
          </cell>
          <cell r="F131">
            <v>45566</v>
          </cell>
          <cell r="G131" t="str">
            <v>D</v>
          </cell>
          <cell r="H131" t="str">
            <v>C</v>
          </cell>
          <cell r="I131" t="str">
            <v>B</v>
          </cell>
          <cell r="J131" t="str">
            <v>A</v>
          </cell>
          <cell r="K131" t="str">
            <v>D</v>
          </cell>
          <cell r="L131" t="str">
            <v>B</v>
          </cell>
          <cell r="M131" t="str">
            <v>A</v>
          </cell>
          <cell r="N131" t="str">
            <v>B</v>
          </cell>
          <cell r="O131" t="str">
            <v>A</v>
          </cell>
          <cell r="P131" t="str">
            <v>C</v>
          </cell>
          <cell r="Q131" t="str">
            <v>C</v>
          </cell>
          <cell r="R131" t="str">
            <v>A</v>
          </cell>
          <cell r="X131">
            <v>48.3</v>
          </cell>
        </row>
        <row r="132">
          <cell r="C132">
            <v>30504160</v>
          </cell>
          <cell r="D132" t="str">
            <v>ТОВ "УКРАЇНА-2010"</v>
          </cell>
          <cell r="E132">
            <v>45817.486799999999</v>
          </cell>
          <cell r="F132">
            <v>45658</v>
          </cell>
          <cell r="G132" t="str">
            <v>E</v>
          </cell>
          <cell r="H132" t="str">
            <v>B</v>
          </cell>
          <cell r="I132" t="str">
            <v>A</v>
          </cell>
          <cell r="J132" t="str">
            <v>A</v>
          </cell>
          <cell r="K132" t="str">
            <v>D</v>
          </cell>
          <cell r="L132" t="str">
            <v>B</v>
          </cell>
          <cell r="M132" t="str">
            <v>A</v>
          </cell>
          <cell r="N132" t="str">
            <v>C</v>
          </cell>
          <cell r="O132" t="str">
            <v>A</v>
          </cell>
          <cell r="P132" t="str">
            <v>B</v>
          </cell>
          <cell r="Q132" t="str">
            <v>B</v>
          </cell>
          <cell r="R132" t="str">
            <v>A</v>
          </cell>
          <cell r="X132">
            <v>44</v>
          </cell>
        </row>
        <row r="133">
          <cell r="C133">
            <v>30531566</v>
          </cell>
          <cell r="D133" t="str">
            <v>ПРАТ "ДОК №7"</v>
          </cell>
          <cell r="E133">
            <v>45958.529499999997</v>
          </cell>
          <cell r="F133">
            <v>45839</v>
          </cell>
          <cell r="G133" t="str">
            <v>E</v>
          </cell>
          <cell r="H133" t="str">
            <v>B</v>
          </cell>
          <cell r="I133" t="str">
            <v>C</v>
          </cell>
          <cell r="J133" t="str">
            <v>A</v>
          </cell>
          <cell r="K133" t="str">
            <v>E</v>
          </cell>
          <cell r="L133" t="str">
            <v>A</v>
          </cell>
          <cell r="M133" t="str">
            <v>A</v>
          </cell>
          <cell r="N133" t="str">
            <v>B</v>
          </cell>
          <cell r="O133" t="str">
            <v>A</v>
          </cell>
          <cell r="P133" t="str">
            <v>C</v>
          </cell>
          <cell r="Q133" t="str">
            <v>B</v>
          </cell>
          <cell r="R133" t="str">
            <v>A</v>
          </cell>
          <cell r="X133">
            <v>43.699999999999996</v>
          </cell>
        </row>
        <row r="134">
          <cell r="C134">
            <v>30605742</v>
          </cell>
          <cell r="D134" t="str">
            <v>ТОВ "РАЛІЇВКА"</v>
          </cell>
          <cell r="E134">
            <v>45796.491399999999</v>
          </cell>
          <cell r="F134">
            <v>45658</v>
          </cell>
          <cell r="G134" t="str">
            <v>E</v>
          </cell>
          <cell r="H134" t="str">
            <v>B</v>
          </cell>
          <cell r="I134" t="str">
            <v>B</v>
          </cell>
          <cell r="J134" t="str">
            <v>A</v>
          </cell>
          <cell r="K134" t="str">
            <v>D</v>
          </cell>
          <cell r="L134" t="str">
            <v>B</v>
          </cell>
          <cell r="M134" t="str">
            <v>A</v>
          </cell>
          <cell r="N134" t="str">
            <v>B</v>
          </cell>
          <cell r="O134" t="str">
            <v>A</v>
          </cell>
          <cell r="P134" t="str">
            <v>C</v>
          </cell>
          <cell r="Q134" t="str">
            <v>B</v>
          </cell>
          <cell r="R134" t="str">
            <v>A</v>
          </cell>
          <cell r="X134">
            <v>48.1</v>
          </cell>
        </row>
        <row r="135">
          <cell r="C135">
            <v>30615881</v>
          </cell>
          <cell r="D135" t="str">
            <v>ТОВ "НАТАЛКА"</v>
          </cell>
          <cell r="E135">
            <v>45611.617700000003</v>
          </cell>
          <cell r="F135">
            <v>45566</v>
          </cell>
          <cell r="G135" t="str">
            <v>E</v>
          </cell>
          <cell r="H135" t="str">
            <v>B</v>
          </cell>
          <cell r="I135" t="str">
            <v>B</v>
          </cell>
          <cell r="J135" t="str">
            <v>D</v>
          </cell>
          <cell r="K135" t="str">
            <v>D</v>
          </cell>
          <cell r="L135" t="str">
            <v>A</v>
          </cell>
          <cell r="M135" t="str">
            <v>A</v>
          </cell>
          <cell r="N135" t="str">
            <v>B</v>
          </cell>
          <cell r="O135" t="str">
            <v>A</v>
          </cell>
          <cell r="P135" t="str">
            <v>C</v>
          </cell>
          <cell r="Q135" t="str">
            <v>C</v>
          </cell>
          <cell r="R135" t="str">
            <v>A</v>
          </cell>
          <cell r="X135">
            <v>59.099999999999994</v>
          </cell>
        </row>
        <row r="136">
          <cell r="C136">
            <v>30818378</v>
          </cell>
          <cell r="D136" t="str">
            <v>ТОВ "УКРАГРОСОЮЗ ЛТД"</v>
          </cell>
          <cell r="E136">
            <v>45897.659</v>
          </cell>
          <cell r="F136">
            <v>45748</v>
          </cell>
          <cell r="G136" t="str">
            <v>E</v>
          </cell>
          <cell r="H136" t="str">
            <v>B</v>
          </cell>
          <cell r="I136" t="str">
            <v>B</v>
          </cell>
          <cell r="J136" t="str">
            <v>A</v>
          </cell>
          <cell r="K136" t="str">
            <v>D</v>
          </cell>
          <cell r="L136" t="str">
            <v>A</v>
          </cell>
          <cell r="M136" t="str">
            <v>A</v>
          </cell>
          <cell r="N136" t="str">
            <v>B</v>
          </cell>
          <cell r="O136" t="str">
            <v>A</v>
          </cell>
          <cell r="P136" t="str">
            <v>C</v>
          </cell>
          <cell r="Q136" t="str">
            <v>B</v>
          </cell>
          <cell r="R136" t="str">
            <v>B</v>
          </cell>
          <cell r="X136">
            <v>49.3</v>
          </cell>
        </row>
        <row r="137">
          <cell r="C137">
            <v>30828716</v>
          </cell>
          <cell r="D137" t="str">
            <v>ТЗОВ"ГАЛИЦЬКА ЗЕРНОВА КОМПАНІЯ"</v>
          </cell>
          <cell r="E137">
            <v>45672.716</v>
          </cell>
          <cell r="F137">
            <v>45566</v>
          </cell>
          <cell r="G137" t="str">
            <v>E</v>
          </cell>
          <cell r="H137" t="str">
            <v>B</v>
          </cell>
          <cell r="I137" t="str">
            <v>D</v>
          </cell>
          <cell r="J137" t="str">
            <v>A</v>
          </cell>
          <cell r="K137" t="str">
            <v>D</v>
          </cell>
          <cell r="L137" t="str">
            <v>A</v>
          </cell>
          <cell r="M137" t="str">
            <v>A</v>
          </cell>
          <cell r="N137" t="str">
            <v>A</v>
          </cell>
          <cell r="O137" t="str">
            <v>A</v>
          </cell>
          <cell r="P137" t="str">
            <v>C</v>
          </cell>
          <cell r="Q137" t="str">
            <v>B</v>
          </cell>
          <cell r="R137" t="str">
            <v>A</v>
          </cell>
          <cell r="X137">
            <v>49.4</v>
          </cell>
        </row>
        <row r="138">
          <cell r="C138">
            <v>30834410</v>
          </cell>
          <cell r="D138" t="str">
            <v>ТОВ " АГРОПОЛІС "</v>
          </cell>
          <cell r="E138">
            <v>45967.529900000001</v>
          </cell>
          <cell r="F138">
            <v>45839</v>
          </cell>
          <cell r="G138" t="str">
            <v>D</v>
          </cell>
          <cell r="H138" t="str">
            <v>B</v>
          </cell>
          <cell r="I138" t="str">
            <v>B</v>
          </cell>
          <cell r="J138" t="str">
            <v>A</v>
          </cell>
          <cell r="K138" t="str">
            <v>D</v>
          </cell>
          <cell r="L138" t="str">
            <v>A</v>
          </cell>
          <cell r="M138" t="str">
            <v>A</v>
          </cell>
          <cell r="N138" t="str">
            <v>A</v>
          </cell>
          <cell r="O138" t="str">
            <v>A</v>
          </cell>
          <cell r="P138" t="str">
            <v>B</v>
          </cell>
          <cell r="Q138" t="str">
            <v>B</v>
          </cell>
          <cell r="R138" t="str">
            <v>A</v>
          </cell>
          <cell r="X138">
            <v>61.600000000000009</v>
          </cell>
        </row>
        <row r="139">
          <cell r="C139">
            <v>30839534</v>
          </cell>
          <cell r="D139" t="str">
            <v>ТОВ"АСКАНІЯ-ФЛОРА"</v>
          </cell>
          <cell r="E139">
            <v>45989.405599999998</v>
          </cell>
          <cell r="F139">
            <v>45658</v>
          </cell>
          <cell r="G139" t="str">
            <v>C</v>
          </cell>
          <cell r="H139" t="str">
            <v>D</v>
          </cell>
          <cell r="I139" t="str">
            <v>D</v>
          </cell>
          <cell r="J139" t="str">
            <v>D</v>
          </cell>
          <cell r="K139" t="str">
            <v>D</v>
          </cell>
          <cell r="L139" t="str">
            <v>A</v>
          </cell>
          <cell r="M139" t="str">
            <v>A</v>
          </cell>
          <cell r="N139" t="str">
            <v>A</v>
          </cell>
          <cell r="O139" t="str">
            <v>A</v>
          </cell>
          <cell r="P139" t="str">
            <v>B</v>
          </cell>
          <cell r="Q139" t="str">
            <v>B</v>
          </cell>
          <cell r="R139" t="str">
            <v>B</v>
          </cell>
          <cell r="X139">
            <v>54</v>
          </cell>
        </row>
        <row r="140">
          <cell r="C140">
            <v>30853543</v>
          </cell>
          <cell r="D140" t="str">
            <v>ТОВ "АГРОФІРМА МАЛИНІВСЬКА"</v>
          </cell>
          <cell r="E140">
            <v>45951.869899999998</v>
          </cell>
          <cell r="F140">
            <v>45839</v>
          </cell>
          <cell r="G140" t="str">
            <v>E</v>
          </cell>
          <cell r="H140" t="str">
            <v>B</v>
          </cell>
          <cell r="I140" t="str">
            <v>B</v>
          </cell>
          <cell r="J140" t="str">
            <v>A</v>
          </cell>
          <cell r="K140" t="str">
            <v>D</v>
          </cell>
          <cell r="L140" t="str">
            <v>B</v>
          </cell>
          <cell r="M140" t="str">
            <v>C</v>
          </cell>
          <cell r="N140" t="str">
            <v>B</v>
          </cell>
          <cell r="O140" t="str">
            <v>A</v>
          </cell>
          <cell r="P140" t="str">
            <v>C</v>
          </cell>
          <cell r="Q140" t="str">
            <v>C</v>
          </cell>
          <cell r="R140" t="str">
            <v>A</v>
          </cell>
          <cell r="X140">
            <v>38.699999999999996</v>
          </cell>
        </row>
        <row r="141">
          <cell r="C141">
            <v>30864974</v>
          </cell>
          <cell r="D141" t="str">
            <v>СТОВ"ВІКТОРІЯ"</v>
          </cell>
          <cell r="E141">
            <v>45672.716</v>
          </cell>
          <cell r="F141">
            <v>45566</v>
          </cell>
          <cell r="G141" t="str">
            <v>E</v>
          </cell>
          <cell r="H141" t="str">
            <v>B</v>
          </cell>
          <cell r="I141" t="str">
            <v>D</v>
          </cell>
          <cell r="J141" t="str">
            <v>A</v>
          </cell>
          <cell r="K141" t="str">
            <v>D</v>
          </cell>
          <cell r="L141" t="str">
            <v>A</v>
          </cell>
          <cell r="M141" t="str">
            <v>A</v>
          </cell>
          <cell r="N141" t="str">
            <v>A</v>
          </cell>
          <cell r="O141" t="str">
            <v>A</v>
          </cell>
          <cell r="P141" t="str">
            <v>C</v>
          </cell>
          <cell r="Q141" t="str">
            <v>B</v>
          </cell>
          <cell r="R141" t="str">
            <v>A</v>
          </cell>
          <cell r="X141">
            <v>49.4</v>
          </cell>
        </row>
        <row r="142">
          <cell r="C142">
            <v>30868790</v>
          </cell>
          <cell r="D142" t="str">
            <v>ТОВ КОМПАНІЯ "УКРЕЛІТАГРО"</v>
          </cell>
          <cell r="E142">
            <v>45944</v>
          </cell>
          <cell r="F142">
            <v>45658</v>
          </cell>
          <cell r="G142" t="str">
            <v>D</v>
          </cell>
          <cell r="H142" t="str">
            <v>B</v>
          </cell>
          <cell r="I142" t="str">
            <v>C</v>
          </cell>
          <cell r="J142" t="str">
            <v>C</v>
          </cell>
          <cell r="K142" t="str">
            <v>D</v>
          </cell>
          <cell r="L142" t="str">
            <v>A</v>
          </cell>
          <cell r="M142" t="str">
            <v>A</v>
          </cell>
          <cell r="N142" t="str">
            <v>B</v>
          </cell>
          <cell r="O142" t="str">
            <v>B</v>
          </cell>
          <cell r="P142" t="str">
            <v>C</v>
          </cell>
          <cell r="Q142" t="str">
            <v>B</v>
          </cell>
          <cell r="R142" t="str">
            <v>A</v>
          </cell>
          <cell r="X142">
            <v>50.5</v>
          </cell>
        </row>
        <row r="143">
          <cell r="C143">
            <v>30905643</v>
          </cell>
          <cell r="D143" t="str">
            <v>ПП " МАДЕСА"</v>
          </cell>
          <cell r="E143">
            <v>45812.499799999998</v>
          </cell>
          <cell r="F143">
            <v>45748</v>
          </cell>
          <cell r="G143" t="str">
            <v>E</v>
          </cell>
          <cell r="H143" t="str">
            <v>B</v>
          </cell>
          <cell r="I143" t="str">
            <v>B</v>
          </cell>
          <cell r="J143" t="str">
            <v>A</v>
          </cell>
          <cell r="K143" t="str">
            <v>C</v>
          </cell>
          <cell r="L143" t="str">
            <v>A</v>
          </cell>
          <cell r="M143" t="str">
            <v>A</v>
          </cell>
          <cell r="N143" t="str">
            <v>B</v>
          </cell>
          <cell r="O143" t="str">
            <v>A</v>
          </cell>
          <cell r="P143" t="str">
            <v>C</v>
          </cell>
          <cell r="Q143" t="str">
            <v>B</v>
          </cell>
          <cell r="R143" t="str">
            <v>A</v>
          </cell>
          <cell r="X143">
            <v>55.7</v>
          </cell>
        </row>
        <row r="144">
          <cell r="C144">
            <v>30921733</v>
          </cell>
          <cell r="D144" t="str">
            <v>ТОВ "ОРІЛЬСЬКИЙ ОБ'ЄДНАНИЙ ЕЛЕВАТОР"</v>
          </cell>
          <cell r="E144">
            <v>45743.484499999999</v>
          </cell>
          <cell r="F144">
            <v>45474</v>
          </cell>
          <cell r="G144" t="str">
            <v>D</v>
          </cell>
          <cell r="H144" t="str">
            <v>B</v>
          </cell>
          <cell r="I144" t="str">
            <v>B</v>
          </cell>
          <cell r="J144" t="str">
            <v>C</v>
          </cell>
          <cell r="K144" t="str">
            <v>A</v>
          </cell>
          <cell r="L144" t="str">
            <v>A</v>
          </cell>
          <cell r="M144" t="str">
            <v>A</v>
          </cell>
          <cell r="N144" t="str">
            <v>A</v>
          </cell>
          <cell r="O144" t="str">
            <v>A</v>
          </cell>
          <cell r="P144" t="str">
            <v>A</v>
          </cell>
          <cell r="Q144" t="str">
            <v>A</v>
          </cell>
          <cell r="R144" t="str">
            <v>B</v>
          </cell>
          <cell r="X144">
            <v>73.200000000000017</v>
          </cell>
        </row>
        <row r="145">
          <cell r="C145">
            <v>30944148</v>
          </cell>
          <cell r="D145" t="str">
            <v>ТОВ "БГС РЕЙЛ"</v>
          </cell>
          <cell r="E145">
            <v>45989.397100000002</v>
          </cell>
          <cell r="F145">
            <v>45839</v>
          </cell>
          <cell r="G145" t="str">
            <v>E</v>
          </cell>
          <cell r="H145" t="str">
            <v>C</v>
          </cell>
          <cell r="I145" t="str">
            <v>B</v>
          </cell>
          <cell r="J145" t="str">
            <v>D</v>
          </cell>
          <cell r="K145" t="str">
            <v>D</v>
          </cell>
          <cell r="L145" t="str">
            <v>A</v>
          </cell>
          <cell r="M145" t="str">
            <v>A</v>
          </cell>
          <cell r="N145" t="str">
            <v>A</v>
          </cell>
          <cell r="O145" t="str">
            <v>A</v>
          </cell>
          <cell r="P145" t="str">
            <v>A</v>
          </cell>
          <cell r="Q145" t="str">
            <v>B</v>
          </cell>
          <cell r="R145" t="str">
            <v>C</v>
          </cell>
          <cell r="X145">
            <v>60.800000000000004</v>
          </cell>
        </row>
        <row r="146">
          <cell r="C146">
            <v>30972222</v>
          </cell>
          <cell r="D146" t="str">
            <v>ТОВ "ЕКСТРІМ ЛТД"</v>
          </cell>
          <cell r="E146">
            <v>45741.438900000001</v>
          </cell>
          <cell r="F146">
            <v>45658</v>
          </cell>
          <cell r="G146" t="str">
            <v>E</v>
          </cell>
          <cell r="H146" t="str">
            <v>B</v>
          </cell>
          <cell r="I146" t="str">
            <v>A</v>
          </cell>
          <cell r="J146" t="str">
            <v>A</v>
          </cell>
          <cell r="K146" t="str">
            <v>D</v>
          </cell>
          <cell r="L146" t="str">
            <v>A</v>
          </cell>
          <cell r="M146" t="str">
            <v>A</v>
          </cell>
          <cell r="N146" t="str">
            <v>A</v>
          </cell>
          <cell r="O146" t="str">
            <v>A</v>
          </cell>
          <cell r="P146" t="str">
            <v>B</v>
          </cell>
          <cell r="Q146" t="str">
            <v>B</v>
          </cell>
          <cell r="R146" t="str">
            <v>A</v>
          </cell>
          <cell r="X146">
            <v>53.600000000000009</v>
          </cell>
        </row>
        <row r="147">
          <cell r="C147">
            <v>30976452</v>
          </cell>
          <cell r="D147" t="str">
            <v>ТОВ "Техноторг"</v>
          </cell>
          <cell r="E147">
            <v>45905.5386</v>
          </cell>
          <cell r="F147">
            <v>45839</v>
          </cell>
          <cell r="G147" t="str">
            <v>C</v>
          </cell>
          <cell r="H147" t="str">
            <v>C</v>
          </cell>
          <cell r="I147" t="str">
            <v>A</v>
          </cell>
          <cell r="J147" t="str">
            <v>D</v>
          </cell>
          <cell r="K147" t="str">
            <v>C</v>
          </cell>
          <cell r="L147" t="str">
            <v>D</v>
          </cell>
          <cell r="M147" t="str">
            <v>B</v>
          </cell>
          <cell r="N147" t="str">
            <v>A</v>
          </cell>
          <cell r="O147" t="str">
            <v>A</v>
          </cell>
          <cell r="P147" t="str">
            <v>C</v>
          </cell>
          <cell r="Q147" t="str">
            <v>B</v>
          </cell>
          <cell r="R147" t="str">
            <v>A</v>
          </cell>
          <cell r="X147">
            <v>50.6</v>
          </cell>
        </row>
        <row r="148">
          <cell r="C148">
            <v>30986586</v>
          </cell>
          <cell r="D148" t="str">
            <v>ТОВ "Хот-Велл"</v>
          </cell>
          <cell r="E148">
            <v>45608.468200000003</v>
          </cell>
          <cell r="F148">
            <v>45474</v>
          </cell>
          <cell r="G148" t="str">
            <v>E</v>
          </cell>
          <cell r="H148" t="str">
            <v>C</v>
          </cell>
          <cell r="I148" t="str">
            <v>B</v>
          </cell>
          <cell r="J148" t="str">
            <v>D</v>
          </cell>
          <cell r="K148" t="str">
            <v>D</v>
          </cell>
          <cell r="L148" t="str">
            <v>A</v>
          </cell>
          <cell r="M148" t="str">
            <v>A</v>
          </cell>
          <cell r="N148" t="str">
            <v>A</v>
          </cell>
          <cell r="O148" t="str">
            <v>A</v>
          </cell>
          <cell r="P148" t="str">
            <v>C</v>
          </cell>
          <cell r="Q148" t="str">
            <v>B</v>
          </cell>
          <cell r="R148" t="str">
            <v>A</v>
          </cell>
          <cell r="X148">
            <v>62.6</v>
          </cell>
        </row>
        <row r="149">
          <cell r="C149">
            <v>31004466</v>
          </cell>
          <cell r="D149" t="str">
            <v>ПСП"МРІЯ"</v>
          </cell>
          <cell r="E149">
            <v>45854.645900000003</v>
          </cell>
          <cell r="F149">
            <v>45748</v>
          </cell>
          <cell r="G149" t="str">
            <v>E</v>
          </cell>
          <cell r="H149" t="str">
            <v>B</v>
          </cell>
          <cell r="I149" t="str">
            <v>B</v>
          </cell>
          <cell r="J149" t="str">
            <v>B</v>
          </cell>
          <cell r="K149" t="str">
            <v>D</v>
          </cell>
          <cell r="L149" t="str">
            <v>B</v>
          </cell>
          <cell r="M149" t="str">
            <v>A</v>
          </cell>
          <cell r="N149" t="str">
            <v>B</v>
          </cell>
          <cell r="O149" t="str">
            <v>A</v>
          </cell>
          <cell r="P149" t="str">
            <v>C</v>
          </cell>
          <cell r="Q149" t="str">
            <v>B</v>
          </cell>
          <cell r="R149" t="str">
            <v>B</v>
          </cell>
          <cell r="X149">
            <v>47.3</v>
          </cell>
        </row>
        <row r="150">
          <cell r="C150">
            <v>31008937</v>
          </cell>
          <cell r="D150" t="str">
            <v>ТОВ ВО "МІНЕРАЛИ УКРАЇНИ"</v>
          </cell>
          <cell r="E150">
            <v>45707.704599999997</v>
          </cell>
          <cell r="F150">
            <v>45566</v>
          </cell>
          <cell r="G150" t="str">
            <v>E</v>
          </cell>
          <cell r="H150" t="str">
            <v>C</v>
          </cell>
          <cell r="I150" t="str">
            <v>B</v>
          </cell>
          <cell r="J150" t="str">
            <v>A</v>
          </cell>
          <cell r="K150" t="str">
            <v>D</v>
          </cell>
          <cell r="L150" t="str">
            <v>B</v>
          </cell>
          <cell r="M150" t="str">
            <v>A</v>
          </cell>
          <cell r="N150" t="str">
            <v>B</v>
          </cell>
          <cell r="O150" t="str">
            <v>A</v>
          </cell>
          <cell r="P150" t="str">
            <v>C</v>
          </cell>
          <cell r="Q150" t="str">
            <v>C</v>
          </cell>
          <cell r="R150" t="str">
            <v>A</v>
          </cell>
          <cell r="X150">
            <v>44.699999999999989</v>
          </cell>
        </row>
        <row r="151">
          <cell r="C151">
            <v>31028769</v>
          </cell>
          <cell r="D151" t="str">
            <v>ТОВ "НОРМАІЗОЛ"</v>
          </cell>
          <cell r="E151">
            <v>45639.538800000002</v>
          </cell>
          <cell r="F151">
            <v>45566</v>
          </cell>
          <cell r="G151" t="str">
            <v>E</v>
          </cell>
          <cell r="H151" t="str">
            <v>B</v>
          </cell>
          <cell r="I151" t="str">
            <v>B</v>
          </cell>
          <cell r="J151" t="str">
            <v>B</v>
          </cell>
          <cell r="K151" t="str">
            <v>D</v>
          </cell>
          <cell r="L151" t="str">
            <v>A</v>
          </cell>
          <cell r="M151" t="str">
            <v>A</v>
          </cell>
          <cell r="N151" t="str">
            <v>B</v>
          </cell>
          <cell r="O151" t="str">
            <v>A</v>
          </cell>
          <cell r="P151" t="str">
            <v>C</v>
          </cell>
          <cell r="Q151" t="str">
            <v>B</v>
          </cell>
          <cell r="R151" t="str">
            <v>A</v>
          </cell>
          <cell r="X151">
            <v>55.7</v>
          </cell>
        </row>
        <row r="152">
          <cell r="C152">
            <v>31037360</v>
          </cell>
          <cell r="D152" t="str">
            <v>ПП "САРМАТ"</v>
          </cell>
          <cell r="E152">
            <v>45952.740299999998</v>
          </cell>
          <cell r="F152">
            <v>45839</v>
          </cell>
          <cell r="G152" t="str">
            <v>E</v>
          </cell>
          <cell r="H152" t="str">
            <v>B</v>
          </cell>
          <cell r="I152" t="str">
            <v>B</v>
          </cell>
          <cell r="J152" t="str">
            <v>C</v>
          </cell>
          <cell r="K152" t="str">
            <v>D</v>
          </cell>
          <cell r="L152" t="str">
            <v>B</v>
          </cell>
          <cell r="M152" t="str">
            <v>D</v>
          </cell>
          <cell r="N152" t="str">
            <v>C</v>
          </cell>
          <cell r="O152" t="str">
            <v>B</v>
          </cell>
          <cell r="P152" t="str">
            <v>C</v>
          </cell>
          <cell r="Q152" t="str">
            <v>C</v>
          </cell>
          <cell r="R152" t="str">
            <v>B</v>
          </cell>
          <cell r="X152">
            <v>35.199999999999996</v>
          </cell>
        </row>
        <row r="153">
          <cell r="C153">
            <v>31140930</v>
          </cell>
          <cell r="D153" t="str">
            <v>ПП "Благодатне"</v>
          </cell>
          <cell r="E153">
            <v>45965.373500000002</v>
          </cell>
          <cell r="F153">
            <v>45839</v>
          </cell>
          <cell r="G153" t="str">
            <v>D</v>
          </cell>
          <cell r="H153" t="str">
            <v>B</v>
          </cell>
          <cell r="I153" t="str">
            <v>B</v>
          </cell>
          <cell r="J153" t="str">
            <v>B</v>
          </cell>
          <cell r="K153" t="str">
            <v>C</v>
          </cell>
          <cell r="L153" t="str">
            <v>B</v>
          </cell>
          <cell r="M153" t="str">
            <v>A</v>
          </cell>
          <cell r="N153" t="str">
            <v>A</v>
          </cell>
          <cell r="O153" t="str">
            <v>A</v>
          </cell>
          <cell r="P153" t="str">
            <v>C</v>
          </cell>
          <cell r="Q153" t="str">
            <v>C</v>
          </cell>
          <cell r="R153" t="str">
            <v>A</v>
          </cell>
          <cell r="X153">
            <v>58.8</v>
          </cell>
        </row>
        <row r="154">
          <cell r="C154">
            <v>31152349</v>
          </cell>
          <cell r="D154" t="str">
            <v>ТОВ "ДЖАМП"</v>
          </cell>
          <cell r="E154">
            <v>45652.601999999999</v>
          </cell>
          <cell r="F154">
            <v>45566</v>
          </cell>
          <cell r="G154" t="str">
            <v>E</v>
          </cell>
          <cell r="H154" t="str">
            <v>A</v>
          </cell>
          <cell r="I154" t="str">
            <v>A</v>
          </cell>
          <cell r="J154" t="str">
            <v>A</v>
          </cell>
          <cell r="K154" t="str">
            <v>C</v>
          </cell>
          <cell r="L154" t="str">
            <v>A</v>
          </cell>
          <cell r="M154" t="str">
            <v>A</v>
          </cell>
          <cell r="N154" t="str">
            <v>A</v>
          </cell>
          <cell r="O154" t="str">
            <v>A</v>
          </cell>
          <cell r="P154" t="str">
            <v>C</v>
          </cell>
          <cell r="Q154" t="str">
            <v>B</v>
          </cell>
          <cell r="R154" t="str">
            <v>C</v>
          </cell>
          <cell r="X154">
            <v>51</v>
          </cell>
        </row>
        <row r="155">
          <cell r="C155">
            <v>31190269</v>
          </cell>
          <cell r="D155" t="str">
            <v>ТОВ АПК "СПАСЬКИЙ"</v>
          </cell>
          <cell r="E155">
            <v>45755</v>
          </cell>
          <cell r="F155">
            <v>45658</v>
          </cell>
          <cell r="G155" t="str">
            <v>E</v>
          </cell>
          <cell r="H155" t="str">
            <v>B</v>
          </cell>
          <cell r="I155" t="str">
            <v>B</v>
          </cell>
          <cell r="J155" t="str">
            <v>B</v>
          </cell>
          <cell r="K155" t="str">
            <v>B</v>
          </cell>
          <cell r="L155" t="str">
            <v>A</v>
          </cell>
          <cell r="M155" t="str">
            <v>A</v>
          </cell>
          <cell r="N155" t="str">
            <v>C</v>
          </cell>
          <cell r="O155" t="str">
            <v>A</v>
          </cell>
          <cell r="P155" t="str">
            <v>C</v>
          </cell>
          <cell r="Q155" t="str">
            <v>B</v>
          </cell>
          <cell r="R155" t="str">
            <v>A</v>
          </cell>
          <cell r="X155">
            <v>57.800000000000004</v>
          </cell>
        </row>
        <row r="156">
          <cell r="C156">
            <v>31207130</v>
          </cell>
          <cell r="D156" t="str">
            <v>ТОВ "ЧЕСМ"</v>
          </cell>
          <cell r="E156">
            <v>45635.991000000002</v>
          </cell>
          <cell r="F156">
            <v>45566</v>
          </cell>
          <cell r="G156" t="str">
            <v>E</v>
          </cell>
          <cell r="H156" t="str">
            <v>C</v>
          </cell>
          <cell r="I156" t="str">
            <v>B</v>
          </cell>
          <cell r="J156" t="str">
            <v>B</v>
          </cell>
          <cell r="K156" t="str">
            <v>D</v>
          </cell>
          <cell r="L156" t="str">
            <v>B</v>
          </cell>
          <cell r="M156" t="str">
            <v>A</v>
          </cell>
          <cell r="N156" t="str">
            <v>B</v>
          </cell>
          <cell r="O156" t="str">
            <v>A</v>
          </cell>
          <cell r="P156" t="str">
            <v>B</v>
          </cell>
          <cell r="Q156" t="str">
            <v>B</v>
          </cell>
          <cell r="R156" t="str">
            <v>A</v>
          </cell>
          <cell r="X156">
            <v>51.1</v>
          </cell>
        </row>
        <row r="157">
          <cell r="C157">
            <v>31261769</v>
          </cell>
          <cell r="D157" t="str">
            <v>ТОВ ВК "ГІРНИЧОДОБУВНА ПРОМИСЛОВІСТЬ"</v>
          </cell>
          <cell r="E157">
            <v>45551.451200000003</v>
          </cell>
          <cell r="F157">
            <v>45474</v>
          </cell>
          <cell r="G157" t="str">
            <v>E</v>
          </cell>
          <cell r="H157" t="str">
            <v>A</v>
          </cell>
          <cell r="I157" t="str">
            <v>A</v>
          </cell>
          <cell r="J157" t="str">
            <v>C</v>
          </cell>
          <cell r="K157" t="str">
            <v>E</v>
          </cell>
          <cell r="L157" t="str">
            <v>A</v>
          </cell>
          <cell r="M157" t="str">
            <v>A</v>
          </cell>
          <cell r="N157" t="str">
            <v>C</v>
          </cell>
          <cell r="O157" t="str">
            <v>A</v>
          </cell>
          <cell r="P157" t="str">
            <v>C</v>
          </cell>
          <cell r="Q157" t="str">
            <v>B</v>
          </cell>
          <cell r="R157" t="str">
            <v>C</v>
          </cell>
          <cell r="X157">
            <v>47.800000000000004</v>
          </cell>
        </row>
        <row r="158">
          <cell r="C158">
            <v>31285135</v>
          </cell>
          <cell r="D158" t="str">
            <v>ТОВ "АВТОМОБІЛЬНИЙ ДОМ "СОЛЛІ-ПЛЮС"</v>
          </cell>
          <cell r="E158">
            <v>45861.418100000003</v>
          </cell>
          <cell r="F158">
            <v>45748</v>
          </cell>
          <cell r="G158" t="str">
            <v>E</v>
          </cell>
          <cell r="H158" t="str">
            <v>B</v>
          </cell>
          <cell r="I158" t="str">
            <v>B</v>
          </cell>
          <cell r="J158" t="str">
            <v>C</v>
          </cell>
          <cell r="K158" t="str">
            <v>D</v>
          </cell>
          <cell r="L158" t="str">
            <v>A</v>
          </cell>
          <cell r="M158" t="str">
            <v>A</v>
          </cell>
          <cell r="N158" t="str">
            <v>B</v>
          </cell>
          <cell r="O158" t="str">
            <v>B</v>
          </cell>
          <cell r="P158" t="str">
            <v>C</v>
          </cell>
          <cell r="Q158" t="str">
            <v>B</v>
          </cell>
          <cell r="R158" t="str">
            <v>C</v>
          </cell>
          <cell r="X158">
            <v>48.900000000000006</v>
          </cell>
        </row>
        <row r="159">
          <cell r="C159">
            <v>31316702</v>
          </cell>
          <cell r="D159" t="str">
            <v>ПП"АЛМАЗ-М"</v>
          </cell>
          <cell r="E159">
            <v>45856.427100000001</v>
          </cell>
          <cell r="F159">
            <v>45748</v>
          </cell>
          <cell r="G159" t="str">
            <v>E</v>
          </cell>
          <cell r="H159" t="str">
            <v>A</v>
          </cell>
          <cell r="I159" t="str">
            <v>A</v>
          </cell>
          <cell r="J159" t="str">
            <v>A</v>
          </cell>
          <cell r="K159" t="str">
            <v>D</v>
          </cell>
          <cell r="L159" t="str">
            <v>A</v>
          </cell>
          <cell r="M159" t="str">
            <v>A</v>
          </cell>
          <cell r="N159" t="str">
            <v>B</v>
          </cell>
          <cell r="O159" t="str">
            <v>A</v>
          </cell>
          <cell r="P159" t="str">
            <v>C</v>
          </cell>
          <cell r="Q159" t="str">
            <v>B</v>
          </cell>
          <cell r="R159" t="str">
            <v>A</v>
          </cell>
          <cell r="X159">
            <v>50.9</v>
          </cell>
        </row>
        <row r="160">
          <cell r="C160">
            <v>31316718</v>
          </cell>
          <cell r="D160" t="str">
            <v>ТОВ "Нова пошта"</v>
          </cell>
          <cell r="E160">
            <v>45909.691200000001</v>
          </cell>
          <cell r="F160">
            <v>45658</v>
          </cell>
          <cell r="G160" t="str">
            <v>A</v>
          </cell>
          <cell r="H160" t="str">
            <v>B</v>
          </cell>
          <cell r="I160" t="str">
            <v>B</v>
          </cell>
          <cell r="J160" t="str">
            <v>B</v>
          </cell>
          <cell r="K160" t="str">
            <v>A</v>
          </cell>
          <cell r="L160" t="str">
            <v>A</v>
          </cell>
          <cell r="M160" t="str">
            <v>A</v>
          </cell>
          <cell r="N160" t="str">
            <v>A</v>
          </cell>
          <cell r="O160" t="str">
            <v>A</v>
          </cell>
          <cell r="P160" t="str">
            <v>C</v>
          </cell>
          <cell r="Q160" t="str">
            <v>B</v>
          </cell>
          <cell r="R160" t="str">
            <v>A</v>
          </cell>
          <cell r="X160">
            <v>70.199999999999989</v>
          </cell>
        </row>
        <row r="161">
          <cell r="C161">
            <v>31421830</v>
          </cell>
          <cell r="D161" t="str">
            <v>ТОВ "Пілот"</v>
          </cell>
          <cell r="E161">
            <v>45611.617700000003</v>
          </cell>
          <cell r="F161">
            <v>45566</v>
          </cell>
          <cell r="G161" t="str">
            <v>E</v>
          </cell>
          <cell r="H161" t="str">
            <v>B</v>
          </cell>
          <cell r="I161" t="str">
            <v>B</v>
          </cell>
          <cell r="J161" t="str">
            <v>D</v>
          </cell>
          <cell r="K161" t="str">
            <v>D</v>
          </cell>
          <cell r="L161" t="str">
            <v>A</v>
          </cell>
          <cell r="M161" t="str">
            <v>A</v>
          </cell>
          <cell r="N161" t="str">
            <v>B</v>
          </cell>
          <cell r="O161" t="str">
            <v>A</v>
          </cell>
          <cell r="P161" t="str">
            <v>C</v>
          </cell>
          <cell r="Q161" t="str">
            <v>C</v>
          </cell>
          <cell r="R161" t="str">
            <v>A</v>
          </cell>
          <cell r="X161">
            <v>59.099999999999994</v>
          </cell>
        </row>
        <row r="162">
          <cell r="C162">
            <v>31427962</v>
          </cell>
          <cell r="D162" t="str">
            <v>ТОВ "ВЕЛЕС-АГРО ЛТД."</v>
          </cell>
          <cell r="E162">
            <v>45919.466500000002</v>
          </cell>
          <cell r="F162">
            <v>45839</v>
          </cell>
          <cell r="G162" t="str">
            <v>E</v>
          </cell>
          <cell r="H162" t="str">
            <v>A</v>
          </cell>
          <cell r="I162" t="str">
            <v>A</v>
          </cell>
          <cell r="J162" t="str">
            <v>A</v>
          </cell>
          <cell r="K162" t="str">
            <v>A</v>
          </cell>
          <cell r="L162" t="str">
            <v>A</v>
          </cell>
          <cell r="M162" t="str">
            <v>A</v>
          </cell>
          <cell r="N162" t="str">
            <v>B</v>
          </cell>
          <cell r="O162" t="str">
            <v>A</v>
          </cell>
          <cell r="P162" t="str">
            <v>C</v>
          </cell>
          <cell r="Q162" t="str">
            <v>B</v>
          </cell>
          <cell r="R162" t="str">
            <v>A</v>
          </cell>
          <cell r="X162">
            <v>55.7</v>
          </cell>
        </row>
        <row r="163">
          <cell r="C163">
            <v>31496816</v>
          </cell>
          <cell r="D163" t="str">
            <v>ТЗОВ"ВОЛИНЬ-ЗЕРНО-ПРОДУКТ"</v>
          </cell>
          <cell r="E163">
            <v>45769.481800000001</v>
          </cell>
          <cell r="F163">
            <v>45658</v>
          </cell>
          <cell r="G163" t="str">
            <v>D</v>
          </cell>
          <cell r="H163" t="str">
            <v>B</v>
          </cell>
          <cell r="I163" t="str">
            <v>B</v>
          </cell>
          <cell r="J163" t="str">
            <v>A</v>
          </cell>
          <cell r="K163" t="str">
            <v>D</v>
          </cell>
          <cell r="L163" t="str">
            <v>B</v>
          </cell>
          <cell r="M163" t="str">
            <v>A</v>
          </cell>
          <cell r="N163" t="str">
            <v>A</v>
          </cell>
          <cell r="O163" t="str">
            <v>A</v>
          </cell>
          <cell r="P163" t="str">
            <v>C</v>
          </cell>
          <cell r="Q163" t="str">
            <v>B</v>
          </cell>
          <cell r="R163" t="str">
            <v>A</v>
          </cell>
          <cell r="X163">
            <v>55</v>
          </cell>
        </row>
        <row r="164">
          <cell r="C164">
            <v>31626517</v>
          </cell>
          <cell r="D164" t="str">
            <v>ТОВ "СПЕЦТРАНССЕРВІС"</v>
          </cell>
          <cell r="E164">
            <v>45628.774100000002</v>
          </cell>
          <cell r="F164">
            <v>45566</v>
          </cell>
          <cell r="G164" t="str">
            <v>E</v>
          </cell>
          <cell r="H164" t="str">
            <v>C</v>
          </cell>
          <cell r="I164" t="str">
            <v>A</v>
          </cell>
          <cell r="J164" t="str">
            <v>A</v>
          </cell>
          <cell r="K164" t="str">
            <v>D</v>
          </cell>
          <cell r="L164" t="str">
            <v>A</v>
          </cell>
          <cell r="M164" t="str">
            <v>A</v>
          </cell>
          <cell r="N164" t="str">
            <v>B</v>
          </cell>
          <cell r="O164" t="str">
            <v>A</v>
          </cell>
          <cell r="P164" t="str">
            <v>C</v>
          </cell>
          <cell r="Q164" t="str">
            <v>C</v>
          </cell>
          <cell r="R164" t="str">
            <v>A</v>
          </cell>
          <cell r="X164">
            <v>45.099999999999994</v>
          </cell>
        </row>
        <row r="165">
          <cell r="C165">
            <v>31676602</v>
          </cell>
          <cell r="D165" t="str">
            <v>ТОВ "ЗАВОД ХТТ"</v>
          </cell>
          <cell r="E165">
            <v>45967.674599999998</v>
          </cell>
          <cell r="F165">
            <v>45839</v>
          </cell>
          <cell r="G165" t="str">
            <v>E</v>
          </cell>
          <cell r="H165" t="str">
            <v>C</v>
          </cell>
          <cell r="I165" t="str">
            <v>B</v>
          </cell>
          <cell r="J165" t="str">
            <v>B</v>
          </cell>
          <cell r="K165" t="str">
            <v>D</v>
          </cell>
          <cell r="L165" t="str">
            <v>A</v>
          </cell>
          <cell r="M165" t="str">
            <v>B</v>
          </cell>
          <cell r="N165" t="str">
            <v>B</v>
          </cell>
          <cell r="O165" t="str">
            <v>B</v>
          </cell>
          <cell r="P165" t="str">
            <v>B</v>
          </cell>
          <cell r="Q165" t="str">
            <v>B</v>
          </cell>
          <cell r="R165" t="str">
            <v>B</v>
          </cell>
          <cell r="X165">
            <v>42.300000000000004</v>
          </cell>
        </row>
        <row r="166">
          <cell r="C166">
            <v>31728376</v>
          </cell>
          <cell r="D166" t="str">
            <v>ТОВ "НВП "СИСТЕМИ УПРАВЛІННЯ"</v>
          </cell>
          <cell r="E166">
            <v>45960.7765</v>
          </cell>
          <cell r="F166">
            <v>45839</v>
          </cell>
          <cell r="G166" t="str">
            <v>E</v>
          </cell>
          <cell r="H166" t="str">
            <v>B</v>
          </cell>
          <cell r="I166" t="str">
            <v>B</v>
          </cell>
          <cell r="J166" t="str">
            <v>A</v>
          </cell>
          <cell r="K166" t="str">
            <v>D</v>
          </cell>
          <cell r="L166" t="str">
            <v>A</v>
          </cell>
          <cell r="M166" t="str">
            <v>A</v>
          </cell>
          <cell r="N166" t="str">
            <v>B</v>
          </cell>
          <cell r="O166" t="str">
            <v>A</v>
          </cell>
          <cell r="P166" t="str">
            <v>C</v>
          </cell>
          <cell r="Q166" t="str">
            <v>B</v>
          </cell>
          <cell r="R166" t="str">
            <v>A</v>
          </cell>
          <cell r="X166">
            <v>52.9</v>
          </cell>
        </row>
        <row r="167">
          <cell r="C167">
            <v>31744590</v>
          </cell>
          <cell r="D167" t="str">
            <v>ТОВ "АПК "НИВА УКРАЇНИ"</v>
          </cell>
          <cell r="E167">
            <v>45604.541799999999</v>
          </cell>
          <cell r="F167">
            <v>45474</v>
          </cell>
          <cell r="G167" t="str">
            <v>E</v>
          </cell>
          <cell r="H167" t="str">
            <v>C</v>
          </cell>
          <cell r="I167" t="str">
            <v>B</v>
          </cell>
          <cell r="J167" t="str">
            <v>B</v>
          </cell>
          <cell r="K167" t="str">
            <v>B</v>
          </cell>
          <cell r="L167" t="str">
            <v>B</v>
          </cell>
          <cell r="M167" t="str">
            <v>A</v>
          </cell>
          <cell r="N167" t="str">
            <v>A</v>
          </cell>
          <cell r="O167" t="str">
            <v>A</v>
          </cell>
          <cell r="P167" t="str">
            <v>B</v>
          </cell>
          <cell r="Q167" t="str">
            <v>B</v>
          </cell>
          <cell r="R167" t="str">
            <v>A</v>
          </cell>
          <cell r="X167">
            <v>58</v>
          </cell>
        </row>
        <row r="168">
          <cell r="C168">
            <v>31756056</v>
          </cell>
          <cell r="D168" t="str">
            <v>ПП «АККЕРМАН ЗЕРНОПРОМ»</v>
          </cell>
          <cell r="E168">
            <v>45905</v>
          </cell>
          <cell r="F168">
            <v>45839</v>
          </cell>
          <cell r="G168" t="str">
            <v>E</v>
          </cell>
          <cell r="H168" t="str">
            <v>C</v>
          </cell>
          <cell r="I168" t="str">
            <v>C</v>
          </cell>
          <cell r="J168" t="str">
            <v>C</v>
          </cell>
          <cell r="K168" t="str">
            <v>D</v>
          </cell>
          <cell r="L168" t="str">
            <v>B</v>
          </cell>
          <cell r="M168" t="str">
            <v>A</v>
          </cell>
          <cell r="N168" t="str">
            <v>B</v>
          </cell>
          <cell r="O168" t="str">
            <v>B</v>
          </cell>
          <cell r="P168" t="str">
            <v>C</v>
          </cell>
          <cell r="Q168" t="str">
            <v>B</v>
          </cell>
          <cell r="R168" t="str">
            <v>A</v>
          </cell>
          <cell r="X168">
            <v>40.5</v>
          </cell>
        </row>
        <row r="169">
          <cell r="C169">
            <v>31760612</v>
          </cell>
          <cell r="D169" t="str">
            <v>ТОВ "Крафт"</v>
          </cell>
          <cell r="E169">
            <v>45750.515399999997</v>
          </cell>
          <cell r="F169">
            <v>45658</v>
          </cell>
          <cell r="G169" t="str">
            <v>E</v>
          </cell>
          <cell r="H169" t="str">
            <v>B</v>
          </cell>
          <cell r="I169" t="str">
            <v>A</v>
          </cell>
          <cell r="J169" t="str">
            <v>A</v>
          </cell>
          <cell r="K169" t="str">
            <v>D</v>
          </cell>
          <cell r="L169" t="str">
            <v>B</v>
          </cell>
          <cell r="M169" t="str">
            <v>A</v>
          </cell>
          <cell r="N169" t="str">
            <v>B</v>
          </cell>
          <cell r="O169" t="str">
            <v>A</v>
          </cell>
          <cell r="P169" t="str">
            <v>C</v>
          </cell>
          <cell r="Q169" t="str">
            <v>C</v>
          </cell>
          <cell r="R169" t="str">
            <v>C</v>
          </cell>
          <cell r="X169">
            <v>35.899999999999991</v>
          </cell>
        </row>
        <row r="170">
          <cell r="C170">
            <v>31764816</v>
          </cell>
          <cell r="D170" t="str">
            <v>ТОВ "Техноторг-Дон"</v>
          </cell>
          <cell r="E170">
            <v>45905.5386</v>
          </cell>
          <cell r="F170">
            <v>45839</v>
          </cell>
          <cell r="G170" t="str">
            <v>C</v>
          </cell>
          <cell r="H170" t="str">
            <v>C</v>
          </cell>
          <cell r="I170" t="str">
            <v>A</v>
          </cell>
          <cell r="J170" t="str">
            <v>D</v>
          </cell>
          <cell r="K170" t="str">
            <v>C</v>
          </cell>
          <cell r="L170" t="str">
            <v>D</v>
          </cell>
          <cell r="M170" t="str">
            <v>B</v>
          </cell>
          <cell r="N170" t="str">
            <v>A</v>
          </cell>
          <cell r="O170" t="str">
            <v>A</v>
          </cell>
          <cell r="P170" t="str">
            <v>C</v>
          </cell>
          <cell r="Q170" t="str">
            <v>B</v>
          </cell>
          <cell r="R170" t="str">
            <v>A</v>
          </cell>
          <cell r="X170">
            <v>50.6</v>
          </cell>
        </row>
        <row r="171">
          <cell r="C171">
            <v>31818929</v>
          </cell>
          <cell r="D171" t="str">
            <v>ТОВ "АГРОПАРТНЕР"</v>
          </cell>
          <cell r="E171">
            <v>45840.4496</v>
          </cell>
          <cell r="F171">
            <v>45658</v>
          </cell>
          <cell r="G171" t="str">
            <v>D</v>
          </cell>
          <cell r="H171" t="str">
            <v>B</v>
          </cell>
          <cell r="I171" t="str">
            <v>A</v>
          </cell>
          <cell r="J171" t="str">
            <v>B</v>
          </cell>
          <cell r="K171" t="str">
            <v>B</v>
          </cell>
          <cell r="L171" t="str">
            <v>B</v>
          </cell>
          <cell r="M171" t="str">
            <v>C</v>
          </cell>
          <cell r="N171" t="str">
            <v>B</v>
          </cell>
          <cell r="O171" t="str">
            <v>B</v>
          </cell>
          <cell r="P171" t="str">
            <v>C</v>
          </cell>
          <cell r="Q171" t="str">
            <v>B</v>
          </cell>
          <cell r="R171" t="str">
            <v>B</v>
          </cell>
          <cell r="X171">
            <v>38.9</v>
          </cell>
        </row>
        <row r="172">
          <cell r="C172">
            <v>31850889</v>
          </cell>
          <cell r="D172" t="str">
            <v>ТОВ "ПРОГРЕС"</v>
          </cell>
          <cell r="E172">
            <v>45736.444600000003</v>
          </cell>
          <cell r="F172">
            <v>45566</v>
          </cell>
          <cell r="G172" t="str">
            <v>D</v>
          </cell>
          <cell r="H172" t="str">
            <v>C</v>
          </cell>
          <cell r="I172" t="str">
            <v>D</v>
          </cell>
          <cell r="J172" t="str">
            <v>D</v>
          </cell>
          <cell r="K172" t="str">
            <v>D</v>
          </cell>
          <cell r="L172" t="str">
            <v>A</v>
          </cell>
          <cell r="M172" t="str">
            <v>C</v>
          </cell>
          <cell r="N172" t="str">
            <v>B</v>
          </cell>
          <cell r="O172" t="str">
            <v>B</v>
          </cell>
          <cell r="P172" t="str">
            <v>C</v>
          </cell>
          <cell r="Q172" t="str">
            <v>C</v>
          </cell>
          <cell r="R172" t="str">
            <v>A</v>
          </cell>
          <cell r="X172">
            <v>43.099999999999987</v>
          </cell>
        </row>
        <row r="173">
          <cell r="C173">
            <v>31862978</v>
          </cell>
          <cell r="D173" t="str">
            <v>ТОВ "ТАЛАНЛЕГПРОМ"</v>
          </cell>
          <cell r="E173">
            <v>45755.625899999999</v>
          </cell>
          <cell r="F173">
            <v>45658</v>
          </cell>
          <cell r="G173" t="str">
            <v>B</v>
          </cell>
          <cell r="H173" t="str">
            <v>B</v>
          </cell>
          <cell r="I173" t="str">
            <v>B</v>
          </cell>
          <cell r="J173" t="str">
            <v>C</v>
          </cell>
          <cell r="K173" t="str">
            <v>D</v>
          </cell>
          <cell r="L173" t="str">
            <v>A</v>
          </cell>
          <cell r="M173" t="str">
            <v>A</v>
          </cell>
          <cell r="N173" t="str">
            <v>A</v>
          </cell>
          <cell r="O173" t="str">
            <v>A</v>
          </cell>
          <cell r="P173" t="str">
            <v>C</v>
          </cell>
          <cell r="Q173" t="str">
            <v>B</v>
          </cell>
          <cell r="R173" t="str">
            <v>A</v>
          </cell>
          <cell r="X173">
            <v>69.800000000000011</v>
          </cell>
        </row>
        <row r="174">
          <cell r="C174">
            <v>31867274</v>
          </cell>
          <cell r="D174" t="str">
            <v>ТОВ "ГЕРМЕС-ТРЕЙДІНГ"</v>
          </cell>
          <cell r="E174">
            <v>45736.444600000003</v>
          </cell>
          <cell r="F174">
            <v>45566</v>
          </cell>
          <cell r="G174" t="str">
            <v>D</v>
          </cell>
          <cell r="H174" t="str">
            <v>C</v>
          </cell>
          <cell r="I174" t="str">
            <v>D</v>
          </cell>
          <cell r="J174" t="str">
            <v>D</v>
          </cell>
          <cell r="K174" t="str">
            <v>D</v>
          </cell>
          <cell r="L174" t="str">
            <v>A</v>
          </cell>
          <cell r="M174" t="str">
            <v>C</v>
          </cell>
          <cell r="N174" t="str">
            <v>B</v>
          </cell>
          <cell r="O174" t="str">
            <v>B</v>
          </cell>
          <cell r="P174" t="str">
            <v>C</v>
          </cell>
          <cell r="Q174" t="str">
            <v>C</v>
          </cell>
          <cell r="R174" t="str">
            <v>A</v>
          </cell>
          <cell r="X174">
            <v>43.099999999999987</v>
          </cell>
        </row>
        <row r="175">
          <cell r="C175">
            <v>31892976</v>
          </cell>
          <cell r="D175" t="str">
            <v>ПСП "ЕКСІМ-АГРО"</v>
          </cell>
          <cell r="E175">
            <v>45695.731200000002</v>
          </cell>
          <cell r="F175">
            <v>45566</v>
          </cell>
          <cell r="G175" t="str">
            <v>E</v>
          </cell>
          <cell r="H175" t="str">
            <v>C</v>
          </cell>
          <cell r="I175" t="str">
            <v>A</v>
          </cell>
          <cell r="J175" t="str">
            <v>C</v>
          </cell>
          <cell r="K175" t="str">
            <v>D</v>
          </cell>
          <cell r="L175" t="str">
            <v>B</v>
          </cell>
          <cell r="M175" t="str">
            <v>D</v>
          </cell>
          <cell r="N175" t="str">
            <v>B</v>
          </cell>
          <cell r="O175" t="str">
            <v>A</v>
          </cell>
          <cell r="P175" t="str">
            <v>A</v>
          </cell>
          <cell r="Q175" t="str">
            <v>B</v>
          </cell>
          <cell r="R175" t="str">
            <v>A</v>
          </cell>
          <cell r="X175">
            <v>43.9</v>
          </cell>
        </row>
        <row r="176">
          <cell r="C176">
            <v>31911363</v>
          </cell>
          <cell r="D176" t="str">
            <v>ТОВ "КПД"</v>
          </cell>
          <cell r="E176">
            <v>45835.374100000001</v>
          </cell>
          <cell r="F176">
            <v>45658</v>
          </cell>
          <cell r="G176" t="str">
            <v>C</v>
          </cell>
          <cell r="H176" t="str">
            <v>C</v>
          </cell>
          <cell r="I176" t="str">
            <v>D</v>
          </cell>
          <cell r="J176" t="str">
            <v>A</v>
          </cell>
          <cell r="K176" t="str">
            <v>A</v>
          </cell>
          <cell r="L176" t="str">
            <v>A</v>
          </cell>
          <cell r="M176" t="str">
            <v>A</v>
          </cell>
          <cell r="N176" t="str">
            <v>A</v>
          </cell>
          <cell r="O176" t="str">
            <v>A</v>
          </cell>
          <cell r="P176" t="str">
            <v>C</v>
          </cell>
          <cell r="Q176" t="str">
            <v>B</v>
          </cell>
          <cell r="R176" t="str">
            <v>A</v>
          </cell>
          <cell r="X176">
            <v>56.6</v>
          </cell>
        </row>
        <row r="177">
          <cell r="C177">
            <v>31982734</v>
          </cell>
          <cell r="D177" t="str">
            <v>ТОВ "АВТОБАНСЕРВІС"</v>
          </cell>
          <cell r="E177">
            <v>45833.396000000001</v>
          </cell>
          <cell r="F177">
            <v>45658</v>
          </cell>
          <cell r="G177" t="str">
            <v>D</v>
          </cell>
          <cell r="H177" t="str">
            <v>C</v>
          </cell>
          <cell r="I177" t="str">
            <v>B</v>
          </cell>
          <cell r="J177" t="str">
            <v>D</v>
          </cell>
          <cell r="K177" t="str">
            <v>D</v>
          </cell>
          <cell r="L177" t="str">
            <v>B</v>
          </cell>
          <cell r="M177" t="str">
            <v>A</v>
          </cell>
          <cell r="N177" t="str">
            <v>B</v>
          </cell>
          <cell r="O177" t="str">
            <v>A</v>
          </cell>
          <cell r="P177" t="str">
            <v>C</v>
          </cell>
          <cell r="Q177" t="str">
            <v>B</v>
          </cell>
          <cell r="R177" t="str">
            <v>B</v>
          </cell>
          <cell r="X177">
            <v>54.5</v>
          </cell>
        </row>
        <row r="178">
          <cell r="C178">
            <v>32007740</v>
          </cell>
          <cell r="D178" t="str">
            <v>ТОВ "РУШ"</v>
          </cell>
          <cell r="E178">
            <v>45791.535600000003</v>
          </cell>
          <cell r="F178">
            <v>45658</v>
          </cell>
          <cell r="G178" t="str">
            <v>C</v>
          </cell>
          <cell r="H178" t="str">
            <v>B</v>
          </cell>
          <cell r="I178" t="str">
            <v>B</v>
          </cell>
          <cell r="J178" t="str">
            <v>D</v>
          </cell>
          <cell r="K178" t="str">
            <v>B</v>
          </cell>
          <cell r="L178" t="str">
            <v>A</v>
          </cell>
          <cell r="M178" t="str">
            <v>A</v>
          </cell>
          <cell r="N178" t="str">
            <v>A</v>
          </cell>
          <cell r="O178" t="str">
            <v>A</v>
          </cell>
          <cell r="P178" t="str">
            <v>C</v>
          </cell>
          <cell r="Q178" t="str">
            <v>B</v>
          </cell>
          <cell r="R178" t="str">
            <v>A</v>
          </cell>
          <cell r="X178">
            <v>71.8</v>
          </cell>
        </row>
        <row r="179">
          <cell r="C179">
            <v>32010004</v>
          </cell>
          <cell r="D179" t="str">
            <v>ТОВ "АГРО ЕКСПЕРТ"</v>
          </cell>
          <cell r="E179">
            <v>45531.599300000002</v>
          </cell>
          <cell r="F179">
            <v>45474</v>
          </cell>
          <cell r="G179" t="str">
            <v>E</v>
          </cell>
          <cell r="H179" t="str">
            <v>C</v>
          </cell>
          <cell r="I179" t="str">
            <v>B</v>
          </cell>
          <cell r="J179" t="str">
            <v>A</v>
          </cell>
          <cell r="K179" t="str">
            <v>D</v>
          </cell>
          <cell r="L179" t="str">
            <v>B</v>
          </cell>
          <cell r="M179" t="str">
            <v>A</v>
          </cell>
          <cell r="N179" t="str">
            <v>B</v>
          </cell>
          <cell r="O179" t="str">
            <v>A</v>
          </cell>
          <cell r="P179" t="str">
            <v>C</v>
          </cell>
          <cell r="Q179" t="str">
            <v>B</v>
          </cell>
          <cell r="R179" t="str">
            <v>A</v>
          </cell>
          <cell r="X179">
            <v>46.499999999999993</v>
          </cell>
        </row>
        <row r="180">
          <cell r="C180">
            <v>32054193</v>
          </cell>
          <cell r="D180" t="str">
            <v>ТОВ "ДЕМОР"</v>
          </cell>
          <cell r="E180">
            <v>45785.643300000003</v>
          </cell>
          <cell r="F180">
            <v>45658</v>
          </cell>
          <cell r="G180" t="str">
            <v>E</v>
          </cell>
          <cell r="H180" t="str">
            <v>C</v>
          </cell>
          <cell r="I180" t="str">
            <v>A</v>
          </cell>
          <cell r="J180" t="str">
            <v>B</v>
          </cell>
          <cell r="K180" t="str">
            <v>D</v>
          </cell>
          <cell r="L180" t="str">
            <v>B</v>
          </cell>
          <cell r="M180" t="str">
            <v>D</v>
          </cell>
          <cell r="N180" t="str">
            <v>B</v>
          </cell>
          <cell r="O180" t="str">
            <v>A</v>
          </cell>
          <cell r="P180" t="str">
            <v>C</v>
          </cell>
          <cell r="Q180" t="str">
            <v>C</v>
          </cell>
          <cell r="R180" t="str">
            <v>A</v>
          </cell>
          <cell r="X180">
            <v>35.1</v>
          </cell>
        </row>
        <row r="181">
          <cell r="C181">
            <v>32062052</v>
          </cell>
          <cell r="D181" t="str">
            <v>СТОВ АГРОФІРМА "ВІЛЬНЕ - 2002"</v>
          </cell>
          <cell r="E181">
            <v>45657.491099999999</v>
          </cell>
          <cell r="F181">
            <v>45566</v>
          </cell>
          <cell r="G181" t="str">
            <v>E</v>
          </cell>
          <cell r="H181" t="str">
            <v>A</v>
          </cell>
          <cell r="I181" t="str">
            <v>B</v>
          </cell>
          <cell r="J181" t="str">
            <v>A</v>
          </cell>
          <cell r="K181" t="str">
            <v>D</v>
          </cell>
          <cell r="L181" t="str">
            <v>A</v>
          </cell>
          <cell r="M181" t="str">
            <v>A</v>
          </cell>
          <cell r="N181" t="str">
            <v>B</v>
          </cell>
          <cell r="O181" t="str">
            <v>B</v>
          </cell>
          <cell r="P181" t="str">
            <v>A</v>
          </cell>
          <cell r="Q181" t="str">
            <v>B</v>
          </cell>
          <cell r="R181" t="str">
            <v>A</v>
          </cell>
          <cell r="X181">
            <v>55.900000000000006</v>
          </cell>
        </row>
        <row r="182">
          <cell r="C182">
            <v>32140004</v>
          </cell>
          <cell r="D182" t="str">
            <v>ТОВ "ШОКОЛАДНА КОМПАНІЯ "МИР"</v>
          </cell>
          <cell r="E182">
            <v>45895.411399999997</v>
          </cell>
          <cell r="F182">
            <v>45748</v>
          </cell>
          <cell r="G182" t="str">
            <v>B</v>
          </cell>
          <cell r="H182" t="str">
            <v>A</v>
          </cell>
          <cell r="I182" t="str">
            <v>B</v>
          </cell>
          <cell r="J182" t="str">
            <v>D</v>
          </cell>
          <cell r="K182" t="str">
            <v>D</v>
          </cell>
          <cell r="L182" t="str">
            <v>B</v>
          </cell>
          <cell r="M182" t="str">
            <v>A</v>
          </cell>
          <cell r="N182" t="str">
            <v>B</v>
          </cell>
          <cell r="O182" t="str">
            <v>A</v>
          </cell>
          <cell r="P182" t="str">
            <v>C</v>
          </cell>
          <cell r="Q182" t="str">
            <v>C</v>
          </cell>
          <cell r="R182" t="str">
            <v>C</v>
          </cell>
          <cell r="X182">
            <v>58.7</v>
          </cell>
        </row>
        <row r="183">
          <cell r="C183">
            <v>32157382</v>
          </cell>
          <cell r="D183" t="str">
            <v>ТОВ "Асканія-Пак"</v>
          </cell>
          <cell r="E183">
            <v>45989.405599999998</v>
          </cell>
          <cell r="F183">
            <v>45658</v>
          </cell>
          <cell r="G183" t="str">
            <v>C</v>
          </cell>
          <cell r="H183" t="str">
            <v>D</v>
          </cell>
          <cell r="I183" t="str">
            <v>D</v>
          </cell>
          <cell r="J183" t="str">
            <v>D</v>
          </cell>
          <cell r="K183" t="str">
            <v>D</v>
          </cell>
          <cell r="L183" t="str">
            <v>A</v>
          </cell>
          <cell r="M183" t="str">
            <v>A</v>
          </cell>
          <cell r="N183" t="str">
            <v>A</v>
          </cell>
          <cell r="O183" t="str">
            <v>A</v>
          </cell>
          <cell r="P183" t="str">
            <v>B</v>
          </cell>
          <cell r="Q183" t="str">
            <v>B</v>
          </cell>
          <cell r="R183" t="str">
            <v>B</v>
          </cell>
          <cell r="X183">
            <v>54</v>
          </cell>
        </row>
        <row r="184">
          <cell r="C184">
            <v>32206599</v>
          </cell>
          <cell r="D184" t="str">
            <v>ТОВ "ОККО ЕНЕРДЖІ"</v>
          </cell>
          <cell r="E184">
            <v>45653.631099999999</v>
          </cell>
          <cell r="F184">
            <v>45474</v>
          </cell>
          <cell r="G184" t="str">
            <v>C</v>
          </cell>
          <cell r="H184" t="str">
            <v>C</v>
          </cell>
          <cell r="I184" t="str">
            <v>B</v>
          </cell>
          <cell r="J184" t="str">
            <v>C</v>
          </cell>
          <cell r="K184" t="str">
            <v>D</v>
          </cell>
          <cell r="L184" t="str">
            <v>A</v>
          </cell>
          <cell r="M184" t="str">
            <v>A</v>
          </cell>
          <cell r="N184" t="str">
            <v>A</v>
          </cell>
          <cell r="O184" t="str">
            <v>B</v>
          </cell>
          <cell r="P184" t="str">
            <v>C</v>
          </cell>
          <cell r="Q184" t="str">
            <v>B</v>
          </cell>
          <cell r="R184" t="str">
            <v>A</v>
          </cell>
          <cell r="X184">
            <v>60.599999999999994</v>
          </cell>
        </row>
        <row r="185">
          <cell r="C185">
            <v>32224487</v>
          </cell>
          <cell r="D185" t="str">
            <v>ТОВ "ЕВЕРЛАСТ"</v>
          </cell>
          <cell r="E185">
            <v>45957.768199999999</v>
          </cell>
          <cell r="F185">
            <v>45839</v>
          </cell>
          <cell r="G185" t="str">
            <v>E</v>
          </cell>
          <cell r="H185" t="str">
            <v>B</v>
          </cell>
          <cell r="I185" t="str">
            <v>B</v>
          </cell>
          <cell r="J185" t="str">
            <v>B</v>
          </cell>
          <cell r="K185" t="str">
            <v>D</v>
          </cell>
          <cell r="L185" t="str">
            <v>A</v>
          </cell>
          <cell r="M185" t="str">
            <v>A</v>
          </cell>
          <cell r="N185" t="str">
            <v>B</v>
          </cell>
          <cell r="O185" t="str">
            <v>A</v>
          </cell>
          <cell r="P185" t="str">
            <v>C</v>
          </cell>
          <cell r="Q185" t="str">
            <v>B</v>
          </cell>
          <cell r="R185" t="str">
            <v>A</v>
          </cell>
          <cell r="X185">
            <v>55.7</v>
          </cell>
        </row>
        <row r="186">
          <cell r="C186">
            <v>32282685</v>
          </cell>
          <cell r="D186" t="str">
            <v>ПП "ОБРІЙ"</v>
          </cell>
          <cell r="E186">
            <v>45695.731200000002</v>
          </cell>
          <cell r="F186">
            <v>45566</v>
          </cell>
          <cell r="G186" t="str">
            <v>E</v>
          </cell>
          <cell r="H186" t="str">
            <v>C</v>
          </cell>
          <cell r="I186" t="str">
            <v>A</v>
          </cell>
          <cell r="J186" t="str">
            <v>C</v>
          </cell>
          <cell r="K186" t="str">
            <v>D</v>
          </cell>
          <cell r="L186" t="str">
            <v>B</v>
          </cell>
          <cell r="M186" t="str">
            <v>D</v>
          </cell>
          <cell r="N186" t="str">
            <v>B</v>
          </cell>
          <cell r="O186" t="str">
            <v>A</v>
          </cell>
          <cell r="P186" t="str">
            <v>A</v>
          </cell>
          <cell r="Q186" t="str">
            <v>B</v>
          </cell>
          <cell r="R186" t="str">
            <v>A</v>
          </cell>
          <cell r="X186">
            <v>43.9</v>
          </cell>
        </row>
        <row r="187">
          <cell r="C187">
            <v>32294897</v>
          </cell>
          <cell r="D187" t="str">
            <v>ТОВ "Фора"</v>
          </cell>
          <cell r="E187">
            <v>45840.463900000002</v>
          </cell>
          <cell r="F187">
            <v>45658</v>
          </cell>
          <cell r="G187" t="str">
            <v>C</v>
          </cell>
          <cell r="H187" t="str">
            <v>D</v>
          </cell>
          <cell r="I187" t="str">
            <v>D</v>
          </cell>
          <cell r="J187" t="str">
            <v>D</v>
          </cell>
          <cell r="K187" t="str">
            <v>C</v>
          </cell>
          <cell r="L187" t="str">
            <v>A</v>
          </cell>
          <cell r="M187" t="str">
            <v>B</v>
          </cell>
          <cell r="N187" t="str">
            <v>A</v>
          </cell>
          <cell r="O187" t="str">
            <v>A</v>
          </cell>
          <cell r="P187" t="str">
            <v>A</v>
          </cell>
          <cell r="Q187" t="str">
            <v>B</v>
          </cell>
          <cell r="R187" t="str">
            <v>A</v>
          </cell>
          <cell r="X187">
            <v>56.4</v>
          </cell>
        </row>
        <row r="188">
          <cell r="C188">
            <v>32294905</v>
          </cell>
          <cell r="D188" t="str">
            <v>ТОВ "Експансія"</v>
          </cell>
          <cell r="E188">
            <v>45840.463900000002</v>
          </cell>
          <cell r="F188">
            <v>45658</v>
          </cell>
          <cell r="G188" t="str">
            <v>C</v>
          </cell>
          <cell r="H188" t="str">
            <v>D</v>
          </cell>
          <cell r="I188" t="str">
            <v>D</v>
          </cell>
          <cell r="J188" t="str">
            <v>D</v>
          </cell>
          <cell r="K188" t="str">
            <v>C</v>
          </cell>
          <cell r="L188" t="str">
            <v>A</v>
          </cell>
          <cell r="M188" t="str">
            <v>B</v>
          </cell>
          <cell r="N188" t="str">
            <v>A</v>
          </cell>
          <cell r="O188" t="str">
            <v>A</v>
          </cell>
          <cell r="P188" t="str">
            <v>A</v>
          </cell>
          <cell r="Q188" t="str">
            <v>B</v>
          </cell>
          <cell r="R188" t="str">
            <v>A</v>
          </cell>
          <cell r="X188">
            <v>56.4</v>
          </cell>
        </row>
        <row r="189">
          <cell r="C189">
            <v>32350299</v>
          </cell>
          <cell r="D189" t="str">
            <v>ТОВ З II "ВОРТЕКС"</v>
          </cell>
          <cell r="E189">
            <v>45835.374100000001</v>
          </cell>
          <cell r="F189">
            <v>45658</v>
          </cell>
          <cell r="G189" t="str">
            <v>C</v>
          </cell>
          <cell r="H189" t="str">
            <v>C</v>
          </cell>
          <cell r="I189" t="str">
            <v>D</v>
          </cell>
          <cell r="J189" t="str">
            <v>A</v>
          </cell>
          <cell r="K189" t="str">
            <v>A</v>
          </cell>
          <cell r="L189" t="str">
            <v>A</v>
          </cell>
          <cell r="M189" t="str">
            <v>A</v>
          </cell>
          <cell r="N189" t="str">
            <v>A</v>
          </cell>
          <cell r="O189" t="str">
            <v>A</v>
          </cell>
          <cell r="P189" t="str">
            <v>C</v>
          </cell>
          <cell r="Q189" t="str">
            <v>B</v>
          </cell>
          <cell r="R189" t="str">
            <v>A</v>
          </cell>
          <cell r="X189">
            <v>56.6</v>
          </cell>
        </row>
        <row r="190">
          <cell r="C190">
            <v>32382975</v>
          </cell>
          <cell r="D190" t="str">
            <v>ТОВ "НІКО АВТОАЛЬЯНС"</v>
          </cell>
          <cell r="E190">
            <v>45720.589599999999</v>
          </cell>
          <cell r="F190">
            <v>45658</v>
          </cell>
          <cell r="G190" t="str">
            <v>E</v>
          </cell>
          <cell r="H190" t="str">
            <v>D</v>
          </cell>
          <cell r="I190" t="str">
            <v>C</v>
          </cell>
          <cell r="J190" t="str">
            <v>C</v>
          </cell>
          <cell r="K190" t="str">
            <v>D</v>
          </cell>
          <cell r="L190" t="str">
            <v>B</v>
          </cell>
          <cell r="M190" t="str">
            <v>A</v>
          </cell>
          <cell r="N190" t="str">
            <v>C</v>
          </cell>
          <cell r="O190" t="str">
            <v>B</v>
          </cell>
          <cell r="P190" t="str">
            <v>C</v>
          </cell>
          <cell r="Q190" t="str">
            <v>B</v>
          </cell>
          <cell r="R190" t="str">
            <v>C</v>
          </cell>
          <cell r="X190">
            <v>29</v>
          </cell>
        </row>
        <row r="191">
          <cell r="C191">
            <v>32461721</v>
          </cell>
          <cell r="D191" t="str">
            <v>ПП "Оліяр"</v>
          </cell>
          <cell r="E191">
            <v>45854.465400000001</v>
          </cell>
          <cell r="F191">
            <v>45748</v>
          </cell>
          <cell r="G191" t="str">
            <v>D</v>
          </cell>
          <cell r="H191" t="str">
            <v>B</v>
          </cell>
          <cell r="I191" t="str">
            <v>B</v>
          </cell>
          <cell r="J191" t="str">
            <v>A</v>
          </cell>
          <cell r="K191" t="str">
            <v>D</v>
          </cell>
          <cell r="L191" t="str">
            <v>A</v>
          </cell>
          <cell r="M191" t="str">
            <v>A</v>
          </cell>
          <cell r="N191" t="str">
            <v>A</v>
          </cell>
          <cell r="O191" t="str">
            <v>A</v>
          </cell>
          <cell r="P191" t="str">
            <v>B</v>
          </cell>
          <cell r="Q191" t="str">
            <v>B</v>
          </cell>
          <cell r="R191" t="str">
            <v>B</v>
          </cell>
          <cell r="X191">
            <v>58.000000000000007</v>
          </cell>
        </row>
        <row r="192">
          <cell r="C192">
            <v>32478033</v>
          </cell>
          <cell r="D192" t="str">
            <v>ПП "ЗАХІДНИЙ БУГ"</v>
          </cell>
          <cell r="E192">
            <v>45945.815999999999</v>
          </cell>
          <cell r="F192">
            <v>45839</v>
          </cell>
          <cell r="G192" t="str">
            <v>D</v>
          </cell>
          <cell r="H192" t="str">
            <v>B</v>
          </cell>
          <cell r="I192" t="str">
            <v>D</v>
          </cell>
          <cell r="J192" t="str">
            <v>C</v>
          </cell>
          <cell r="K192" t="str">
            <v>D</v>
          </cell>
          <cell r="L192" t="str">
            <v>A</v>
          </cell>
          <cell r="M192" t="str">
            <v>B</v>
          </cell>
          <cell r="N192" t="str">
            <v>B</v>
          </cell>
          <cell r="O192" t="str">
            <v>A</v>
          </cell>
          <cell r="P192" t="str">
            <v>B</v>
          </cell>
          <cell r="Q192" t="str">
            <v>B</v>
          </cell>
          <cell r="R192" t="str">
            <v>A</v>
          </cell>
          <cell r="X192">
            <v>50.7</v>
          </cell>
        </row>
        <row r="193">
          <cell r="C193">
            <v>32490244</v>
          </cell>
          <cell r="D193" t="str">
            <v>ТОВ "ЕПІЦЕНТР К"</v>
          </cell>
          <cell r="E193">
            <v>45979.652099999999</v>
          </cell>
          <cell r="F193">
            <v>45658</v>
          </cell>
          <cell r="G193" t="str">
            <v>B</v>
          </cell>
          <cell r="H193" t="str">
            <v>C</v>
          </cell>
          <cell r="I193" t="str">
            <v>B</v>
          </cell>
          <cell r="J193" t="str">
            <v>C</v>
          </cell>
          <cell r="K193" t="str">
            <v>C</v>
          </cell>
          <cell r="L193" t="str">
            <v>A</v>
          </cell>
          <cell r="M193" t="str">
            <v>A</v>
          </cell>
          <cell r="N193" t="str">
            <v>A</v>
          </cell>
          <cell r="O193" t="str">
            <v>A</v>
          </cell>
          <cell r="P193" t="str">
            <v>C</v>
          </cell>
          <cell r="Q193" t="str">
            <v>A</v>
          </cell>
          <cell r="R193" t="str">
            <v>A</v>
          </cell>
          <cell r="X193">
            <v>73.400000000000006</v>
          </cell>
        </row>
        <row r="194">
          <cell r="C194">
            <v>32490637</v>
          </cell>
          <cell r="D194" t="str">
            <v>ТОВ "ДОМЕНІК"</v>
          </cell>
          <cell r="E194">
            <v>45621.708599999998</v>
          </cell>
          <cell r="F194">
            <v>45474</v>
          </cell>
          <cell r="G194" t="str">
            <v>E</v>
          </cell>
          <cell r="H194" t="str">
            <v>A</v>
          </cell>
          <cell r="I194" t="str">
            <v>C</v>
          </cell>
          <cell r="J194" t="str">
            <v>A</v>
          </cell>
          <cell r="K194" t="str">
            <v>D</v>
          </cell>
          <cell r="L194" t="str">
            <v>A</v>
          </cell>
          <cell r="M194" t="str">
            <v>B</v>
          </cell>
          <cell r="N194" t="str">
            <v>B</v>
          </cell>
          <cell r="O194" t="str">
            <v>A</v>
          </cell>
          <cell r="P194" t="str">
            <v>C</v>
          </cell>
          <cell r="Q194" t="str">
            <v>B</v>
          </cell>
          <cell r="R194" t="str">
            <v>A</v>
          </cell>
          <cell r="X194">
            <v>40.9</v>
          </cell>
        </row>
        <row r="195">
          <cell r="C195">
            <v>32508612</v>
          </cell>
          <cell r="D195" t="str">
            <v>ТОВ "БАЛКЕР"</v>
          </cell>
          <cell r="E195">
            <v>45793.567900000002</v>
          </cell>
          <cell r="F195">
            <v>45658</v>
          </cell>
          <cell r="G195" t="str">
            <v>E</v>
          </cell>
          <cell r="H195" t="str">
            <v>B</v>
          </cell>
          <cell r="I195" t="str">
            <v>B</v>
          </cell>
          <cell r="J195" t="str">
            <v>C</v>
          </cell>
          <cell r="K195" t="str">
            <v>C</v>
          </cell>
          <cell r="L195" t="str">
            <v>B</v>
          </cell>
          <cell r="M195" t="str">
            <v>A</v>
          </cell>
          <cell r="N195" t="str">
            <v>B</v>
          </cell>
          <cell r="O195" t="str">
            <v>A</v>
          </cell>
          <cell r="P195" t="str">
            <v>C</v>
          </cell>
          <cell r="Q195" t="str">
            <v>C</v>
          </cell>
          <cell r="R195" t="str">
            <v>C</v>
          </cell>
          <cell r="X195">
            <v>48.7</v>
          </cell>
        </row>
        <row r="196">
          <cell r="C196">
            <v>32568210</v>
          </cell>
          <cell r="D196" t="str">
            <v>ТЗОВ"ВЕЛЕТ АВТО"</v>
          </cell>
          <cell r="E196">
            <v>45705</v>
          </cell>
          <cell r="F196">
            <v>45566</v>
          </cell>
          <cell r="G196" t="str">
            <v>E</v>
          </cell>
          <cell r="H196" t="str">
            <v>B</v>
          </cell>
          <cell r="I196" t="str">
            <v>B</v>
          </cell>
          <cell r="J196" t="str">
            <v>B</v>
          </cell>
          <cell r="K196" t="str">
            <v>D</v>
          </cell>
          <cell r="L196" t="str">
            <v>A</v>
          </cell>
          <cell r="M196" t="str">
            <v>A</v>
          </cell>
          <cell r="N196" t="str">
            <v>B</v>
          </cell>
          <cell r="O196" t="str">
            <v>A</v>
          </cell>
          <cell r="P196" t="str">
            <v>C</v>
          </cell>
          <cell r="Q196" t="str">
            <v>B</v>
          </cell>
          <cell r="R196" t="str">
            <v>A</v>
          </cell>
          <cell r="X196">
            <v>55.7</v>
          </cell>
        </row>
        <row r="197">
          <cell r="C197">
            <v>32572363</v>
          </cell>
          <cell r="D197" t="str">
            <v>ТОВ "Істарома"</v>
          </cell>
          <cell r="E197">
            <v>45827</v>
          </cell>
          <cell r="F197">
            <v>45748</v>
          </cell>
          <cell r="G197" t="str">
            <v>E</v>
          </cell>
          <cell r="H197" t="str">
            <v>C</v>
          </cell>
          <cell r="I197" t="str">
            <v>B</v>
          </cell>
          <cell r="J197" t="str">
            <v>A</v>
          </cell>
          <cell r="K197" t="str">
            <v>D</v>
          </cell>
          <cell r="L197" t="str">
            <v>B</v>
          </cell>
          <cell r="M197" t="str">
            <v>A</v>
          </cell>
          <cell r="N197" t="str">
            <v>B</v>
          </cell>
          <cell r="O197" t="str">
            <v>A</v>
          </cell>
          <cell r="P197" t="str">
            <v>C</v>
          </cell>
          <cell r="Q197" t="str">
            <v>B</v>
          </cell>
          <cell r="R197" t="str">
            <v>A</v>
          </cell>
          <cell r="X197">
            <v>46.499999999999993</v>
          </cell>
        </row>
        <row r="198">
          <cell r="C198">
            <v>32596735</v>
          </cell>
          <cell r="D198" t="str">
            <v>Приватне підприємство "Корпорація Мрій"</v>
          </cell>
          <cell r="E198">
            <v>45604.541799999999</v>
          </cell>
          <cell r="F198">
            <v>45474</v>
          </cell>
          <cell r="G198" t="str">
            <v>E</v>
          </cell>
          <cell r="H198" t="str">
            <v>C</v>
          </cell>
          <cell r="I198" t="str">
            <v>B</v>
          </cell>
          <cell r="J198" t="str">
            <v>B</v>
          </cell>
          <cell r="K198" t="str">
            <v>B</v>
          </cell>
          <cell r="L198" t="str">
            <v>B</v>
          </cell>
          <cell r="M198" t="str">
            <v>A</v>
          </cell>
          <cell r="N198" t="str">
            <v>A</v>
          </cell>
          <cell r="O198" t="str">
            <v>A</v>
          </cell>
          <cell r="P198" t="str">
            <v>B</v>
          </cell>
          <cell r="Q198" t="str">
            <v>B</v>
          </cell>
          <cell r="R198" t="str">
            <v>A</v>
          </cell>
          <cell r="S198"/>
          <cell r="T198"/>
          <cell r="U198"/>
          <cell r="V198"/>
          <cell r="W198"/>
          <cell r="X198">
            <v>58</v>
          </cell>
        </row>
        <row r="199">
          <cell r="C199">
            <v>32631567</v>
          </cell>
          <cell r="D199" t="str">
            <v>ТОВ "ХАВЕСТ-АГРО"</v>
          </cell>
          <cell r="E199">
            <v>45841.654799999997</v>
          </cell>
          <cell r="F199">
            <v>45658</v>
          </cell>
          <cell r="G199" t="str">
            <v>E</v>
          </cell>
          <cell r="H199" t="str">
            <v>B</v>
          </cell>
          <cell r="I199" t="str">
            <v>B</v>
          </cell>
          <cell r="J199" t="str">
            <v>A</v>
          </cell>
          <cell r="K199" t="str">
            <v>D</v>
          </cell>
          <cell r="L199" t="str">
            <v>A</v>
          </cell>
          <cell r="M199" t="str">
            <v>A</v>
          </cell>
          <cell r="N199" t="str">
            <v>B</v>
          </cell>
          <cell r="O199" t="str">
            <v>A</v>
          </cell>
          <cell r="P199" t="str">
            <v>A</v>
          </cell>
          <cell r="Q199" t="str">
            <v>B</v>
          </cell>
          <cell r="R199" t="str">
            <v>B</v>
          </cell>
          <cell r="X199">
            <v>53.5</v>
          </cell>
        </row>
        <row r="200">
          <cell r="C200">
            <v>32655785</v>
          </cell>
          <cell r="D200" t="str">
            <v>ТОВ "ФЛАЙ ІТ"</v>
          </cell>
          <cell r="E200">
            <v>45884.671399999999</v>
          </cell>
          <cell r="F200">
            <v>45658</v>
          </cell>
          <cell r="G200" t="str">
            <v>E</v>
          </cell>
          <cell r="H200" t="str">
            <v>C</v>
          </cell>
          <cell r="I200" t="str">
            <v>A</v>
          </cell>
          <cell r="J200" t="str">
            <v>A</v>
          </cell>
          <cell r="K200" t="str">
            <v>A</v>
          </cell>
          <cell r="L200" t="str">
            <v>A</v>
          </cell>
          <cell r="M200" t="str">
            <v>A</v>
          </cell>
          <cell r="N200" t="str">
            <v>B</v>
          </cell>
          <cell r="O200" t="str">
            <v>A</v>
          </cell>
          <cell r="P200" t="str">
            <v>C</v>
          </cell>
          <cell r="Q200" t="str">
            <v>B</v>
          </cell>
          <cell r="R200" t="str">
            <v>A</v>
          </cell>
          <cell r="X200">
            <v>51.7</v>
          </cell>
        </row>
        <row r="201">
          <cell r="C201">
            <v>32665494</v>
          </cell>
          <cell r="D201" t="str">
            <v>ПрАТ "Західний торгово-промисловий дім"</v>
          </cell>
          <cell r="E201">
            <v>45902.750800000002</v>
          </cell>
          <cell r="F201">
            <v>45658</v>
          </cell>
          <cell r="G201" t="str">
            <v>D</v>
          </cell>
          <cell r="H201" t="str">
            <v>B</v>
          </cell>
          <cell r="I201" t="str">
            <v>B</v>
          </cell>
          <cell r="J201" t="str">
            <v>C</v>
          </cell>
          <cell r="K201" t="str">
            <v>E</v>
          </cell>
          <cell r="L201" t="str">
            <v>B</v>
          </cell>
          <cell r="M201" t="str">
            <v>B</v>
          </cell>
          <cell r="N201" t="str">
            <v>D</v>
          </cell>
          <cell r="O201" t="str">
            <v>B</v>
          </cell>
          <cell r="P201" t="str">
            <v>C</v>
          </cell>
          <cell r="Q201" t="str">
            <v>C</v>
          </cell>
          <cell r="R201" t="str">
            <v>A</v>
          </cell>
          <cell r="X201">
            <v>41.6</v>
          </cell>
        </row>
        <row r="202">
          <cell r="C202">
            <v>32673903</v>
          </cell>
          <cell r="D202" t="str">
            <v>ТОВ "НОВАТОРБУД"</v>
          </cell>
          <cell r="E202">
            <v>45912.559800000003</v>
          </cell>
          <cell r="F202">
            <v>45839</v>
          </cell>
          <cell r="G202" t="str">
            <v>E</v>
          </cell>
          <cell r="H202" t="str">
            <v>A</v>
          </cell>
          <cell r="I202" t="str">
            <v>A</v>
          </cell>
          <cell r="J202" t="str">
            <v>C</v>
          </cell>
          <cell r="K202" t="str">
            <v>D</v>
          </cell>
          <cell r="L202" t="str">
            <v>A</v>
          </cell>
          <cell r="M202" t="str">
            <v>B</v>
          </cell>
          <cell r="N202" t="str">
            <v>B</v>
          </cell>
          <cell r="O202" t="str">
            <v>A</v>
          </cell>
          <cell r="P202" t="str">
            <v>C</v>
          </cell>
          <cell r="Q202" t="str">
            <v>B</v>
          </cell>
          <cell r="R202" t="str">
            <v>A</v>
          </cell>
          <cell r="X202">
            <v>50.1</v>
          </cell>
        </row>
        <row r="203">
          <cell r="C203">
            <v>32693741</v>
          </cell>
          <cell r="D203" t="str">
            <v>ТОВ "МЕТТРАНССЕРВІС"</v>
          </cell>
          <cell r="E203">
            <v>45852.638800000001</v>
          </cell>
          <cell r="F203">
            <v>45748</v>
          </cell>
          <cell r="G203" t="str">
            <v>E</v>
          </cell>
          <cell r="H203" t="str">
            <v>B</v>
          </cell>
          <cell r="I203" t="str">
            <v>B</v>
          </cell>
          <cell r="J203" t="str">
            <v>A</v>
          </cell>
          <cell r="K203" t="str">
            <v>B</v>
          </cell>
          <cell r="L203" t="str">
            <v>A</v>
          </cell>
          <cell r="M203" t="str">
            <v>A</v>
          </cell>
          <cell r="N203" t="str">
            <v>B</v>
          </cell>
          <cell r="O203" t="str">
            <v>A</v>
          </cell>
          <cell r="P203" t="str">
            <v>C</v>
          </cell>
          <cell r="Q203" t="str">
            <v>B</v>
          </cell>
          <cell r="R203" t="str">
            <v>A</v>
          </cell>
          <cell r="X203">
            <v>56.500000000000007</v>
          </cell>
        </row>
        <row r="204">
          <cell r="C204">
            <v>32713212</v>
          </cell>
          <cell r="D204" t="str">
            <v>ДП "ФАРМАТРЕЙД"</v>
          </cell>
          <cell r="E204">
            <v>45849.726699999999</v>
          </cell>
          <cell r="F204">
            <v>45748</v>
          </cell>
          <cell r="G204" t="str">
            <v>E</v>
          </cell>
          <cell r="H204" t="str">
            <v>B</v>
          </cell>
          <cell r="I204" t="str">
            <v>B</v>
          </cell>
          <cell r="J204" t="str">
            <v>D</v>
          </cell>
          <cell r="K204" t="str">
            <v>D</v>
          </cell>
          <cell r="L204" t="str">
            <v>A</v>
          </cell>
          <cell r="M204" t="str">
            <v>A</v>
          </cell>
          <cell r="N204" t="str">
            <v>B</v>
          </cell>
          <cell r="O204" t="str">
            <v>A</v>
          </cell>
          <cell r="P204" t="str">
            <v>C</v>
          </cell>
          <cell r="Q204" t="str">
            <v>B</v>
          </cell>
          <cell r="R204" t="str">
            <v>A</v>
          </cell>
          <cell r="X204">
            <v>60.9</v>
          </cell>
        </row>
        <row r="205">
          <cell r="C205">
            <v>32713406</v>
          </cell>
          <cell r="D205" t="str">
            <v>ТОВ "ПлазмаТек-Транс"</v>
          </cell>
          <cell r="E205">
            <v>45880.755100000002</v>
          </cell>
          <cell r="F205">
            <v>45658</v>
          </cell>
          <cell r="G205" t="str">
            <v>B</v>
          </cell>
          <cell r="H205" t="str">
            <v>B</v>
          </cell>
          <cell r="I205" t="str">
            <v>B</v>
          </cell>
          <cell r="J205" t="str">
            <v>D</v>
          </cell>
          <cell r="K205" t="str">
            <v>D</v>
          </cell>
          <cell r="L205" t="str">
            <v>A</v>
          </cell>
          <cell r="M205" t="str">
            <v>A</v>
          </cell>
          <cell r="N205" t="str">
            <v>C</v>
          </cell>
          <cell r="O205" t="str">
            <v>A</v>
          </cell>
          <cell r="P205" t="str">
            <v>C</v>
          </cell>
          <cell r="Q205" t="str">
            <v>B</v>
          </cell>
          <cell r="R205" t="str">
            <v>B</v>
          </cell>
          <cell r="X205">
            <v>63.800000000000004</v>
          </cell>
        </row>
        <row r="206">
          <cell r="C206">
            <v>32737851</v>
          </cell>
          <cell r="D206" t="str">
            <v>ТОВ "АгроАльянс ЛТД"</v>
          </cell>
          <cell r="E206">
            <v>45736.444600000003</v>
          </cell>
          <cell r="F206">
            <v>45566</v>
          </cell>
          <cell r="G206" t="str">
            <v>D</v>
          </cell>
          <cell r="H206" t="str">
            <v>C</v>
          </cell>
          <cell r="I206" t="str">
            <v>D</v>
          </cell>
          <cell r="J206" t="str">
            <v>D</v>
          </cell>
          <cell r="K206" t="str">
            <v>D</v>
          </cell>
          <cell r="L206" t="str">
            <v>A</v>
          </cell>
          <cell r="M206" t="str">
            <v>C</v>
          </cell>
          <cell r="N206" t="str">
            <v>B</v>
          </cell>
          <cell r="O206" t="str">
            <v>B</v>
          </cell>
          <cell r="P206" t="str">
            <v>C</v>
          </cell>
          <cell r="Q206" t="str">
            <v>C</v>
          </cell>
          <cell r="R206" t="str">
            <v>A</v>
          </cell>
          <cell r="X206">
            <v>43.099999999999987</v>
          </cell>
        </row>
        <row r="207">
          <cell r="C207">
            <v>32750139</v>
          </cell>
          <cell r="D207" t="str">
            <v>КП "МОЄ МІСТО"</v>
          </cell>
          <cell r="E207">
            <v>45743.439599999998</v>
          </cell>
          <cell r="F207">
            <v>45658</v>
          </cell>
          <cell r="G207" t="str">
            <v>E</v>
          </cell>
          <cell r="H207" t="str">
            <v>A</v>
          </cell>
          <cell r="I207" t="str">
            <v>C</v>
          </cell>
          <cell r="J207" t="str">
            <v>A</v>
          </cell>
          <cell r="K207" t="str">
            <v>D</v>
          </cell>
          <cell r="L207" t="str">
            <v>A</v>
          </cell>
          <cell r="M207" t="str">
            <v>A</v>
          </cell>
          <cell r="N207" t="str">
            <v>B</v>
          </cell>
          <cell r="O207" t="str">
            <v>A</v>
          </cell>
          <cell r="P207" t="str">
            <v>C</v>
          </cell>
          <cell r="Q207" t="str">
            <v>B</v>
          </cell>
          <cell r="R207" t="str">
            <v>A</v>
          </cell>
          <cell r="X207">
            <v>47.3</v>
          </cell>
        </row>
        <row r="208">
          <cell r="C208">
            <v>32753674</v>
          </cell>
          <cell r="D208" t="str">
            <v>ТОВ "БК Укрбурсервіс"</v>
          </cell>
          <cell r="E208">
            <v>45880</v>
          </cell>
          <cell r="F208">
            <v>45748</v>
          </cell>
          <cell r="G208" t="str">
            <v>D</v>
          </cell>
          <cell r="H208" t="str">
            <v>B</v>
          </cell>
          <cell r="I208" t="str">
            <v>B</v>
          </cell>
          <cell r="J208" t="str">
            <v>A</v>
          </cell>
          <cell r="K208" t="str">
            <v>D</v>
          </cell>
          <cell r="L208" t="str">
            <v>A</v>
          </cell>
          <cell r="M208" t="str">
            <v>A</v>
          </cell>
          <cell r="N208" t="str">
            <v>B</v>
          </cell>
          <cell r="O208" t="str">
            <v>A</v>
          </cell>
          <cell r="P208" t="str">
            <v>B</v>
          </cell>
          <cell r="Q208" t="str">
            <v>B</v>
          </cell>
          <cell r="R208" t="str">
            <v>A</v>
          </cell>
          <cell r="X208">
            <v>58.300000000000011</v>
          </cell>
        </row>
        <row r="209">
          <cell r="C209">
            <v>32777391</v>
          </cell>
          <cell r="D209" t="str">
            <v>ТОВ " АГРОФІРМА ФОРТУНА "</v>
          </cell>
          <cell r="E209">
            <v>45743.724199999997</v>
          </cell>
          <cell r="F209">
            <v>45658</v>
          </cell>
          <cell r="G209" t="str">
            <v>E</v>
          </cell>
          <cell r="H209" t="str">
            <v>A</v>
          </cell>
          <cell r="I209" t="str">
            <v>B</v>
          </cell>
          <cell r="J209" t="str">
            <v>D</v>
          </cell>
          <cell r="K209" t="str">
            <v>D</v>
          </cell>
          <cell r="L209" t="str">
            <v>B</v>
          </cell>
          <cell r="M209" t="str">
            <v>A</v>
          </cell>
          <cell r="N209" t="str">
            <v>B</v>
          </cell>
          <cell r="O209" t="str">
            <v>A</v>
          </cell>
          <cell r="P209" t="str">
            <v>C</v>
          </cell>
          <cell r="Q209" t="str">
            <v>C</v>
          </cell>
          <cell r="R209" t="str">
            <v>A</v>
          </cell>
          <cell r="X209">
            <v>56.699999999999996</v>
          </cell>
        </row>
        <row r="210">
          <cell r="C210">
            <v>32778966</v>
          </cell>
          <cell r="D210" t="str">
            <v>ТОВ "СУМИБУДІНВЕСТ"ЛТД</v>
          </cell>
          <cell r="E210">
            <v>45686.516199999998</v>
          </cell>
          <cell r="F210">
            <v>45566</v>
          </cell>
          <cell r="G210" t="str">
            <v>E</v>
          </cell>
          <cell r="H210" t="str">
            <v>B</v>
          </cell>
          <cell r="I210" t="str">
            <v>C</v>
          </cell>
          <cell r="J210" t="str">
            <v>A</v>
          </cell>
          <cell r="K210" t="str">
            <v>E</v>
          </cell>
          <cell r="L210" t="str">
            <v>A</v>
          </cell>
          <cell r="M210" t="str">
            <v>A</v>
          </cell>
          <cell r="N210" t="str">
            <v>B</v>
          </cell>
          <cell r="O210" t="str">
            <v>A</v>
          </cell>
          <cell r="P210" t="str">
            <v>C</v>
          </cell>
          <cell r="Q210" t="str">
            <v>C</v>
          </cell>
          <cell r="R210" t="str">
            <v>C</v>
          </cell>
          <cell r="X210">
            <v>35.899999999999991</v>
          </cell>
        </row>
        <row r="211">
          <cell r="C211">
            <v>32799897</v>
          </cell>
          <cell r="D211" t="str">
            <v>ТОВ"КАРАТ ЛТД"</v>
          </cell>
          <cell r="E211">
            <v>45901.486400000002</v>
          </cell>
          <cell r="F211">
            <v>45839</v>
          </cell>
          <cell r="G211" t="str">
            <v>E</v>
          </cell>
          <cell r="H211" t="str">
            <v>B</v>
          </cell>
          <cell r="I211" t="str">
            <v>B</v>
          </cell>
          <cell r="J211" t="str">
            <v>B</v>
          </cell>
          <cell r="K211" t="str">
            <v>C</v>
          </cell>
          <cell r="L211" t="str">
            <v>B</v>
          </cell>
          <cell r="M211" t="str">
            <v>A</v>
          </cell>
          <cell r="N211" t="str">
            <v>B</v>
          </cell>
          <cell r="O211" t="str">
            <v>A</v>
          </cell>
          <cell r="P211" t="str">
            <v>C</v>
          </cell>
          <cell r="Q211" t="str">
            <v>B</v>
          </cell>
          <cell r="R211" t="str">
            <v>A</v>
          </cell>
          <cell r="X211">
            <v>53.7</v>
          </cell>
        </row>
        <row r="212">
          <cell r="C212">
            <v>32800179</v>
          </cell>
          <cell r="D212" t="str">
            <v>ТОВ "АККОРД-ТУР"</v>
          </cell>
          <cell r="E212">
            <v>45965</v>
          </cell>
          <cell r="F212">
            <v>45748</v>
          </cell>
          <cell r="G212" t="str">
            <v>E</v>
          </cell>
          <cell r="H212" t="str">
            <v>B</v>
          </cell>
          <cell r="I212" t="str">
            <v>A</v>
          </cell>
          <cell r="J212" t="str">
            <v>C</v>
          </cell>
          <cell r="K212" t="str">
            <v>B</v>
          </cell>
          <cell r="L212" t="str">
            <v>B</v>
          </cell>
          <cell r="M212" t="str">
            <v>D</v>
          </cell>
          <cell r="N212" t="str">
            <v>B</v>
          </cell>
          <cell r="O212" t="str">
            <v>B</v>
          </cell>
          <cell r="P212" t="str">
            <v>C</v>
          </cell>
          <cell r="Q212" t="str">
            <v>B</v>
          </cell>
          <cell r="R212" t="str">
            <v>A</v>
          </cell>
          <cell r="X212">
            <v>41.3</v>
          </cell>
        </row>
        <row r="213">
          <cell r="C213">
            <v>32828388</v>
          </cell>
          <cell r="D213" t="str">
            <v>ТОВ "Констракшн машинері"</v>
          </cell>
          <cell r="E213">
            <v>45807</v>
          </cell>
          <cell r="F213">
            <v>45748</v>
          </cell>
          <cell r="G213" t="str">
            <v>D</v>
          </cell>
          <cell r="H213" t="str">
            <v>C</v>
          </cell>
          <cell r="I213" t="str">
            <v>B</v>
          </cell>
          <cell r="J213" t="str">
            <v>C</v>
          </cell>
          <cell r="K213" t="str">
            <v>D</v>
          </cell>
          <cell r="L213" t="str">
            <v>A</v>
          </cell>
          <cell r="M213" t="str">
            <v>A</v>
          </cell>
          <cell r="N213" t="str">
            <v>A</v>
          </cell>
          <cell r="O213" t="str">
            <v>A</v>
          </cell>
          <cell r="P213" t="str">
            <v>C</v>
          </cell>
          <cell r="Q213" t="str">
            <v>B</v>
          </cell>
          <cell r="R213" t="str">
            <v>A</v>
          </cell>
          <cell r="X213">
            <v>63.8</v>
          </cell>
        </row>
        <row r="214">
          <cell r="C214">
            <v>32843579</v>
          </cell>
          <cell r="D214" t="str">
            <v>ТОВ "ІНСТИТУТ ТРАНСПОРТНО-ЕНЕРГЕТИЧНИХ СИСТЕМ УКРАЇНИ"</v>
          </cell>
          <cell r="E214">
            <v>45887</v>
          </cell>
          <cell r="F214">
            <v>45839</v>
          </cell>
          <cell r="G214" t="str">
            <v>E</v>
          </cell>
          <cell r="H214" t="str">
            <v>A</v>
          </cell>
          <cell r="I214" t="str">
            <v>B</v>
          </cell>
          <cell r="J214" t="str">
            <v>B</v>
          </cell>
          <cell r="K214" t="str">
            <v>E</v>
          </cell>
          <cell r="L214" t="str">
            <v>B</v>
          </cell>
          <cell r="M214" t="str">
            <v>D</v>
          </cell>
          <cell r="N214" t="str">
            <v>B</v>
          </cell>
          <cell r="O214" t="str">
            <v>A</v>
          </cell>
          <cell r="P214" t="str">
            <v>C</v>
          </cell>
          <cell r="Q214" t="str">
            <v>C</v>
          </cell>
          <cell r="R214" t="str">
            <v>A</v>
          </cell>
          <cell r="X214">
            <v>42.3</v>
          </cell>
        </row>
        <row r="215">
          <cell r="C215">
            <v>32849497</v>
          </cell>
          <cell r="D215" t="str">
            <v>ТОВ "Дистрибуційні мережі"</v>
          </cell>
          <cell r="E215">
            <v>45674.584699999999</v>
          </cell>
          <cell r="F215">
            <v>45566</v>
          </cell>
          <cell r="G215" t="str">
            <v>D</v>
          </cell>
          <cell r="H215" t="str">
            <v>B</v>
          </cell>
          <cell r="I215" t="str">
            <v>B</v>
          </cell>
          <cell r="J215" t="str">
            <v>A</v>
          </cell>
          <cell r="K215" t="str">
            <v>D</v>
          </cell>
          <cell r="L215" t="str">
            <v>B</v>
          </cell>
          <cell r="M215" t="str">
            <v>A</v>
          </cell>
          <cell r="N215" t="str">
            <v>B</v>
          </cell>
          <cell r="O215" t="str">
            <v>B</v>
          </cell>
          <cell r="P215" t="str">
            <v>C</v>
          </cell>
          <cell r="Q215" t="str">
            <v>B</v>
          </cell>
          <cell r="R215" t="str">
            <v>C</v>
          </cell>
          <cell r="X215">
            <v>42.1</v>
          </cell>
        </row>
        <row r="216">
          <cell r="C216">
            <v>32851616</v>
          </cell>
          <cell r="D216" t="str">
            <v>ТОВ "ОНУР КОНСТРУКЦІОН ІНТЕРНЕШНЛ"</v>
          </cell>
          <cell r="E216">
            <v>45954.508699999998</v>
          </cell>
          <cell r="F216">
            <v>45839</v>
          </cell>
          <cell r="G216" t="str">
            <v>C</v>
          </cell>
          <cell r="H216" t="str">
            <v>B</v>
          </cell>
          <cell r="I216" t="str">
            <v>B</v>
          </cell>
          <cell r="J216" t="str">
            <v>B</v>
          </cell>
          <cell r="K216" t="str">
            <v>C</v>
          </cell>
          <cell r="L216" t="str">
            <v>A</v>
          </cell>
          <cell r="M216" t="str">
            <v>A</v>
          </cell>
          <cell r="N216" t="str">
            <v>A</v>
          </cell>
          <cell r="O216" t="str">
            <v>A</v>
          </cell>
          <cell r="P216" t="str">
            <v>D</v>
          </cell>
          <cell r="Q216" t="str">
            <v>B</v>
          </cell>
          <cell r="R216" t="str">
            <v>B</v>
          </cell>
          <cell r="X216">
            <v>60.400000000000006</v>
          </cell>
        </row>
        <row r="217">
          <cell r="C217">
            <v>32855584</v>
          </cell>
          <cell r="D217" t="str">
            <v>ТОВ "Інтерагроінвест"</v>
          </cell>
          <cell r="E217">
            <v>45979.652099999999</v>
          </cell>
          <cell r="F217">
            <v>45658</v>
          </cell>
          <cell r="G217" t="str">
            <v>B</v>
          </cell>
          <cell r="H217" t="str">
            <v>C</v>
          </cell>
          <cell r="I217" t="str">
            <v>B</v>
          </cell>
          <cell r="J217" t="str">
            <v>C</v>
          </cell>
          <cell r="K217" t="str">
            <v>C</v>
          </cell>
          <cell r="L217" t="str">
            <v>A</v>
          </cell>
          <cell r="M217" t="str">
            <v>A</v>
          </cell>
          <cell r="N217" t="str">
            <v>A</v>
          </cell>
          <cell r="O217" t="str">
            <v>A</v>
          </cell>
          <cell r="P217" t="str">
            <v>C</v>
          </cell>
          <cell r="Q217" t="str">
            <v>A</v>
          </cell>
          <cell r="R217" t="str">
            <v>A</v>
          </cell>
          <cell r="X217">
            <v>73.400000000000006</v>
          </cell>
        </row>
        <row r="218">
          <cell r="C218">
            <v>32860442</v>
          </cell>
          <cell r="D218" t="str">
            <v>ПП "Галактика"</v>
          </cell>
          <cell r="E218">
            <v>45695.536200000002</v>
          </cell>
          <cell r="F218">
            <v>45566</v>
          </cell>
          <cell r="G218" t="str">
            <v>E</v>
          </cell>
          <cell r="H218" t="str">
            <v>B</v>
          </cell>
          <cell r="I218" t="str">
            <v>B</v>
          </cell>
          <cell r="J218" t="str">
            <v>C</v>
          </cell>
          <cell r="K218" t="str">
            <v>A</v>
          </cell>
          <cell r="L218" t="str">
            <v>A</v>
          </cell>
          <cell r="M218" t="str">
            <v>A</v>
          </cell>
          <cell r="N218" t="str">
            <v>B</v>
          </cell>
          <cell r="O218" t="str">
            <v>A</v>
          </cell>
          <cell r="P218" t="str">
            <v>C</v>
          </cell>
          <cell r="Q218" t="str">
            <v>B</v>
          </cell>
          <cell r="R218" t="str">
            <v>A</v>
          </cell>
          <cell r="X218">
            <v>63.300000000000004</v>
          </cell>
        </row>
        <row r="219">
          <cell r="C219">
            <v>32893090</v>
          </cell>
          <cell r="D219" t="str">
            <v>ТОВ "ТОРГОВИЙ ДІМ "ЛІНКС"</v>
          </cell>
          <cell r="E219">
            <v>45898</v>
          </cell>
          <cell r="F219">
            <v>45839</v>
          </cell>
          <cell r="G219" t="str">
            <v>E</v>
          </cell>
          <cell r="H219" t="str">
            <v>C</v>
          </cell>
          <cell r="I219" t="str">
            <v>A</v>
          </cell>
          <cell r="J219" t="str">
            <v>B</v>
          </cell>
          <cell r="K219" t="str">
            <v>D</v>
          </cell>
          <cell r="L219" t="str">
            <v>A</v>
          </cell>
          <cell r="M219" t="str">
            <v>A</v>
          </cell>
          <cell r="N219" t="str">
            <v>A</v>
          </cell>
          <cell r="O219" t="str">
            <v>A</v>
          </cell>
          <cell r="P219" t="str">
            <v>C</v>
          </cell>
          <cell r="Q219" t="str">
            <v>B</v>
          </cell>
          <cell r="R219" t="str">
            <v>C</v>
          </cell>
          <cell r="X219">
            <v>47</v>
          </cell>
        </row>
        <row r="220">
          <cell r="C220">
            <v>32895449</v>
          </cell>
          <cell r="D220" t="str">
            <v>ТОВ "ЗОЛОТА НИВА"</v>
          </cell>
          <cell r="E220">
            <v>45965.373500000002</v>
          </cell>
          <cell r="F220">
            <v>45839</v>
          </cell>
          <cell r="G220" t="str">
            <v>D</v>
          </cell>
          <cell r="H220" t="str">
            <v>B</v>
          </cell>
          <cell r="I220" t="str">
            <v>B</v>
          </cell>
          <cell r="J220" t="str">
            <v>B</v>
          </cell>
          <cell r="K220" t="str">
            <v>C</v>
          </cell>
          <cell r="L220" t="str">
            <v>B</v>
          </cell>
          <cell r="M220" t="str">
            <v>A</v>
          </cell>
          <cell r="N220" t="str">
            <v>A</v>
          </cell>
          <cell r="O220" t="str">
            <v>A</v>
          </cell>
          <cell r="P220" t="str">
            <v>C</v>
          </cell>
          <cell r="Q220" t="str">
            <v>C</v>
          </cell>
          <cell r="R220" t="str">
            <v>A</v>
          </cell>
          <cell r="X220">
            <v>58.8</v>
          </cell>
        </row>
        <row r="221">
          <cell r="C221">
            <v>32910943</v>
          </cell>
          <cell r="D221" t="str">
            <v>ТОВ "ТОРГОВИЙ ДІМ "РОЗМА"</v>
          </cell>
          <cell r="E221">
            <v>45630.7209</v>
          </cell>
          <cell r="F221">
            <v>45566</v>
          </cell>
          <cell r="G221" t="str">
            <v>E</v>
          </cell>
          <cell r="H221" t="str">
            <v>C</v>
          </cell>
          <cell r="I221" t="str">
            <v>B</v>
          </cell>
          <cell r="J221" t="str">
            <v>C</v>
          </cell>
          <cell r="K221" t="str">
            <v>D</v>
          </cell>
          <cell r="L221" t="str">
            <v>B</v>
          </cell>
          <cell r="M221" t="str">
            <v>B</v>
          </cell>
          <cell r="N221" t="str">
            <v>B</v>
          </cell>
          <cell r="O221" t="str">
            <v>A</v>
          </cell>
          <cell r="P221" t="str">
            <v>C</v>
          </cell>
          <cell r="Q221" t="str">
            <v>C</v>
          </cell>
          <cell r="R221" t="str">
            <v>B</v>
          </cell>
          <cell r="X221">
            <v>40.29999999999999</v>
          </cell>
        </row>
        <row r="222">
          <cell r="C222">
            <v>32918146</v>
          </cell>
          <cell r="D222" t="str">
            <v>ТОВ "Н-ТРАНС"</v>
          </cell>
          <cell r="E222">
            <v>45720.589599999999</v>
          </cell>
          <cell r="F222">
            <v>45658</v>
          </cell>
          <cell r="G222" t="str">
            <v>E</v>
          </cell>
          <cell r="H222" t="str">
            <v>D</v>
          </cell>
          <cell r="I222" t="str">
            <v>C</v>
          </cell>
          <cell r="J222" t="str">
            <v>C</v>
          </cell>
          <cell r="K222" t="str">
            <v>D</v>
          </cell>
          <cell r="L222" t="str">
            <v>B</v>
          </cell>
          <cell r="M222" t="str">
            <v>A</v>
          </cell>
          <cell r="N222" t="str">
            <v>C</v>
          </cell>
          <cell r="O222" t="str">
            <v>B</v>
          </cell>
          <cell r="P222" t="str">
            <v>C</v>
          </cell>
          <cell r="Q222" t="str">
            <v>B</v>
          </cell>
          <cell r="R222" t="str">
            <v>C</v>
          </cell>
          <cell r="X222">
            <v>29</v>
          </cell>
        </row>
        <row r="223">
          <cell r="C223">
            <v>32961558</v>
          </cell>
          <cell r="D223" t="str">
            <v>ТОВ "ВЕКТОР-С"</v>
          </cell>
          <cell r="E223">
            <v>45785.457399999999</v>
          </cell>
          <cell r="F223">
            <v>45658</v>
          </cell>
          <cell r="G223" t="str">
            <v>E</v>
          </cell>
          <cell r="H223" t="str">
            <v>A</v>
          </cell>
          <cell r="I223" t="str">
            <v>D</v>
          </cell>
          <cell r="J223" t="str">
            <v>A</v>
          </cell>
          <cell r="K223" t="str">
            <v>B</v>
          </cell>
          <cell r="L223" t="str">
            <v>A</v>
          </cell>
          <cell r="M223" t="str">
            <v>A</v>
          </cell>
          <cell r="N223" t="str">
            <v>B</v>
          </cell>
          <cell r="O223" t="str">
            <v>A</v>
          </cell>
          <cell r="P223" t="str">
            <v>B</v>
          </cell>
          <cell r="Q223" t="str">
            <v>B</v>
          </cell>
          <cell r="R223" t="str">
            <v>C</v>
          </cell>
          <cell r="X223">
            <v>47.900000000000006</v>
          </cell>
        </row>
        <row r="224">
          <cell r="C224">
            <v>32998661</v>
          </cell>
          <cell r="D224" t="str">
            <v>ТОВ "МАЛБІ ФУДС"</v>
          </cell>
          <cell r="E224">
            <v>45895.411399999997</v>
          </cell>
          <cell r="F224">
            <v>45748</v>
          </cell>
          <cell r="G224" t="str">
            <v>B</v>
          </cell>
          <cell r="H224" t="str">
            <v>A</v>
          </cell>
          <cell r="I224" t="str">
            <v>B</v>
          </cell>
          <cell r="J224" t="str">
            <v>D</v>
          </cell>
          <cell r="K224" t="str">
            <v>D</v>
          </cell>
          <cell r="L224" t="str">
            <v>B</v>
          </cell>
          <cell r="M224" t="str">
            <v>A</v>
          </cell>
          <cell r="N224" t="str">
            <v>B</v>
          </cell>
          <cell r="O224" t="str">
            <v>A</v>
          </cell>
          <cell r="P224" t="str">
            <v>C</v>
          </cell>
          <cell r="Q224" t="str">
            <v>C</v>
          </cell>
          <cell r="R224" t="str">
            <v>C</v>
          </cell>
          <cell r="X224">
            <v>58.7</v>
          </cell>
        </row>
        <row r="225">
          <cell r="C225">
            <v>33003862</v>
          </cell>
          <cell r="D225" t="str">
            <v>СТОВ "А.Ф. ЗЛАГОДА"</v>
          </cell>
          <cell r="E225">
            <v>45960.984400000001</v>
          </cell>
          <cell r="F225">
            <v>45658</v>
          </cell>
          <cell r="G225" t="str">
            <v>D</v>
          </cell>
          <cell r="H225" t="str">
            <v>B</v>
          </cell>
          <cell r="I225" t="str">
            <v>B</v>
          </cell>
          <cell r="J225" t="str">
            <v>A</v>
          </cell>
          <cell r="K225" t="str">
            <v>C</v>
          </cell>
          <cell r="L225" t="str">
            <v>A</v>
          </cell>
          <cell r="M225" t="str">
            <v>A</v>
          </cell>
          <cell r="N225" t="str">
            <v>A</v>
          </cell>
          <cell r="O225" t="str">
            <v>A</v>
          </cell>
          <cell r="P225" t="str">
            <v>C</v>
          </cell>
          <cell r="Q225" t="str">
            <v>B</v>
          </cell>
          <cell r="R225" t="str">
            <v>A</v>
          </cell>
          <cell r="X225">
            <v>62.6</v>
          </cell>
        </row>
        <row r="226">
          <cell r="C226">
            <v>33007579</v>
          </cell>
          <cell r="D226" t="str">
            <v>ПП "Аграрна компанія 2004"</v>
          </cell>
          <cell r="E226">
            <v>45944</v>
          </cell>
          <cell r="F226">
            <v>45658</v>
          </cell>
          <cell r="G226" t="str">
            <v>D</v>
          </cell>
          <cell r="H226" t="str">
            <v>B</v>
          </cell>
          <cell r="I226" t="str">
            <v>C</v>
          </cell>
          <cell r="J226" t="str">
            <v>C</v>
          </cell>
          <cell r="K226" t="str">
            <v>D</v>
          </cell>
          <cell r="L226" t="str">
            <v>A</v>
          </cell>
          <cell r="M226" t="str">
            <v>A</v>
          </cell>
          <cell r="N226" t="str">
            <v>B</v>
          </cell>
          <cell r="O226" t="str">
            <v>B</v>
          </cell>
          <cell r="P226" t="str">
            <v>C</v>
          </cell>
          <cell r="Q226" t="str">
            <v>B</v>
          </cell>
          <cell r="R226" t="str">
            <v>A</v>
          </cell>
          <cell r="X226">
            <v>50.5</v>
          </cell>
        </row>
        <row r="227">
          <cell r="C227">
            <v>33010822</v>
          </cell>
          <cell r="D227" t="str">
            <v>ТОВ "ОМЕГА"</v>
          </cell>
          <cell r="E227">
            <v>45849.703000000001</v>
          </cell>
          <cell r="F227">
            <v>45748</v>
          </cell>
          <cell r="G227" t="str">
            <v>C</v>
          </cell>
          <cell r="H227" t="str">
            <v>C</v>
          </cell>
          <cell r="I227" t="str">
            <v>B</v>
          </cell>
          <cell r="J227" t="str">
            <v>D</v>
          </cell>
          <cell r="K227" t="str">
            <v>C</v>
          </cell>
          <cell r="L227" t="str">
            <v>A</v>
          </cell>
          <cell r="M227" t="str">
            <v>A</v>
          </cell>
          <cell r="N227" t="str">
            <v>A</v>
          </cell>
          <cell r="O227" t="str">
            <v>A</v>
          </cell>
          <cell r="P227" t="str">
            <v>C</v>
          </cell>
          <cell r="Q227" t="str">
            <v>B</v>
          </cell>
          <cell r="R227" t="str">
            <v>B</v>
          </cell>
          <cell r="X227">
            <v>65.8</v>
          </cell>
        </row>
        <row r="228">
          <cell r="C228">
            <v>33104260</v>
          </cell>
          <cell r="D228" t="str">
            <v>ТОВ "КОМПРЕССОРС ІНТЕРНЕШНЛ"</v>
          </cell>
          <cell r="E228">
            <v>45800.665300000001</v>
          </cell>
          <cell r="F228">
            <v>45748</v>
          </cell>
          <cell r="G228" t="str">
            <v>E</v>
          </cell>
          <cell r="H228" t="str">
            <v>C</v>
          </cell>
          <cell r="I228" t="str">
            <v>B</v>
          </cell>
          <cell r="J228" t="str">
            <v>C</v>
          </cell>
          <cell r="K228" t="str">
            <v>D</v>
          </cell>
          <cell r="L228" t="str">
            <v>A</v>
          </cell>
          <cell r="M228" t="str">
            <v>A</v>
          </cell>
          <cell r="N228" t="str">
            <v>A</v>
          </cell>
          <cell r="O228" t="str">
            <v>A</v>
          </cell>
          <cell r="P228" t="str">
            <v>C</v>
          </cell>
          <cell r="Q228" t="str">
            <v>B</v>
          </cell>
          <cell r="R228" t="str">
            <v>A</v>
          </cell>
          <cell r="X228">
            <v>60.199999999999996</v>
          </cell>
        </row>
        <row r="229">
          <cell r="C229">
            <v>33109845</v>
          </cell>
          <cell r="D229" t="str">
            <v>ТОВ "Дон-Термінал"</v>
          </cell>
          <cell r="E229">
            <v>45583.702400000002</v>
          </cell>
          <cell r="F229">
            <v>45474</v>
          </cell>
          <cell r="G229" t="str">
            <v>D</v>
          </cell>
          <cell r="H229" t="str">
            <v>B</v>
          </cell>
          <cell r="I229" t="str">
            <v>A</v>
          </cell>
          <cell r="J229" t="str">
            <v>B</v>
          </cell>
          <cell r="K229" t="str">
            <v>D</v>
          </cell>
          <cell r="L229" t="str">
            <v>A</v>
          </cell>
          <cell r="M229" t="str">
            <v>A</v>
          </cell>
          <cell r="N229" t="str">
            <v>B</v>
          </cell>
          <cell r="O229" t="str">
            <v>A</v>
          </cell>
          <cell r="P229" t="str">
            <v>C</v>
          </cell>
          <cell r="Q229" t="str">
            <v>B</v>
          </cell>
          <cell r="R229" t="str">
            <v>A</v>
          </cell>
          <cell r="X229">
            <v>54.9</v>
          </cell>
        </row>
        <row r="230">
          <cell r="C230">
            <v>33166730</v>
          </cell>
          <cell r="D230" t="str">
            <v>ТОВ "ДАВИДІВСЬКИЙ ДАР"</v>
          </cell>
          <cell r="E230">
            <v>45693.443700000003</v>
          </cell>
          <cell r="F230">
            <v>45474</v>
          </cell>
          <cell r="G230" t="str">
            <v>E</v>
          </cell>
          <cell r="H230" t="str">
            <v>B</v>
          </cell>
          <cell r="I230" t="str">
            <v>C</v>
          </cell>
          <cell r="J230" t="str">
            <v>C</v>
          </cell>
          <cell r="K230" t="str">
            <v>D</v>
          </cell>
          <cell r="L230" t="str">
            <v>A</v>
          </cell>
          <cell r="M230" t="str">
            <v>A</v>
          </cell>
          <cell r="N230" t="str">
            <v>B</v>
          </cell>
          <cell r="O230" t="str">
            <v>A</v>
          </cell>
          <cell r="P230" t="str">
            <v>B</v>
          </cell>
          <cell r="Q230" t="str">
            <v>B</v>
          </cell>
          <cell r="R230" t="str">
            <v>C</v>
          </cell>
          <cell r="X230">
            <v>46.300000000000004</v>
          </cell>
        </row>
        <row r="231">
          <cell r="C231">
            <v>33168743</v>
          </cell>
          <cell r="D231" t="str">
            <v>ТОВ ПзІІ "ЕДПОЛ"</v>
          </cell>
          <cell r="E231">
            <v>45679.428999999996</v>
          </cell>
          <cell r="F231">
            <v>45566</v>
          </cell>
          <cell r="G231" t="str">
            <v>D</v>
          </cell>
          <cell r="H231" t="str">
            <v>C</v>
          </cell>
          <cell r="I231" t="str">
            <v>D</v>
          </cell>
          <cell r="J231" t="str">
            <v>B</v>
          </cell>
          <cell r="K231" t="str">
            <v>D</v>
          </cell>
          <cell r="L231" t="str">
            <v>B</v>
          </cell>
          <cell r="M231" t="str">
            <v>B</v>
          </cell>
          <cell r="N231" t="str">
            <v>C</v>
          </cell>
          <cell r="O231" t="str">
            <v>A</v>
          </cell>
          <cell r="P231" t="str">
            <v>B</v>
          </cell>
          <cell r="Q231" t="str">
            <v>B</v>
          </cell>
          <cell r="R231" t="str">
            <v>A</v>
          </cell>
          <cell r="X231">
            <v>40</v>
          </cell>
        </row>
        <row r="232">
          <cell r="C232">
            <v>33221885</v>
          </cell>
          <cell r="D232" t="str">
            <v>ТОВ "ТПО "АРІСТА"</v>
          </cell>
          <cell r="E232">
            <v>45631.766799999998</v>
          </cell>
          <cell r="F232">
            <v>45566</v>
          </cell>
          <cell r="G232" t="str">
            <v>E</v>
          </cell>
          <cell r="H232" t="str">
            <v>B</v>
          </cell>
          <cell r="I232" t="str">
            <v>A</v>
          </cell>
          <cell r="J232" t="str">
            <v>D</v>
          </cell>
          <cell r="K232" t="str">
            <v>D</v>
          </cell>
          <cell r="L232" t="str">
            <v>A</v>
          </cell>
          <cell r="M232" t="str">
            <v>A</v>
          </cell>
          <cell r="N232" t="str">
            <v>A</v>
          </cell>
          <cell r="O232" t="str">
            <v>A</v>
          </cell>
          <cell r="P232" t="str">
            <v>A</v>
          </cell>
          <cell r="Q232" t="str">
            <v>B</v>
          </cell>
          <cell r="R232" t="str">
            <v>A</v>
          </cell>
          <cell r="X232">
            <v>64</v>
          </cell>
        </row>
        <row r="233">
          <cell r="C233">
            <v>33305729</v>
          </cell>
          <cell r="D233" t="str">
            <v>ТОВ "КИЙТРАНС-2005"</v>
          </cell>
          <cell r="E233">
            <v>45761</v>
          </cell>
          <cell r="F233">
            <v>45658</v>
          </cell>
          <cell r="G233" t="str">
            <v>E</v>
          </cell>
          <cell r="H233" t="str">
            <v>B</v>
          </cell>
          <cell r="I233" t="str">
            <v>B</v>
          </cell>
          <cell r="J233" t="str">
            <v>A</v>
          </cell>
          <cell r="K233" t="str">
            <v>D</v>
          </cell>
          <cell r="L233" t="str">
            <v>A</v>
          </cell>
          <cell r="M233" t="str">
            <v>A</v>
          </cell>
          <cell r="N233" t="str">
            <v>B</v>
          </cell>
          <cell r="O233" t="str">
            <v>A</v>
          </cell>
          <cell r="P233" t="str">
            <v>C</v>
          </cell>
          <cell r="Q233" t="str">
            <v>B</v>
          </cell>
          <cell r="R233" t="str">
            <v>A</v>
          </cell>
          <cell r="X233">
            <v>52.9</v>
          </cell>
        </row>
        <row r="234">
          <cell r="C234">
            <v>33309435</v>
          </cell>
          <cell r="D234" t="str">
            <v>ТОВ "УПК "КРОК"</v>
          </cell>
          <cell r="E234">
            <v>45764.434699999998</v>
          </cell>
          <cell r="F234">
            <v>45658</v>
          </cell>
          <cell r="G234" t="str">
            <v>E</v>
          </cell>
          <cell r="H234" t="str">
            <v>B</v>
          </cell>
          <cell r="I234" t="str">
            <v>B</v>
          </cell>
          <cell r="J234" t="str">
            <v>A</v>
          </cell>
          <cell r="K234" t="str">
            <v>B</v>
          </cell>
          <cell r="L234" t="str">
            <v>A</v>
          </cell>
          <cell r="M234" t="str">
            <v>A</v>
          </cell>
          <cell r="N234" t="str">
            <v>A</v>
          </cell>
          <cell r="O234" t="str">
            <v>A</v>
          </cell>
          <cell r="P234" t="str">
            <v>C</v>
          </cell>
          <cell r="Q234" t="str">
            <v>A</v>
          </cell>
          <cell r="R234" t="str">
            <v>A</v>
          </cell>
          <cell r="X234">
            <v>62.2</v>
          </cell>
        </row>
        <row r="235">
          <cell r="C235">
            <v>33330969</v>
          </cell>
          <cell r="D235" t="str">
            <v>ТОВ "ОПИТНИЙ ЗАВОД М"</v>
          </cell>
          <cell r="E235">
            <v>45910.518100000001</v>
          </cell>
          <cell r="F235">
            <v>45839</v>
          </cell>
          <cell r="G235" t="str">
            <v>E</v>
          </cell>
          <cell r="H235" t="str">
            <v>B</v>
          </cell>
          <cell r="I235" t="str">
            <v>B</v>
          </cell>
          <cell r="J235" t="str">
            <v>A</v>
          </cell>
          <cell r="K235" t="str">
            <v>D</v>
          </cell>
          <cell r="L235" t="str">
            <v>B</v>
          </cell>
          <cell r="M235" t="str">
            <v>A</v>
          </cell>
          <cell r="N235" t="str">
            <v>C</v>
          </cell>
          <cell r="O235" t="str">
            <v>A</v>
          </cell>
          <cell r="P235" t="str">
            <v>C</v>
          </cell>
          <cell r="Q235" t="str">
            <v>C</v>
          </cell>
          <cell r="R235" t="str">
            <v>A</v>
          </cell>
          <cell r="X235">
            <v>44.8</v>
          </cell>
        </row>
        <row r="236">
          <cell r="C236">
            <v>33360528</v>
          </cell>
          <cell r="D236" t="str">
            <v>ТОВ "НЕОФІТА 2025"</v>
          </cell>
          <cell r="E236">
            <v>45952.5959</v>
          </cell>
          <cell r="F236">
            <v>45658</v>
          </cell>
          <cell r="G236" t="str">
            <v>E</v>
          </cell>
          <cell r="H236" t="str">
            <v>B</v>
          </cell>
          <cell r="I236" t="str">
            <v>B</v>
          </cell>
          <cell r="J236" t="str">
            <v>A</v>
          </cell>
          <cell r="K236" t="str">
            <v>D</v>
          </cell>
          <cell r="L236" t="str">
            <v>A</v>
          </cell>
          <cell r="M236" t="str">
            <v>A</v>
          </cell>
          <cell r="N236" t="str">
            <v>B</v>
          </cell>
          <cell r="O236" t="str">
            <v>A</v>
          </cell>
          <cell r="P236" t="str">
            <v>C</v>
          </cell>
          <cell r="Q236" t="str">
            <v>B</v>
          </cell>
          <cell r="R236" t="str">
            <v>A</v>
          </cell>
          <cell r="X236">
            <v>52.9</v>
          </cell>
        </row>
        <row r="237">
          <cell r="C237">
            <v>33382468</v>
          </cell>
          <cell r="D237" t="str">
            <v>ТОВ "ЄСТ ЦЕНТР"</v>
          </cell>
          <cell r="E237">
            <v>45657.3266</v>
          </cell>
          <cell r="F237">
            <v>45566</v>
          </cell>
          <cell r="G237" t="str">
            <v>E</v>
          </cell>
          <cell r="H237" t="str">
            <v>B</v>
          </cell>
          <cell r="I237" t="str">
            <v>B</v>
          </cell>
          <cell r="J237" t="str">
            <v>A</v>
          </cell>
          <cell r="K237" t="str">
            <v>D</v>
          </cell>
          <cell r="L237" t="str">
            <v>A</v>
          </cell>
          <cell r="M237" t="str">
            <v>A</v>
          </cell>
          <cell r="N237" t="str">
            <v>B</v>
          </cell>
          <cell r="O237" t="str">
            <v>A</v>
          </cell>
          <cell r="P237" t="str">
            <v>C</v>
          </cell>
          <cell r="Q237" t="str">
            <v>B</v>
          </cell>
          <cell r="R237" t="str">
            <v>A</v>
          </cell>
          <cell r="X237">
            <v>52.9</v>
          </cell>
        </row>
        <row r="238">
          <cell r="C238">
            <v>33394612</v>
          </cell>
          <cell r="D238" t="str">
            <v>ТОВ "БЕРДИЧІВСЬКИЙ ХЛІБОЗАВОД"</v>
          </cell>
          <cell r="E238">
            <v>45587.894399999997</v>
          </cell>
          <cell r="F238">
            <v>45474</v>
          </cell>
          <cell r="G238" t="str">
            <v>D</v>
          </cell>
          <cell r="H238" t="str">
            <v>B</v>
          </cell>
          <cell r="I238" t="str">
            <v>C</v>
          </cell>
          <cell r="J238" t="str">
            <v>C</v>
          </cell>
          <cell r="K238" t="str">
            <v>D</v>
          </cell>
          <cell r="L238" t="str">
            <v>B</v>
          </cell>
          <cell r="M238" t="str">
            <v>A</v>
          </cell>
          <cell r="N238" t="str">
            <v>B</v>
          </cell>
          <cell r="O238" t="str">
            <v>A</v>
          </cell>
          <cell r="P238" t="str">
            <v>C</v>
          </cell>
          <cell r="Q238" t="str">
            <v>B</v>
          </cell>
          <cell r="R238" t="str">
            <v>B</v>
          </cell>
          <cell r="X238">
            <v>45.699999999999996</v>
          </cell>
        </row>
        <row r="239">
          <cell r="C239">
            <v>33403571</v>
          </cell>
          <cell r="D239" t="str">
            <v>ТОВ "Рибальство та експедиції"</v>
          </cell>
          <cell r="E239">
            <v>45785.457399999999</v>
          </cell>
          <cell r="F239">
            <v>45658</v>
          </cell>
          <cell r="G239" t="str">
            <v>E</v>
          </cell>
          <cell r="H239" t="str">
            <v>A</v>
          </cell>
          <cell r="I239" t="str">
            <v>D</v>
          </cell>
          <cell r="J239" t="str">
            <v>A</v>
          </cell>
          <cell r="K239" t="str">
            <v>B</v>
          </cell>
          <cell r="L239" t="str">
            <v>A</v>
          </cell>
          <cell r="M239" t="str">
            <v>A</v>
          </cell>
          <cell r="N239" t="str">
            <v>B</v>
          </cell>
          <cell r="O239" t="str">
            <v>A</v>
          </cell>
          <cell r="P239" t="str">
            <v>B</v>
          </cell>
          <cell r="Q239" t="str">
            <v>B</v>
          </cell>
          <cell r="R239" t="str">
            <v>C</v>
          </cell>
          <cell r="X239">
            <v>47.900000000000006</v>
          </cell>
        </row>
        <row r="240">
          <cell r="C240">
            <v>33423315</v>
          </cell>
          <cell r="D240" t="str">
            <v>ТОВ "АГРОДАР-УКРАЇНА ПЛЮС"</v>
          </cell>
          <cell r="E240">
            <v>45779.435700000002</v>
          </cell>
          <cell r="F240">
            <v>45658</v>
          </cell>
          <cell r="G240" t="str">
            <v>E</v>
          </cell>
          <cell r="H240" t="str">
            <v>B</v>
          </cell>
          <cell r="I240" t="str">
            <v>A</v>
          </cell>
          <cell r="J240" t="str">
            <v>B</v>
          </cell>
          <cell r="K240" t="str">
            <v>D</v>
          </cell>
          <cell r="L240" t="str">
            <v>A</v>
          </cell>
          <cell r="M240" t="str">
            <v>C</v>
          </cell>
          <cell r="N240" t="str">
            <v>B</v>
          </cell>
          <cell r="O240" t="str">
            <v>A</v>
          </cell>
          <cell r="P240" t="str">
            <v>B</v>
          </cell>
          <cell r="Q240" t="str">
            <v>B</v>
          </cell>
          <cell r="R240" t="str">
            <v>A</v>
          </cell>
          <cell r="X240">
            <v>45.5</v>
          </cell>
        </row>
        <row r="241">
          <cell r="C241">
            <v>33509465</v>
          </cell>
          <cell r="D241" t="str">
            <v>ТОВ "ТЕКОМ-ЛІЗИНГ"</v>
          </cell>
          <cell r="E241">
            <v>45762.6371</v>
          </cell>
          <cell r="F241">
            <v>45658</v>
          </cell>
          <cell r="G241" t="str">
            <v>E</v>
          </cell>
          <cell r="H241" t="str">
            <v>B</v>
          </cell>
          <cell r="I241" t="str">
            <v>A</v>
          </cell>
          <cell r="J241" t="str">
            <v>C</v>
          </cell>
          <cell r="K241" t="str">
            <v>C</v>
          </cell>
          <cell r="L241" t="str">
            <v>A</v>
          </cell>
          <cell r="M241" t="str">
            <v>B</v>
          </cell>
          <cell r="N241" t="str">
            <v>B</v>
          </cell>
          <cell r="O241" t="str">
            <v>A</v>
          </cell>
          <cell r="P241" t="str">
            <v>C</v>
          </cell>
          <cell r="Q241" t="str">
            <v>A</v>
          </cell>
          <cell r="R241" t="str">
            <v>A</v>
          </cell>
          <cell r="X241">
            <v>52.9</v>
          </cell>
        </row>
        <row r="242">
          <cell r="C242">
            <v>33623350</v>
          </cell>
          <cell r="D242" t="str">
            <v>ТОВ "СХК "ВІННИЦЬКА ПРОМИСЛОВА ГРУПА"</v>
          </cell>
          <cell r="E242">
            <v>45979.652099999999</v>
          </cell>
          <cell r="F242">
            <v>45658</v>
          </cell>
          <cell r="G242" t="str">
            <v>B</v>
          </cell>
          <cell r="H242" t="str">
            <v>C</v>
          </cell>
          <cell r="I242" t="str">
            <v>B</v>
          </cell>
          <cell r="J242" t="str">
            <v>C</v>
          </cell>
          <cell r="K242" t="str">
            <v>C</v>
          </cell>
          <cell r="L242" t="str">
            <v>A</v>
          </cell>
          <cell r="M242" t="str">
            <v>A</v>
          </cell>
          <cell r="N242" t="str">
            <v>A</v>
          </cell>
          <cell r="O242" t="str">
            <v>A</v>
          </cell>
          <cell r="P242" t="str">
            <v>C</v>
          </cell>
          <cell r="Q242" t="str">
            <v>A</v>
          </cell>
          <cell r="R242" t="str">
            <v>A</v>
          </cell>
          <cell r="X242">
            <v>73.400000000000006</v>
          </cell>
        </row>
        <row r="243">
          <cell r="C243">
            <v>33647916</v>
          </cell>
          <cell r="D243" t="str">
            <v>СБОК"ЗОРЯНЕ"</v>
          </cell>
          <cell r="E243">
            <v>45589.606399999997</v>
          </cell>
          <cell r="F243">
            <v>45474</v>
          </cell>
          <cell r="G243" t="str">
            <v>E</v>
          </cell>
          <cell r="H243" t="str">
            <v>A</v>
          </cell>
          <cell r="I243" t="str">
            <v>B</v>
          </cell>
          <cell r="J243" t="str">
            <v>D</v>
          </cell>
          <cell r="K243" t="str">
            <v>D</v>
          </cell>
          <cell r="L243" t="str">
            <v>B</v>
          </cell>
          <cell r="M243" t="str">
            <v>B</v>
          </cell>
          <cell r="N243" t="str">
            <v>A</v>
          </cell>
          <cell r="O243" t="str">
            <v>A</v>
          </cell>
          <cell r="P243" t="str">
            <v>C</v>
          </cell>
          <cell r="Q243" t="str">
            <v>B</v>
          </cell>
          <cell r="R243" t="str">
            <v>B</v>
          </cell>
          <cell r="X243">
            <v>51.8</v>
          </cell>
        </row>
        <row r="244">
          <cell r="C244">
            <v>33690081</v>
          </cell>
          <cell r="D244" t="str">
            <v>ПП "ЛОВЕКС-К"</v>
          </cell>
          <cell r="E244">
            <v>45814.009400000003</v>
          </cell>
          <cell r="F244">
            <v>45748</v>
          </cell>
          <cell r="G244" t="str">
            <v>E</v>
          </cell>
          <cell r="H244" t="str">
            <v>B</v>
          </cell>
          <cell r="I244" t="str">
            <v>A</v>
          </cell>
          <cell r="J244" t="str">
            <v>C</v>
          </cell>
          <cell r="K244" t="str">
            <v>B</v>
          </cell>
          <cell r="L244" t="str">
            <v>A</v>
          </cell>
          <cell r="M244" t="str">
            <v>A</v>
          </cell>
          <cell r="N244" t="str">
            <v>B</v>
          </cell>
          <cell r="O244" t="str">
            <v>A</v>
          </cell>
          <cell r="P244" t="str">
            <v>C</v>
          </cell>
          <cell r="Q244" t="str">
            <v>B</v>
          </cell>
          <cell r="R244" t="str">
            <v>A</v>
          </cell>
          <cell r="X244">
            <v>57.7</v>
          </cell>
        </row>
        <row r="245">
          <cell r="C245">
            <v>33718185</v>
          </cell>
          <cell r="D245" t="str">
            <v>ТОВ "НВФ ДНІПРОПРОЕКТ"</v>
          </cell>
          <cell r="E245">
            <v>45681</v>
          </cell>
          <cell r="F245">
            <v>45566</v>
          </cell>
          <cell r="G245" t="str">
            <v>E</v>
          </cell>
          <cell r="H245" t="str">
            <v>A</v>
          </cell>
          <cell r="I245" t="str">
            <v>B</v>
          </cell>
          <cell r="J245" t="str">
            <v>B</v>
          </cell>
          <cell r="K245" t="str">
            <v>D</v>
          </cell>
          <cell r="L245" t="str">
            <v>A</v>
          </cell>
          <cell r="M245" t="str">
            <v>A</v>
          </cell>
          <cell r="N245" t="str">
            <v>B</v>
          </cell>
          <cell r="O245" t="str">
            <v>A</v>
          </cell>
          <cell r="P245" t="str">
            <v>C</v>
          </cell>
          <cell r="Q245" t="str">
            <v>B</v>
          </cell>
          <cell r="R245" t="str">
            <v>A</v>
          </cell>
          <cell r="X245">
            <v>58.1</v>
          </cell>
        </row>
        <row r="246">
          <cell r="C246">
            <v>33742637</v>
          </cell>
          <cell r="D246" t="str">
            <v>ТОВ "ПК "ПОЖМАШИНА"</v>
          </cell>
          <cell r="E246">
            <v>45825</v>
          </cell>
          <cell r="F246">
            <v>45658</v>
          </cell>
          <cell r="G246" t="str">
            <v>B</v>
          </cell>
          <cell r="H246" t="str">
            <v>B</v>
          </cell>
          <cell r="I246" t="str">
            <v>B</v>
          </cell>
          <cell r="J246" t="str">
            <v>C</v>
          </cell>
          <cell r="K246" t="str">
            <v>D</v>
          </cell>
          <cell r="L246" t="str">
            <v>A</v>
          </cell>
          <cell r="M246" t="str">
            <v>C</v>
          </cell>
          <cell r="N246" t="str">
            <v>A</v>
          </cell>
          <cell r="O246" t="str">
            <v>A</v>
          </cell>
          <cell r="P246" t="str">
            <v>C</v>
          </cell>
          <cell r="Q246" t="str">
            <v>B</v>
          </cell>
          <cell r="R246" t="str">
            <v>A</v>
          </cell>
          <cell r="X246">
            <v>62.2</v>
          </cell>
        </row>
        <row r="247">
          <cell r="C247">
            <v>33775568</v>
          </cell>
          <cell r="D247" t="str">
            <v>ТОВ  "ТЕХНОКАП УА"</v>
          </cell>
          <cell r="E247">
            <v>45623.654399999999</v>
          </cell>
          <cell r="F247">
            <v>45566</v>
          </cell>
          <cell r="G247" t="str">
            <v>E</v>
          </cell>
          <cell r="H247" t="str">
            <v>B</v>
          </cell>
          <cell r="I247" t="str">
            <v>B</v>
          </cell>
          <cell r="J247" t="str">
            <v>B</v>
          </cell>
          <cell r="K247" t="str">
            <v>D</v>
          </cell>
          <cell r="L247" t="str">
            <v>A</v>
          </cell>
          <cell r="M247" t="str">
            <v>A</v>
          </cell>
          <cell r="N247" t="str">
            <v>A</v>
          </cell>
          <cell r="O247" t="str">
            <v>A</v>
          </cell>
          <cell r="P247" t="str">
            <v>C</v>
          </cell>
          <cell r="Q247" t="str">
            <v>B</v>
          </cell>
          <cell r="R247" t="str">
            <v>B</v>
          </cell>
          <cell r="X247">
            <v>55.4</v>
          </cell>
        </row>
        <row r="248">
          <cell r="C248">
            <v>33852673</v>
          </cell>
          <cell r="D248" t="str">
            <v>ТЗОВ "ФАВОРИТ-АГРО"</v>
          </cell>
          <cell r="E248">
            <v>45733</v>
          </cell>
          <cell r="F248">
            <v>45658</v>
          </cell>
          <cell r="G248" t="str">
            <v>E</v>
          </cell>
          <cell r="H248" t="str">
            <v>A</v>
          </cell>
          <cell r="I248" t="str">
            <v>B</v>
          </cell>
          <cell r="J248" t="str">
            <v>B</v>
          </cell>
          <cell r="K248" t="str">
            <v>D</v>
          </cell>
          <cell r="L248" t="str">
            <v>A</v>
          </cell>
          <cell r="M248" t="str">
            <v>A</v>
          </cell>
          <cell r="N248" t="str">
            <v>A</v>
          </cell>
          <cell r="O248" t="str">
            <v>A</v>
          </cell>
          <cell r="P248" t="str">
            <v>C</v>
          </cell>
          <cell r="Q248" t="str">
            <v>B</v>
          </cell>
          <cell r="R248" t="str">
            <v>A</v>
          </cell>
          <cell r="X248">
            <v>61.4</v>
          </cell>
        </row>
        <row r="249">
          <cell r="C249">
            <v>33880538</v>
          </cell>
          <cell r="D249" t="str">
            <v>ТОВ "ДЕ-ЛЮКС"</v>
          </cell>
          <cell r="E249">
            <v>45826.77</v>
          </cell>
          <cell r="F249">
            <v>45658</v>
          </cell>
          <cell r="G249" t="str">
            <v>D</v>
          </cell>
          <cell r="H249" t="str">
            <v>B</v>
          </cell>
          <cell r="I249" t="str">
            <v>B</v>
          </cell>
          <cell r="J249" t="str">
            <v>B</v>
          </cell>
          <cell r="K249" t="str">
            <v>B</v>
          </cell>
          <cell r="L249" t="str">
            <v>B</v>
          </cell>
          <cell r="M249" t="str">
            <v>A</v>
          </cell>
          <cell r="N249" t="str">
            <v>B</v>
          </cell>
          <cell r="O249" t="str">
            <v>A</v>
          </cell>
          <cell r="P249" t="str">
            <v>C</v>
          </cell>
          <cell r="Q249" t="str">
            <v>C</v>
          </cell>
          <cell r="R249" t="str">
            <v>C</v>
          </cell>
          <cell r="X249">
            <v>50.3</v>
          </cell>
        </row>
        <row r="250">
          <cell r="C250">
            <v>33892784</v>
          </cell>
          <cell r="D250" t="str">
            <v>ТОВ "ФАБРИКА БУДІВЕЛЬНИХ СУМІШЕЙ "БУДМАЙСТЕР"</v>
          </cell>
          <cell r="E250">
            <v>45948.830699999999</v>
          </cell>
          <cell r="F250">
            <v>45658</v>
          </cell>
          <cell r="G250" t="str">
            <v>E</v>
          </cell>
          <cell r="H250" t="str">
            <v>B</v>
          </cell>
          <cell r="I250" t="str">
            <v>B</v>
          </cell>
          <cell r="J250" t="str">
            <v>A</v>
          </cell>
          <cell r="K250" t="str">
            <v>D</v>
          </cell>
          <cell r="L250" t="str">
            <v>B</v>
          </cell>
          <cell r="M250" t="str">
            <v>B</v>
          </cell>
          <cell r="N250" t="str">
            <v>B</v>
          </cell>
          <cell r="O250" t="str">
            <v>A</v>
          </cell>
          <cell r="P250" t="str">
            <v>C</v>
          </cell>
          <cell r="Q250" t="str">
            <v>B</v>
          </cell>
          <cell r="R250" t="str">
            <v>A</v>
          </cell>
          <cell r="X250">
            <v>41.7</v>
          </cell>
        </row>
        <row r="251">
          <cell r="C251">
            <v>33894650</v>
          </cell>
          <cell r="D251" t="str">
            <v>ТОВ "ЛІНКС ЛАБОРАТОРІЇ"</v>
          </cell>
          <cell r="E251">
            <v>45898</v>
          </cell>
          <cell r="F251">
            <v>45839</v>
          </cell>
          <cell r="G251" t="str">
            <v>E</v>
          </cell>
          <cell r="H251" t="str">
            <v>C</v>
          </cell>
          <cell r="I251" t="str">
            <v>A</v>
          </cell>
          <cell r="J251" t="str">
            <v>B</v>
          </cell>
          <cell r="K251" t="str">
            <v>D</v>
          </cell>
          <cell r="L251" t="str">
            <v>A</v>
          </cell>
          <cell r="M251" t="str">
            <v>A</v>
          </cell>
          <cell r="N251" t="str">
            <v>A</v>
          </cell>
          <cell r="O251" t="str">
            <v>A</v>
          </cell>
          <cell r="P251" t="str">
            <v>C</v>
          </cell>
          <cell r="Q251" t="str">
            <v>B</v>
          </cell>
          <cell r="R251" t="str">
            <v>C</v>
          </cell>
          <cell r="X251">
            <v>47</v>
          </cell>
        </row>
        <row r="252">
          <cell r="C252">
            <v>33897028</v>
          </cell>
          <cell r="D252" t="str">
            <v>ТОВ "Тек-Транс"</v>
          </cell>
          <cell r="E252">
            <v>45861.418100000003</v>
          </cell>
          <cell r="F252">
            <v>45748</v>
          </cell>
          <cell r="G252" t="str">
            <v>E</v>
          </cell>
          <cell r="H252" t="str">
            <v>B</v>
          </cell>
          <cell r="I252" t="str">
            <v>B</v>
          </cell>
          <cell r="J252" t="str">
            <v>C</v>
          </cell>
          <cell r="K252" t="str">
            <v>D</v>
          </cell>
          <cell r="L252" t="str">
            <v>A</v>
          </cell>
          <cell r="M252" t="str">
            <v>A</v>
          </cell>
          <cell r="N252" t="str">
            <v>B</v>
          </cell>
          <cell r="O252" t="str">
            <v>B</v>
          </cell>
          <cell r="P252" t="str">
            <v>C</v>
          </cell>
          <cell r="Q252" t="str">
            <v>B</v>
          </cell>
          <cell r="R252" t="str">
            <v>C</v>
          </cell>
          <cell r="X252">
            <v>48.900000000000006</v>
          </cell>
        </row>
        <row r="253">
          <cell r="C253">
            <v>33981905</v>
          </cell>
          <cell r="D253" t="str">
            <v>ТОВ "Видавництво Старого Лева"</v>
          </cell>
          <cell r="E253">
            <v>45834.4179</v>
          </cell>
          <cell r="F253">
            <v>45748</v>
          </cell>
          <cell r="G253" t="str">
            <v>D</v>
          </cell>
          <cell r="H253" t="str">
            <v>B</v>
          </cell>
          <cell r="I253" t="str">
            <v>C</v>
          </cell>
          <cell r="J253" t="str">
            <v>A</v>
          </cell>
          <cell r="K253" t="str">
            <v>C</v>
          </cell>
          <cell r="L253" t="str">
            <v>A</v>
          </cell>
          <cell r="M253" t="str">
            <v>A</v>
          </cell>
          <cell r="N253" t="str">
            <v>A</v>
          </cell>
          <cell r="O253" t="str">
            <v>A</v>
          </cell>
          <cell r="P253" t="str">
            <v>C</v>
          </cell>
          <cell r="Q253" t="str">
            <v>B</v>
          </cell>
          <cell r="R253" t="str">
            <v>A</v>
          </cell>
          <cell r="X253">
            <v>54.6</v>
          </cell>
        </row>
        <row r="254">
          <cell r="C254">
            <v>33992917</v>
          </cell>
          <cell r="D254" t="str">
            <v>ТОВ"ТЕРВІКНОПЛАСТ"</v>
          </cell>
          <cell r="E254">
            <v>45645.4303</v>
          </cell>
          <cell r="F254">
            <v>45566</v>
          </cell>
          <cell r="G254" t="str">
            <v>D</v>
          </cell>
          <cell r="H254" t="str">
            <v>B</v>
          </cell>
          <cell r="I254" t="str">
            <v>B</v>
          </cell>
          <cell r="J254" t="str">
            <v>C</v>
          </cell>
          <cell r="K254" t="str">
            <v>E</v>
          </cell>
          <cell r="L254" t="str">
            <v>A</v>
          </cell>
          <cell r="M254" t="str">
            <v>A</v>
          </cell>
          <cell r="N254" t="str">
            <v>A</v>
          </cell>
          <cell r="O254" t="str">
            <v>A</v>
          </cell>
          <cell r="P254" t="str">
            <v>C</v>
          </cell>
          <cell r="Q254" t="str">
            <v>B</v>
          </cell>
          <cell r="R254" t="str">
            <v>A</v>
          </cell>
          <cell r="X254">
            <v>64.2</v>
          </cell>
        </row>
        <row r="255">
          <cell r="C255">
            <v>34048360</v>
          </cell>
          <cell r="D255" t="str">
            <v>ТОВ "ФАРМАСТОР"</v>
          </cell>
          <cell r="E255">
            <v>45674.788399999998</v>
          </cell>
          <cell r="F255">
            <v>45566</v>
          </cell>
          <cell r="G255" t="str">
            <v>B</v>
          </cell>
          <cell r="H255" t="str">
            <v>A</v>
          </cell>
          <cell r="I255" t="str">
            <v>B</v>
          </cell>
          <cell r="J255" t="str">
            <v>B</v>
          </cell>
          <cell r="K255" t="str">
            <v>C</v>
          </cell>
          <cell r="L255" t="str">
            <v>A</v>
          </cell>
          <cell r="M255" t="str">
            <v>A</v>
          </cell>
          <cell r="N255" t="str">
            <v>A</v>
          </cell>
          <cell r="O255" t="str">
            <v>B</v>
          </cell>
          <cell r="P255" t="str">
            <v>C</v>
          </cell>
          <cell r="Q255" t="str">
            <v>B</v>
          </cell>
          <cell r="R255" t="str">
            <v>B</v>
          </cell>
          <cell r="X255">
            <v>65</v>
          </cell>
        </row>
        <row r="256">
          <cell r="C256">
            <v>34063587</v>
          </cell>
          <cell r="D256" t="str">
            <v>ТОВ "АГРО КМР"</v>
          </cell>
          <cell r="E256">
            <v>45665.607799999998</v>
          </cell>
          <cell r="F256">
            <v>45566</v>
          </cell>
          <cell r="G256" t="str">
            <v>E</v>
          </cell>
          <cell r="H256" t="str">
            <v>B</v>
          </cell>
          <cell r="I256" t="str">
            <v>B</v>
          </cell>
          <cell r="J256" t="str">
            <v>B</v>
          </cell>
          <cell r="K256" t="str">
            <v>D</v>
          </cell>
          <cell r="L256" t="str">
            <v>A</v>
          </cell>
          <cell r="M256" t="str">
            <v>B</v>
          </cell>
          <cell r="N256" t="str">
            <v>B</v>
          </cell>
          <cell r="O256" t="str">
            <v>A</v>
          </cell>
          <cell r="P256" t="str">
            <v>C</v>
          </cell>
          <cell r="Q256" t="str">
            <v>B</v>
          </cell>
          <cell r="R256" t="str">
            <v>A</v>
          </cell>
          <cell r="X256">
            <v>49.300000000000004</v>
          </cell>
        </row>
        <row r="257">
          <cell r="C257">
            <v>34124403</v>
          </cell>
          <cell r="D257" t="str">
            <v>ТОВ "НІКОПРОГРЕСБУД"</v>
          </cell>
          <cell r="E257">
            <v>45655.584999999999</v>
          </cell>
          <cell r="F257">
            <v>45474</v>
          </cell>
          <cell r="G257" t="str">
            <v>E</v>
          </cell>
          <cell r="H257" t="str">
            <v>B</v>
          </cell>
          <cell r="I257" t="str">
            <v>B</v>
          </cell>
          <cell r="J257" t="str">
            <v>B</v>
          </cell>
          <cell r="K257" t="str">
            <v>D</v>
          </cell>
          <cell r="L257" t="str">
            <v>B</v>
          </cell>
          <cell r="M257" t="str">
            <v>E</v>
          </cell>
          <cell r="N257" t="str">
            <v>C</v>
          </cell>
          <cell r="O257" t="str">
            <v>A</v>
          </cell>
          <cell r="P257" t="str">
            <v>C</v>
          </cell>
          <cell r="Q257" t="str">
            <v>D</v>
          </cell>
          <cell r="R257" t="str">
            <v>C</v>
          </cell>
          <cell r="X257">
            <v>31.8</v>
          </cell>
        </row>
        <row r="258">
          <cell r="C258">
            <v>34201058</v>
          </cell>
          <cell r="D258" t="str">
            <v>ТОВ "НИВА-Н"</v>
          </cell>
          <cell r="E258">
            <v>45736.444600000003</v>
          </cell>
          <cell r="F258">
            <v>45566</v>
          </cell>
          <cell r="G258" t="str">
            <v>D</v>
          </cell>
          <cell r="H258" t="str">
            <v>C</v>
          </cell>
          <cell r="I258" t="str">
            <v>D</v>
          </cell>
          <cell r="J258" t="str">
            <v>D</v>
          </cell>
          <cell r="K258" t="str">
            <v>D</v>
          </cell>
          <cell r="L258" t="str">
            <v>A</v>
          </cell>
          <cell r="M258" t="str">
            <v>C</v>
          </cell>
          <cell r="N258" t="str">
            <v>B</v>
          </cell>
          <cell r="O258" t="str">
            <v>B</v>
          </cell>
          <cell r="P258" t="str">
            <v>C</v>
          </cell>
          <cell r="Q258" t="str">
            <v>C</v>
          </cell>
          <cell r="R258" t="str">
            <v>A</v>
          </cell>
          <cell r="X258">
            <v>43.099999999999987</v>
          </cell>
        </row>
        <row r="259">
          <cell r="C259">
            <v>34264631</v>
          </cell>
          <cell r="D259" t="str">
            <v>ТОВ "РАЙЗ ПІВНІЧ"</v>
          </cell>
          <cell r="E259">
            <v>45902.750800000002</v>
          </cell>
          <cell r="F259">
            <v>45658</v>
          </cell>
          <cell r="G259" t="str">
            <v>D</v>
          </cell>
          <cell r="H259" t="str">
            <v>B</v>
          </cell>
          <cell r="I259" t="str">
            <v>B</v>
          </cell>
          <cell r="J259" t="str">
            <v>C</v>
          </cell>
          <cell r="K259" t="str">
            <v>E</v>
          </cell>
          <cell r="L259" t="str">
            <v>B</v>
          </cell>
          <cell r="M259" t="str">
            <v>B</v>
          </cell>
          <cell r="N259" t="str">
            <v>D</v>
          </cell>
          <cell r="O259" t="str">
            <v>B</v>
          </cell>
          <cell r="P259" t="str">
            <v>C</v>
          </cell>
          <cell r="Q259" t="str">
            <v>C</v>
          </cell>
          <cell r="R259" t="str">
            <v>A</v>
          </cell>
          <cell r="X259">
            <v>41.6</v>
          </cell>
        </row>
        <row r="260">
          <cell r="C260">
            <v>34288102</v>
          </cell>
          <cell r="D260" t="str">
            <v>ТОВ "ЄВРОБЕТОН"</v>
          </cell>
          <cell r="E260">
            <v>45573.7</v>
          </cell>
          <cell r="F260">
            <v>45474</v>
          </cell>
          <cell r="G260" t="str">
            <v>E</v>
          </cell>
          <cell r="H260" t="str">
            <v>B</v>
          </cell>
          <cell r="I260" t="str">
            <v>B</v>
          </cell>
          <cell r="J260" t="str">
            <v>C</v>
          </cell>
          <cell r="K260" t="str">
            <v>D</v>
          </cell>
          <cell r="L260" t="str">
            <v>B</v>
          </cell>
          <cell r="M260" t="str">
            <v>A</v>
          </cell>
          <cell r="N260" t="str">
            <v>C</v>
          </cell>
          <cell r="O260" t="str">
            <v>A</v>
          </cell>
          <cell r="P260" t="str">
            <v>C</v>
          </cell>
          <cell r="Q260" t="str">
            <v>B</v>
          </cell>
          <cell r="R260" t="str">
            <v>B</v>
          </cell>
          <cell r="X260">
            <v>48.6</v>
          </cell>
        </row>
        <row r="261">
          <cell r="C261">
            <v>34350636</v>
          </cell>
          <cell r="D261" t="str">
            <v>ТОВ "ВАРТІС"</v>
          </cell>
          <cell r="E261">
            <v>45845.4764</v>
          </cell>
          <cell r="F261">
            <v>45748</v>
          </cell>
          <cell r="G261" t="str">
            <v>C</v>
          </cell>
          <cell r="H261" t="str">
            <v>C</v>
          </cell>
          <cell r="I261" t="str">
            <v>A</v>
          </cell>
          <cell r="J261" t="str">
            <v>C</v>
          </cell>
          <cell r="K261" t="str">
            <v>E</v>
          </cell>
          <cell r="L261" t="str">
            <v>B</v>
          </cell>
          <cell r="M261" t="str">
            <v>A</v>
          </cell>
          <cell r="N261" t="str">
            <v>B</v>
          </cell>
          <cell r="O261" t="str">
            <v>A</v>
          </cell>
          <cell r="P261" t="str">
            <v>C</v>
          </cell>
          <cell r="Q261" t="str">
            <v>B</v>
          </cell>
          <cell r="R261" t="str">
            <v>C</v>
          </cell>
          <cell r="X261">
            <v>44.5</v>
          </cell>
        </row>
        <row r="262">
          <cell r="C262">
            <v>34365050</v>
          </cell>
          <cell r="D262" t="str">
            <v>ТОВ "НВО "АВІААГРЕГАТ"</v>
          </cell>
          <cell r="E262">
            <v>45798.522900000004</v>
          </cell>
          <cell r="F262">
            <v>45658</v>
          </cell>
          <cell r="G262" t="str">
            <v>E</v>
          </cell>
          <cell r="H262" t="str">
            <v>B</v>
          </cell>
          <cell r="I262" t="str">
            <v>B</v>
          </cell>
          <cell r="J262" t="str">
            <v>C</v>
          </cell>
          <cell r="K262" t="str">
            <v>A</v>
          </cell>
          <cell r="L262" t="str">
            <v>B</v>
          </cell>
          <cell r="M262" t="str">
            <v>C</v>
          </cell>
          <cell r="N262" t="str">
            <v>B</v>
          </cell>
          <cell r="O262" t="str">
            <v>A</v>
          </cell>
          <cell r="P262" t="str">
            <v>C</v>
          </cell>
          <cell r="Q262" t="str">
            <v>C</v>
          </cell>
          <cell r="R262" t="str">
            <v>B</v>
          </cell>
          <cell r="X262">
            <v>45.499999999999993</v>
          </cell>
        </row>
        <row r="263">
          <cell r="C263">
            <v>34392042</v>
          </cell>
          <cell r="D263" t="str">
            <v>ТОВ "ОВІС ТРЕЙД"</v>
          </cell>
          <cell r="E263">
            <v>45833.661099999998</v>
          </cell>
          <cell r="F263">
            <v>45748</v>
          </cell>
          <cell r="G263" t="str">
            <v>E</v>
          </cell>
          <cell r="H263" t="str">
            <v>B</v>
          </cell>
          <cell r="I263" t="str">
            <v>A</v>
          </cell>
          <cell r="J263" t="str">
            <v>C</v>
          </cell>
          <cell r="K263" t="str">
            <v>A</v>
          </cell>
          <cell r="L263" t="str">
            <v>B</v>
          </cell>
          <cell r="M263" t="str">
            <v>B</v>
          </cell>
          <cell r="N263" t="str">
            <v>B</v>
          </cell>
          <cell r="O263" t="str">
            <v>B</v>
          </cell>
          <cell r="P263" t="str">
            <v>C</v>
          </cell>
          <cell r="Q263" t="str">
            <v>B</v>
          </cell>
          <cell r="R263" t="str">
            <v>B</v>
          </cell>
          <cell r="X263">
            <v>40.5</v>
          </cell>
        </row>
        <row r="264">
          <cell r="C264">
            <v>34412482</v>
          </cell>
          <cell r="D264" t="str">
            <v>ПП "ТАД"</v>
          </cell>
          <cell r="E264">
            <v>45896.405500000001</v>
          </cell>
          <cell r="F264">
            <v>45839</v>
          </cell>
          <cell r="G264" t="str">
            <v>D</v>
          </cell>
          <cell r="H264" t="str">
            <v>C</v>
          </cell>
          <cell r="I264" t="str">
            <v>D</v>
          </cell>
          <cell r="J264" t="str">
            <v>A</v>
          </cell>
          <cell r="K264" t="str">
            <v>B</v>
          </cell>
          <cell r="L264" t="str">
            <v>A</v>
          </cell>
          <cell r="M264" t="str">
            <v>A</v>
          </cell>
          <cell r="N264" t="str">
            <v>A</v>
          </cell>
          <cell r="O264" t="str">
            <v>A</v>
          </cell>
          <cell r="P264" t="str">
            <v>A</v>
          </cell>
          <cell r="Q264" t="str">
            <v>B</v>
          </cell>
          <cell r="R264" t="str">
            <v>B</v>
          </cell>
          <cell r="X264">
            <v>55.599999999999994</v>
          </cell>
        </row>
        <row r="265">
          <cell r="C265">
            <v>34507118</v>
          </cell>
          <cell r="D265" t="str">
            <v>ТОВ "ТАТРА-ЮГ"</v>
          </cell>
          <cell r="E265">
            <v>45990.688699999999</v>
          </cell>
          <cell r="F265">
            <v>45931</v>
          </cell>
          <cell r="G265" t="str">
            <v>C</v>
          </cell>
          <cell r="H265" t="str">
            <v>C</v>
          </cell>
          <cell r="I265" t="str">
            <v>B</v>
          </cell>
          <cell r="J265" t="str">
            <v>A</v>
          </cell>
          <cell r="K265" t="str">
            <v>D</v>
          </cell>
          <cell r="L265" t="str">
            <v>A</v>
          </cell>
          <cell r="M265" t="str">
            <v>A</v>
          </cell>
          <cell r="N265" t="str">
            <v>A</v>
          </cell>
          <cell r="O265" t="str">
            <v>A</v>
          </cell>
          <cell r="P265" t="str">
            <v>B</v>
          </cell>
          <cell r="Q265" t="str">
            <v>B</v>
          </cell>
          <cell r="R265" t="str">
            <v>A</v>
          </cell>
          <cell r="X265">
            <v>60.400000000000006</v>
          </cell>
        </row>
        <row r="266">
          <cell r="C266">
            <v>34511978</v>
          </cell>
          <cell r="D266" t="str">
            <v>ТОВ "АК АРТ-БУД"</v>
          </cell>
          <cell r="E266">
            <v>45854.425300000003</v>
          </cell>
          <cell r="F266">
            <v>45748</v>
          </cell>
          <cell r="G266" t="str">
            <v>E</v>
          </cell>
          <cell r="H266" t="str">
            <v>B</v>
          </cell>
          <cell r="I266" t="str">
            <v>A</v>
          </cell>
          <cell r="J266" t="str">
            <v>D</v>
          </cell>
          <cell r="K266" t="str">
            <v>D</v>
          </cell>
          <cell r="L266" t="str">
            <v>A</v>
          </cell>
          <cell r="M266" t="str">
            <v>A</v>
          </cell>
          <cell r="N266" t="str">
            <v>B</v>
          </cell>
          <cell r="O266" t="str">
            <v>A</v>
          </cell>
          <cell r="P266" t="str">
            <v>C</v>
          </cell>
          <cell r="Q266" t="str">
            <v>B</v>
          </cell>
          <cell r="R266" t="str">
            <v>B</v>
          </cell>
          <cell r="X266">
            <v>52.900000000000006</v>
          </cell>
        </row>
        <row r="267">
          <cell r="C267">
            <v>34550446</v>
          </cell>
          <cell r="D267" t="str">
            <v>ДП "ІЛЛІЧ-АГРО ДОНБАС"</v>
          </cell>
          <cell r="E267">
            <v>45972</v>
          </cell>
          <cell r="F267">
            <v>45839</v>
          </cell>
          <cell r="G267" t="str">
            <v>E</v>
          </cell>
          <cell r="H267" t="str">
            <v>D</v>
          </cell>
          <cell r="I267" t="str">
            <v>B</v>
          </cell>
          <cell r="J267" t="str">
            <v>D</v>
          </cell>
          <cell r="K267" t="str">
            <v>C</v>
          </cell>
          <cell r="L267" t="str">
            <v>A</v>
          </cell>
          <cell r="M267" t="str">
            <v>C</v>
          </cell>
          <cell r="N267" t="str">
            <v>A</v>
          </cell>
          <cell r="O267" t="str">
            <v>A</v>
          </cell>
          <cell r="P267" t="str">
            <v>C</v>
          </cell>
          <cell r="Q267" t="str">
            <v>B</v>
          </cell>
          <cell r="R267" t="str">
            <v>C</v>
          </cell>
          <cell r="X267">
            <v>47.8</v>
          </cell>
        </row>
        <row r="268">
          <cell r="C268">
            <v>34558382</v>
          </cell>
          <cell r="D268" t="str">
            <v>ТОВ "ТОРГОВИЙ ДІМ ТЕХКОМПЛЕКТ"</v>
          </cell>
          <cell r="E268">
            <v>45804</v>
          </cell>
          <cell r="F268">
            <v>45658</v>
          </cell>
          <cell r="G268" t="str">
            <v>D</v>
          </cell>
          <cell r="H268" t="str">
            <v>B</v>
          </cell>
          <cell r="I268" t="str">
            <v>B</v>
          </cell>
          <cell r="J268" t="str">
            <v>A</v>
          </cell>
          <cell r="K268" t="str">
            <v>B</v>
          </cell>
          <cell r="L268" t="str">
            <v>A</v>
          </cell>
          <cell r="M268" t="str">
            <v>A</v>
          </cell>
          <cell r="N268" t="str">
            <v>B</v>
          </cell>
          <cell r="O268" t="str">
            <v>A</v>
          </cell>
          <cell r="P268" t="str">
            <v>B</v>
          </cell>
          <cell r="Q268" t="str">
            <v>B</v>
          </cell>
          <cell r="R268" t="str">
            <v>B</v>
          </cell>
          <cell r="X268">
            <v>58.300000000000004</v>
          </cell>
        </row>
        <row r="269">
          <cell r="C269">
            <v>34625668</v>
          </cell>
          <cell r="D269" t="str">
            <v>ТОВ "ДОМІНІК 777"</v>
          </cell>
          <cell r="E269">
            <v>45938.906499999997</v>
          </cell>
          <cell r="F269">
            <v>45748</v>
          </cell>
          <cell r="G269" t="str">
            <v>C</v>
          </cell>
          <cell r="H269" t="str">
            <v>B</v>
          </cell>
          <cell r="I269" t="str">
            <v>B</v>
          </cell>
          <cell r="J269" t="str">
            <v>D</v>
          </cell>
          <cell r="K269" t="str">
            <v>B</v>
          </cell>
          <cell r="L269" t="str">
            <v>B</v>
          </cell>
          <cell r="M269" t="str">
            <v>B</v>
          </cell>
          <cell r="N269" t="str">
            <v>A</v>
          </cell>
          <cell r="O269" t="str">
            <v>A</v>
          </cell>
          <cell r="P269" t="str">
            <v>C</v>
          </cell>
          <cell r="Q269" t="str">
            <v>B</v>
          </cell>
          <cell r="R269" t="str">
            <v>B</v>
          </cell>
          <cell r="X269">
            <v>57</v>
          </cell>
        </row>
        <row r="270">
          <cell r="C270">
            <v>34644874</v>
          </cell>
          <cell r="D270" t="str">
            <v>ТОВ "НАВІГАТОР КОМПЛЕКТ"</v>
          </cell>
          <cell r="E270">
            <v>45917</v>
          </cell>
          <cell r="F270">
            <v>45839</v>
          </cell>
          <cell r="G270" t="str">
            <v>E</v>
          </cell>
          <cell r="H270" t="str">
            <v>B</v>
          </cell>
          <cell r="I270" t="str">
            <v>B</v>
          </cell>
          <cell r="J270" t="str">
            <v>A</v>
          </cell>
          <cell r="K270" t="str">
            <v>D</v>
          </cell>
          <cell r="L270" t="str">
            <v>B</v>
          </cell>
          <cell r="M270" t="str">
            <v>A</v>
          </cell>
          <cell r="N270" t="str">
            <v>B</v>
          </cell>
          <cell r="O270" t="str">
            <v>B</v>
          </cell>
          <cell r="P270" t="str">
            <v>C</v>
          </cell>
          <cell r="Q270" t="str">
            <v>B</v>
          </cell>
          <cell r="R270" t="str">
            <v>A</v>
          </cell>
          <cell r="X270">
            <v>44.5</v>
          </cell>
        </row>
        <row r="271">
          <cell r="C271">
            <v>34689831</v>
          </cell>
          <cell r="D271" t="str">
            <v>ТОВ "ГЯДТ АГРО"</v>
          </cell>
          <cell r="E271">
            <v>45693.443700000003</v>
          </cell>
          <cell r="F271">
            <v>45474</v>
          </cell>
          <cell r="G271" t="str">
            <v>E</v>
          </cell>
          <cell r="H271" t="str">
            <v>B</v>
          </cell>
          <cell r="I271" t="str">
            <v>C</v>
          </cell>
          <cell r="J271" t="str">
            <v>C</v>
          </cell>
          <cell r="K271" t="str">
            <v>D</v>
          </cell>
          <cell r="L271" t="str">
            <v>A</v>
          </cell>
          <cell r="M271" t="str">
            <v>A</v>
          </cell>
          <cell r="N271" t="str">
            <v>B</v>
          </cell>
          <cell r="O271" t="str">
            <v>A</v>
          </cell>
          <cell r="P271" t="str">
            <v>B</v>
          </cell>
          <cell r="Q271" t="str">
            <v>B</v>
          </cell>
          <cell r="R271" t="str">
            <v>C</v>
          </cell>
          <cell r="X271">
            <v>46.300000000000004</v>
          </cell>
        </row>
        <row r="272">
          <cell r="C272">
            <v>34713900</v>
          </cell>
          <cell r="D272" t="str">
            <v>ПрАТ "КОМПАС ДЕВЕЛОПМЕНТ"</v>
          </cell>
          <cell r="E272">
            <v>45561.644099999998</v>
          </cell>
          <cell r="F272">
            <v>45474</v>
          </cell>
          <cell r="G272" t="str">
            <v>E</v>
          </cell>
          <cell r="H272" t="str">
            <v>C</v>
          </cell>
          <cell r="I272" t="str">
            <v>B</v>
          </cell>
          <cell r="J272" t="str">
            <v>A</v>
          </cell>
          <cell r="K272" t="str">
            <v>D</v>
          </cell>
          <cell r="L272" t="str">
            <v>B</v>
          </cell>
          <cell r="M272" t="str">
            <v>A</v>
          </cell>
          <cell r="N272" t="str">
            <v>A</v>
          </cell>
          <cell r="O272" t="str">
            <v>A</v>
          </cell>
          <cell r="P272" t="str">
            <v>A</v>
          </cell>
          <cell r="Q272" t="str">
            <v>B</v>
          </cell>
          <cell r="R272" t="str">
            <v>A</v>
          </cell>
          <cell r="X272">
            <v>54</v>
          </cell>
        </row>
        <row r="273">
          <cell r="C273">
            <v>34727688</v>
          </cell>
          <cell r="D273" t="str">
            <v>ТОВ "СЛ ДИСТРИБЬЮШН"</v>
          </cell>
          <cell r="E273">
            <v>45674.584699999999</v>
          </cell>
          <cell r="F273">
            <v>45566</v>
          </cell>
          <cell r="G273" t="str">
            <v>D</v>
          </cell>
          <cell r="H273" t="str">
            <v>B</v>
          </cell>
          <cell r="I273" t="str">
            <v>B</v>
          </cell>
          <cell r="J273" t="str">
            <v>A</v>
          </cell>
          <cell r="K273" t="str">
            <v>D</v>
          </cell>
          <cell r="L273" t="str">
            <v>B</v>
          </cell>
          <cell r="M273" t="str">
            <v>A</v>
          </cell>
          <cell r="N273" t="str">
            <v>B</v>
          </cell>
          <cell r="O273" t="str">
            <v>B</v>
          </cell>
          <cell r="P273" t="str">
            <v>C</v>
          </cell>
          <cell r="Q273" t="str">
            <v>B</v>
          </cell>
          <cell r="R273" t="str">
            <v>C</v>
          </cell>
          <cell r="X273">
            <v>42.1</v>
          </cell>
        </row>
        <row r="274">
          <cell r="C274">
            <v>34810697</v>
          </cell>
          <cell r="D274" t="str">
            <v>ТОВ "Торговий дім "Дівес"</v>
          </cell>
          <cell r="E274">
            <v>45722.548900000002</v>
          </cell>
          <cell r="F274">
            <v>45566</v>
          </cell>
          <cell r="G274" t="str">
            <v>E</v>
          </cell>
          <cell r="H274" t="str">
            <v>B</v>
          </cell>
          <cell r="I274" t="str">
            <v>B</v>
          </cell>
          <cell r="J274" t="str">
            <v>D</v>
          </cell>
          <cell r="K274" t="str">
            <v>D</v>
          </cell>
          <cell r="L274" t="str">
            <v>B</v>
          </cell>
          <cell r="M274" t="str">
            <v>C</v>
          </cell>
          <cell r="N274" t="str">
            <v>A</v>
          </cell>
          <cell r="O274" t="str">
            <v>A</v>
          </cell>
          <cell r="P274" t="str">
            <v>C</v>
          </cell>
          <cell r="Q274" t="str">
            <v>B</v>
          </cell>
          <cell r="R274" t="str">
            <v>A</v>
          </cell>
          <cell r="X274">
            <v>51.8</v>
          </cell>
        </row>
        <row r="275">
          <cell r="C275">
            <v>34869777</v>
          </cell>
          <cell r="D275" t="str">
            <v>ТОВ " АГРОФІРМА П'ЯТИХАТСЬКА "</v>
          </cell>
          <cell r="E275">
            <v>45743.724199999997</v>
          </cell>
          <cell r="F275">
            <v>45658</v>
          </cell>
          <cell r="G275" t="str">
            <v>E</v>
          </cell>
          <cell r="H275" t="str">
            <v>A</v>
          </cell>
          <cell r="I275" t="str">
            <v>B</v>
          </cell>
          <cell r="J275" t="str">
            <v>D</v>
          </cell>
          <cell r="K275" t="str">
            <v>D</v>
          </cell>
          <cell r="L275" t="str">
            <v>B</v>
          </cell>
          <cell r="M275" t="str">
            <v>A</v>
          </cell>
          <cell r="N275" t="str">
            <v>B</v>
          </cell>
          <cell r="O275" t="str">
            <v>A</v>
          </cell>
          <cell r="P275" t="str">
            <v>C</v>
          </cell>
          <cell r="Q275" t="str">
            <v>C</v>
          </cell>
          <cell r="R275" t="str">
            <v>A</v>
          </cell>
          <cell r="X275">
            <v>56.699999999999996</v>
          </cell>
        </row>
        <row r="276">
          <cell r="C276">
            <v>34878603</v>
          </cell>
          <cell r="D276" t="str">
            <v>ФГ "НАТОН"</v>
          </cell>
          <cell r="E276">
            <v>45705.498099999997</v>
          </cell>
          <cell r="F276">
            <v>45566</v>
          </cell>
          <cell r="G276" t="str">
            <v>E</v>
          </cell>
          <cell r="H276" t="str">
            <v>C</v>
          </cell>
          <cell r="I276" t="str">
            <v>B</v>
          </cell>
          <cell r="J276" t="str">
            <v>C</v>
          </cell>
          <cell r="K276" t="str">
            <v>D</v>
          </cell>
          <cell r="L276" t="str">
            <v>B</v>
          </cell>
          <cell r="M276" t="str">
            <v>B</v>
          </cell>
          <cell r="N276" t="str">
            <v>C</v>
          </cell>
          <cell r="O276" t="str">
            <v>A</v>
          </cell>
          <cell r="P276" t="str">
            <v>C</v>
          </cell>
          <cell r="Q276" t="str">
            <v>C</v>
          </cell>
          <cell r="R276" t="str">
            <v>C</v>
          </cell>
          <cell r="X276">
            <v>36.399999999999991</v>
          </cell>
        </row>
        <row r="277">
          <cell r="C277">
            <v>34925417</v>
          </cell>
          <cell r="D277" t="str">
            <v>ТОВ "ТК КАРАТ"</v>
          </cell>
          <cell r="E277">
            <v>45901.486400000002</v>
          </cell>
          <cell r="F277">
            <v>45839</v>
          </cell>
          <cell r="G277" t="str">
            <v>E</v>
          </cell>
          <cell r="H277" t="str">
            <v>B</v>
          </cell>
          <cell r="I277" t="str">
            <v>B</v>
          </cell>
          <cell r="J277" t="str">
            <v>B</v>
          </cell>
          <cell r="K277" t="str">
            <v>C</v>
          </cell>
          <cell r="L277" t="str">
            <v>B</v>
          </cell>
          <cell r="M277" t="str">
            <v>A</v>
          </cell>
          <cell r="N277" t="str">
            <v>B</v>
          </cell>
          <cell r="O277" t="str">
            <v>A</v>
          </cell>
          <cell r="P277" t="str">
            <v>C</v>
          </cell>
          <cell r="Q277" t="str">
            <v>B</v>
          </cell>
          <cell r="R277" t="str">
            <v>A</v>
          </cell>
          <cell r="X277">
            <v>53.7</v>
          </cell>
        </row>
        <row r="278">
          <cell r="C278">
            <v>34986223</v>
          </cell>
          <cell r="D278" t="str">
            <v>ТОВ "АЗИМУТ-ТРЕЙД"</v>
          </cell>
          <cell r="E278">
            <v>45519.709300000002</v>
          </cell>
          <cell r="F278">
            <v>45474</v>
          </cell>
          <cell r="G278" t="str">
            <v>E</v>
          </cell>
          <cell r="H278" t="str">
            <v>A</v>
          </cell>
          <cell r="I278" t="str">
            <v>B</v>
          </cell>
          <cell r="J278" t="str">
            <v>B</v>
          </cell>
          <cell r="K278" t="str">
            <v>B</v>
          </cell>
          <cell r="L278" t="str">
            <v>A</v>
          </cell>
          <cell r="M278" t="str">
            <v>A</v>
          </cell>
          <cell r="N278" t="str">
            <v>B</v>
          </cell>
          <cell r="O278" t="str">
            <v>A</v>
          </cell>
          <cell r="P278" t="str">
            <v>C</v>
          </cell>
          <cell r="Q278" t="str">
            <v>B</v>
          </cell>
          <cell r="R278" t="str">
            <v>A</v>
          </cell>
          <cell r="X278">
            <v>61.7</v>
          </cell>
        </row>
        <row r="279">
          <cell r="C279">
            <v>34989842</v>
          </cell>
          <cell r="D279" t="str">
            <v>ТОВ  "СОЮЗ МАРКЕТ"</v>
          </cell>
          <cell r="E279">
            <v>45657.491099999999</v>
          </cell>
          <cell r="F279">
            <v>45566</v>
          </cell>
          <cell r="G279" t="str">
            <v>E</v>
          </cell>
          <cell r="H279" t="str">
            <v>A</v>
          </cell>
          <cell r="I279" t="str">
            <v>B</v>
          </cell>
          <cell r="J279" t="str">
            <v>A</v>
          </cell>
          <cell r="K279" t="str">
            <v>D</v>
          </cell>
          <cell r="L279" t="str">
            <v>A</v>
          </cell>
          <cell r="M279" t="str">
            <v>A</v>
          </cell>
          <cell r="N279" t="str">
            <v>B</v>
          </cell>
          <cell r="O279" t="str">
            <v>B</v>
          </cell>
          <cell r="P279" t="str">
            <v>A</v>
          </cell>
          <cell r="Q279" t="str">
            <v>B</v>
          </cell>
          <cell r="R279" t="str">
            <v>A</v>
          </cell>
          <cell r="X279">
            <v>55.900000000000006</v>
          </cell>
        </row>
        <row r="280">
          <cell r="C280">
            <v>34996776</v>
          </cell>
          <cell r="D280" t="str">
            <v>ТОВ "ГІДРОСЕНД"</v>
          </cell>
          <cell r="E280">
            <v>45866.767399999997</v>
          </cell>
          <cell r="F280">
            <v>45748</v>
          </cell>
          <cell r="G280" t="str">
            <v>D</v>
          </cell>
          <cell r="H280" t="str">
            <v>B</v>
          </cell>
          <cell r="I280" t="str">
            <v>B</v>
          </cell>
          <cell r="J280" t="str">
            <v>B</v>
          </cell>
          <cell r="K280" t="str">
            <v>D</v>
          </cell>
          <cell r="L280" t="str">
            <v>A</v>
          </cell>
          <cell r="M280" t="str">
            <v>A</v>
          </cell>
          <cell r="N280" t="str">
            <v>B</v>
          </cell>
          <cell r="O280" t="str">
            <v>B</v>
          </cell>
          <cell r="P280" t="str">
            <v>B</v>
          </cell>
          <cell r="Q280" t="str">
            <v>B</v>
          </cell>
          <cell r="R280" t="str">
            <v>A</v>
          </cell>
          <cell r="X280">
            <v>57.500000000000007</v>
          </cell>
        </row>
        <row r="281">
          <cell r="C281">
            <v>35007717</v>
          </cell>
          <cell r="D281" t="str">
            <v>ТОВ  "ЗАММЛЕР УКРАЇНА"</v>
          </cell>
          <cell r="E281">
            <v>45782.438000000002</v>
          </cell>
          <cell r="F281">
            <v>45658</v>
          </cell>
          <cell r="G281" t="str">
            <v>E</v>
          </cell>
          <cell r="H281" t="str">
            <v>B</v>
          </cell>
          <cell r="I281" t="str">
            <v>A</v>
          </cell>
          <cell r="J281" t="str">
            <v>A</v>
          </cell>
          <cell r="K281" t="str">
            <v>C</v>
          </cell>
          <cell r="L281" t="str">
            <v>A</v>
          </cell>
          <cell r="M281" t="str">
            <v>A</v>
          </cell>
          <cell r="N281" t="str">
            <v>B</v>
          </cell>
          <cell r="O281" t="str">
            <v>A</v>
          </cell>
          <cell r="P281" t="str">
            <v>C</v>
          </cell>
          <cell r="Q281" t="str">
            <v>B</v>
          </cell>
          <cell r="R281" t="str">
            <v>A</v>
          </cell>
          <cell r="X281">
            <v>51.300000000000004</v>
          </cell>
        </row>
        <row r="282">
          <cell r="C282">
            <v>35013851</v>
          </cell>
          <cell r="D282" t="str">
            <v>ТОВ "НКЗ"</v>
          </cell>
          <cell r="E282">
            <v>45840.463900000002</v>
          </cell>
          <cell r="F282">
            <v>45658</v>
          </cell>
          <cell r="G282" t="str">
            <v>C</v>
          </cell>
          <cell r="H282" t="str">
            <v>D</v>
          </cell>
          <cell r="I282" t="str">
            <v>D</v>
          </cell>
          <cell r="J282" t="str">
            <v>D</v>
          </cell>
          <cell r="K282" t="str">
            <v>C</v>
          </cell>
          <cell r="L282" t="str">
            <v>A</v>
          </cell>
          <cell r="M282" t="str">
            <v>B</v>
          </cell>
          <cell r="N282" t="str">
            <v>A</v>
          </cell>
          <cell r="O282" t="str">
            <v>A</v>
          </cell>
          <cell r="P282" t="str">
            <v>A</v>
          </cell>
          <cell r="Q282" t="str">
            <v>B</v>
          </cell>
          <cell r="R282" t="str">
            <v>A</v>
          </cell>
          <cell r="X282">
            <v>56.4</v>
          </cell>
        </row>
        <row r="283">
          <cell r="C283">
            <v>35013914</v>
          </cell>
          <cell r="D283" t="str">
            <v>ТОВ"ЗОЛОТИЙ ЛАН-Н"</v>
          </cell>
          <cell r="E283">
            <v>45902.750800000002</v>
          </cell>
          <cell r="F283">
            <v>45658</v>
          </cell>
          <cell r="G283" t="str">
            <v>D</v>
          </cell>
          <cell r="H283" t="str">
            <v>B</v>
          </cell>
          <cell r="I283" t="str">
            <v>B</v>
          </cell>
          <cell r="J283" t="str">
            <v>C</v>
          </cell>
          <cell r="K283" t="str">
            <v>E</v>
          </cell>
          <cell r="L283" t="str">
            <v>B</v>
          </cell>
          <cell r="M283" t="str">
            <v>B</v>
          </cell>
          <cell r="N283" t="str">
            <v>D</v>
          </cell>
          <cell r="O283" t="str">
            <v>B</v>
          </cell>
          <cell r="P283" t="str">
            <v>C</v>
          </cell>
          <cell r="Q283" t="str">
            <v>C</v>
          </cell>
          <cell r="R283" t="str">
            <v>A</v>
          </cell>
          <cell r="X283">
            <v>41.6</v>
          </cell>
        </row>
        <row r="284">
          <cell r="C284">
            <v>35027361</v>
          </cell>
          <cell r="D284" t="str">
            <v>ТОВ "ОРІЛЬКАЛАТІНВЕСТ"</v>
          </cell>
          <cell r="E284">
            <v>45832.652300000002</v>
          </cell>
          <cell r="F284">
            <v>45658</v>
          </cell>
          <cell r="G284" t="str">
            <v>E</v>
          </cell>
          <cell r="H284" t="str">
            <v>A</v>
          </cell>
          <cell r="I284" t="str">
            <v>B</v>
          </cell>
          <cell r="J284" t="str">
            <v>B</v>
          </cell>
          <cell r="K284" t="str">
            <v>D</v>
          </cell>
          <cell r="L284" t="str">
            <v>B</v>
          </cell>
          <cell r="M284" t="str">
            <v>A</v>
          </cell>
          <cell r="N284" t="str">
            <v>B</v>
          </cell>
          <cell r="O284" t="str">
            <v>A</v>
          </cell>
          <cell r="P284" t="str">
            <v>C</v>
          </cell>
          <cell r="Q284" t="str">
            <v>C</v>
          </cell>
          <cell r="R284" t="str">
            <v>A</v>
          </cell>
          <cell r="X284">
            <v>51.5</v>
          </cell>
        </row>
        <row r="285">
          <cell r="C285">
            <v>35097580</v>
          </cell>
          <cell r="D285" t="str">
            <v>ТОВ "Спецагропроект"</v>
          </cell>
          <cell r="E285">
            <v>45902.750800000002</v>
          </cell>
          <cell r="F285">
            <v>45658</v>
          </cell>
          <cell r="G285" t="str">
            <v>D</v>
          </cell>
          <cell r="H285" t="str">
            <v>B</v>
          </cell>
          <cell r="I285" t="str">
            <v>B</v>
          </cell>
          <cell r="J285" t="str">
            <v>C</v>
          </cell>
          <cell r="K285" t="str">
            <v>E</v>
          </cell>
          <cell r="L285" t="str">
            <v>B</v>
          </cell>
          <cell r="M285" t="str">
            <v>B</v>
          </cell>
          <cell r="N285" t="str">
            <v>D</v>
          </cell>
          <cell r="O285" t="str">
            <v>B</v>
          </cell>
          <cell r="P285" t="str">
            <v>C</v>
          </cell>
          <cell r="Q285" t="str">
            <v>C</v>
          </cell>
          <cell r="R285" t="str">
            <v>A</v>
          </cell>
          <cell r="X285">
            <v>41.6</v>
          </cell>
        </row>
        <row r="286">
          <cell r="C286">
            <v>35124850</v>
          </cell>
          <cell r="D286" t="str">
            <v>ТОВ "ПУХІВСЬКИЙ ВЕНТИЛЯЦІЙНИЙ ЗАВОД"</v>
          </cell>
          <cell r="E286">
            <v>45559.758699999998</v>
          </cell>
          <cell r="F286">
            <v>45474</v>
          </cell>
          <cell r="G286" t="str">
            <v>E</v>
          </cell>
          <cell r="H286" t="str">
            <v>C</v>
          </cell>
          <cell r="I286" t="str">
            <v>B</v>
          </cell>
          <cell r="J286" t="str">
            <v>A</v>
          </cell>
          <cell r="K286" t="str">
            <v>D</v>
          </cell>
          <cell r="L286" t="str">
            <v>B</v>
          </cell>
          <cell r="M286" t="str">
            <v>A</v>
          </cell>
          <cell r="N286" t="str">
            <v>A</v>
          </cell>
          <cell r="O286" t="str">
            <v>A</v>
          </cell>
          <cell r="P286" t="str">
            <v>A</v>
          </cell>
          <cell r="Q286" t="str">
            <v>B</v>
          </cell>
          <cell r="R286" t="str">
            <v>A</v>
          </cell>
          <cell r="X286">
            <v>54</v>
          </cell>
        </row>
        <row r="287">
          <cell r="C287">
            <v>35173399</v>
          </cell>
          <cell r="D287" t="str">
            <v>ТОВ "АГРАРНА ПЕРСПЕКТИВА"</v>
          </cell>
          <cell r="E287">
            <v>45902.750800000002</v>
          </cell>
          <cell r="F287">
            <v>45658</v>
          </cell>
          <cell r="G287" t="str">
            <v>D</v>
          </cell>
          <cell r="H287" t="str">
            <v>B</v>
          </cell>
          <cell r="I287" t="str">
            <v>B</v>
          </cell>
          <cell r="J287" t="str">
            <v>C</v>
          </cell>
          <cell r="K287" t="str">
            <v>E</v>
          </cell>
          <cell r="L287" t="str">
            <v>B</v>
          </cell>
          <cell r="M287" t="str">
            <v>B</v>
          </cell>
          <cell r="N287" t="str">
            <v>D</v>
          </cell>
          <cell r="O287" t="str">
            <v>B</v>
          </cell>
          <cell r="P287" t="str">
            <v>C</v>
          </cell>
          <cell r="Q287" t="str">
            <v>C</v>
          </cell>
          <cell r="R287" t="str">
            <v>A</v>
          </cell>
          <cell r="X287">
            <v>41.6</v>
          </cell>
        </row>
        <row r="288">
          <cell r="C288">
            <v>35191360</v>
          </cell>
          <cell r="D288" t="str">
            <v>ТОВ"ОЛІЙНИЙ ДІМ"</v>
          </cell>
          <cell r="E288">
            <v>45938.511700000003</v>
          </cell>
          <cell r="F288">
            <v>45839</v>
          </cell>
          <cell r="G288" t="str">
            <v>D</v>
          </cell>
          <cell r="H288" t="str">
            <v>B</v>
          </cell>
          <cell r="I288" t="str">
            <v>D</v>
          </cell>
          <cell r="J288" t="str">
            <v>A</v>
          </cell>
          <cell r="K288" t="str">
            <v>A</v>
          </cell>
          <cell r="L288" t="str">
            <v>A</v>
          </cell>
          <cell r="M288" t="str">
            <v>A</v>
          </cell>
          <cell r="N288" t="str">
            <v>A</v>
          </cell>
          <cell r="O288" t="str">
            <v>A</v>
          </cell>
          <cell r="P288" t="str">
            <v>B</v>
          </cell>
          <cell r="Q288" t="str">
            <v>B</v>
          </cell>
          <cell r="R288" t="str">
            <v>A</v>
          </cell>
          <cell r="X288">
            <v>59.6</v>
          </cell>
        </row>
        <row r="289">
          <cell r="C289">
            <v>35221672</v>
          </cell>
          <cell r="D289" t="str">
            <v>ТОВ "ПРИЛУКИ-ГАРАНТБУД"</v>
          </cell>
          <cell r="E289">
            <v>45674.402800000003</v>
          </cell>
          <cell r="F289">
            <v>45566</v>
          </cell>
          <cell r="G289" t="str">
            <v>E</v>
          </cell>
          <cell r="H289" t="str">
            <v>B</v>
          </cell>
          <cell r="I289" t="str">
            <v>B</v>
          </cell>
          <cell r="J289" t="str">
            <v>B</v>
          </cell>
          <cell r="K289" t="str">
            <v>B</v>
          </cell>
          <cell r="L289" t="str">
            <v>A</v>
          </cell>
          <cell r="M289" t="str">
            <v>B</v>
          </cell>
          <cell r="N289" t="str">
            <v>B</v>
          </cell>
          <cell r="O289" t="str">
            <v>A</v>
          </cell>
          <cell r="P289" t="str">
            <v>C</v>
          </cell>
          <cell r="Q289" t="str">
            <v>B</v>
          </cell>
          <cell r="R289" t="str">
            <v>A</v>
          </cell>
          <cell r="X289">
            <v>52.900000000000006</v>
          </cell>
        </row>
        <row r="290">
          <cell r="C290">
            <v>35244815</v>
          </cell>
          <cell r="D290" t="str">
            <v>ТОВ"СОЛЛІ ПЛЮС"</v>
          </cell>
          <cell r="E290">
            <v>45861.418100000003</v>
          </cell>
          <cell r="F290">
            <v>45748</v>
          </cell>
          <cell r="G290" t="str">
            <v>E</v>
          </cell>
          <cell r="H290" t="str">
            <v>B</v>
          </cell>
          <cell r="I290" t="str">
            <v>B</v>
          </cell>
          <cell r="J290" t="str">
            <v>C</v>
          </cell>
          <cell r="K290" t="str">
            <v>D</v>
          </cell>
          <cell r="L290" t="str">
            <v>A</v>
          </cell>
          <cell r="M290" t="str">
            <v>A</v>
          </cell>
          <cell r="N290" t="str">
            <v>B</v>
          </cell>
          <cell r="O290" t="str">
            <v>B</v>
          </cell>
          <cell r="P290" t="str">
            <v>C</v>
          </cell>
          <cell r="Q290" t="str">
            <v>B</v>
          </cell>
          <cell r="R290" t="str">
            <v>C</v>
          </cell>
          <cell r="X290">
            <v>48.900000000000006</v>
          </cell>
        </row>
        <row r="291">
          <cell r="C291">
            <v>35289259</v>
          </cell>
          <cell r="D291" t="str">
            <v>ПП "НОВГОРОД-СІВЕРСЬКІ АГРАРНІ ІНВЕСТИЦІЇ"</v>
          </cell>
          <cell r="E291">
            <v>45785.643300000003</v>
          </cell>
          <cell r="F291">
            <v>45658</v>
          </cell>
          <cell r="G291" t="str">
            <v>E</v>
          </cell>
          <cell r="H291" t="str">
            <v>C</v>
          </cell>
          <cell r="I291" t="str">
            <v>A</v>
          </cell>
          <cell r="J291" t="str">
            <v>B</v>
          </cell>
          <cell r="K291" t="str">
            <v>D</v>
          </cell>
          <cell r="L291" t="str">
            <v>B</v>
          </cell>
          <cell r="M291" t="str">
            <v>D</v>
          </cell>
          <cell r="N291" t="str">
            <v>B</v>
          </cell>
          <cell r="O291" t="str">
            <v>A</v>
          </cell>
          <cell r="P291" t="str">
            <v>C</v>
          </cell>
          <cell r="Q291" t="str">
            <v>C</v>
          </cell>
          <cell r="R291" t="str">
            <v>A</v>
          </cell>
          <cell r="X291">
            <v>35.1</v>
          </cell>
        </row>
        <row r="292">
          <cell r="C292">
            <v>35289290</v>
          </cell>
          <cell r="D292" t="str">
            <v>ТОВ "НОВГОРОД-СІВЕРСЬКИЙ ЕЛЕВАТОР"</v>
          </cell>
          <cell r="E292">
            <v>45785.643300000003</v>
          </cell>
          <cell r="F292">
            <v>45658</v>
          </cell>
          <cell r="G292" t="str">
            <v>E</v>
          </cell>
          <cell r="H292" t="str">
            <v>C</v>
          </cell>
          <cell r="I292" t="str">
            <v>A</v>
          </cell>
          <cell r="J292" t="str">
            <v>B</v>
          </cell>
          <cell r="K292" t="str">
            <v>D</v>
          </cell>
          <cell r="L292" t="str">
            <v>B</v>
          </cell>
          <cell r="M292" t="str">
            <v>D</v>
          </cell>
          <cell r="N292" t="str">
            <v>B</v>
          </cell>
          <cell r="O292" t="str">
            <v>A</v>
          </cell>
          <cell r="P292" t="str">
            <v>C</v>
          </cell>
          <cell r="Q292" t="str">
            <v>C</v>
          </cell>
          <cell r="R292" t="str">
            <v>A</v>
          </cell>
          <cell r="X292">
            <v>35.1</v>
          </cell>
        </row>
        <row r="293">
          <cell r="C293">
            <v>35429229</v>
          </cell>
          <cell r="D293" t="str">
            <v>ТОВ "УАПГ"</v>
          </cell>
          <cell r="E293">
            <v>45833.920700000002</v>
          </cell>
          <cell r="F293">
            <v>45748</v>
          </cell>
          <cell r="G293" t="str">
            <v>E</v>
          </cell>
          <cell r="H293" t="str">
            <v>B</v>
          </cell>
          <cell r="I293" t="str">
            <v>B</v>
          </cell>
          <cell r="J293" t="str">
            <v>A</v>
          </cell>
          <cell r="K293" t="str">
            <v>D</v>
          </cell>
          <cell r="L293" t="str">
            <v>A</v>
          </cell>
          <cell r="M293" t="str">
            <v>A</v>
          </cell>
          <cell r="N293" t="str">
            <v>A</v>
          </cell>
          <cell r="O293" t="str">
            <v>A</v>
          </cell>
          <cell r="P293" t="str">
            <v>C</v>
          </cell>
          <cell r="Q293" t="str">
            <v>B</v>
          </cell>
          <cell r="R293" t="str">
            <v>C</v>
          </cell>
          <cell r="X293">
            <v>50.199999999999996</v>
          </cell>
        </row>
        <row r="294">
          <cell r="C294">
            <v>35481824</v>
          </cell>
          <cell r="D294" t="str">
            <v>ТОВ "КПК-ІНВЕСТ"</v>
          </cell>
          <cell r="E294">
            <v>45505.437700000002</v>
          </cell>
          <cell r="F294">
            <v>45474</v>
          </cell>
          <cell r="G294" t="str">
            <v>E</v>
          </cell>
          <cell r="H294" t="str">
            <v>A</v>
          </cell>
          <cell r="I294" t="str">
            <v>A</v>
          </cell>
          <cell r="J294" t="str">
            <v>B</v>
          </cell>
          <cell r="K294" t="str">
            <v>B</v>
          </cell>
          <cell r="L294" t="str">
            <v>A</v>
          </cell>
          <cell r="M294" t="str">
            <v>B</v>
          </cell>
          <cell r="N294" t="str">
            <v>A</v>
          </cell>
          <cell r="O294" t="str">
            <v>A</v>
          </cell>
          <cell r="P294" t="str">
            <v>C</v>
          </cell>
          <cell r="Q294" t="str">
            <v>B</v>
          </cell>
          <cell r="R294" t="str">
            <v>A</v>
          </cell>
          <cell r="X294">
            <v>54.199999999999996</v>
          </cell>
        </row>
        <row r="295">
          <cell r="C295">
            <v>35528563</v>
          </cell>
          <cell r="D295" t="str">
            <v>ТОВ "УЗИН-АГРОІНВЕСТ"</v>
          </cell>
          <cell r="E295">
            <v>45852.546499999997</v>
          </cell>
          <cell r="F295">
            <v>45658</v>
          </cell>
          <cell r="G295" t="str">
            <v>E</v>
          </cell>
          <cell r="H295" t="str">
            <v>B</v>
          </cell>
          <cell r="I295" t="str">
            <v>B</v>
          </cell>
          <cell r="J295" t="str">
            <v>B</v>
          </cell>
          <cell r="K295" t="str">
            <v>D</v>
          </cell>
          <cell r="L295" t="str">
            <v>A</v>
          </cell>
          <cell r="M295" t="str">
            <v>C</v>
          </cell>
          <cell r="N295" t="str">
            <v>B</v>
          </cell>
          <cell r="O295" t="str">
            <v>B</v>
          </cell>
          <cell r="P295" t="str">
            <v>C</v>
          </cell>
          <cell r="Q295" t="str">
            <v>B</v>
          </cell>
          <cell r="R295" t="str">
            <v>A</v>
          </cell>
          <cell r="X295">
            <v>44.5</v>
          </cell>
        </row>
        <row r="296">
          <cell r="C296">
            <v>35622956</v>
          </cell>
          <cell r="D296" t="str">
            <v>ТОВ "ХПП ДОБРОНАДІЇВСЬКЕ"</v>
          </cell>
          <cell r="E296">
            <v>45736.444600000003</v>
          </cell>
          <cell r="F296">
            <v>45566</v>
          </cell>
          <cell r="G296" t="str">
            <v>D</v>
          </cell>
          <cell r="H296" t="str">
            <v>C</v>
          </cell>
          <cell r="I296" t="str">
            <v>D</v>
          </cell>
          <cell r="J296" t="str">
            <v>D</v>
          </cell>
          <cell r="K296" t="str">
            <v>D</v>
          </cell>
          <cell r="L296" t="str">
            <v>A</v>
          </cell>
          <cell r="M296" t="str">
            <v>C</v>
          </cell>
          <cell r="N296" t="str">
            <v>B</v>
          </cell>
          <cell r="O296" t="str">
            <v>B</v>
          </cell>
          <cell r="P296" t="str">
            <v>C</v>
          </cell>
          <cell r="Q296" t="str">
            <v>C</v>
          </cell>
          <cell r="R296" t="str">
            <v>A</v>
          </cell>
          <cell r="X296">
            <v>43.099999999999987</v>
          </cell>
        </row>
        <row r="297">
          <cell r="C297">
            <v>35626950</v>
          </cell>
          <cell r="D297" t="str">
            <v>ТОВ "ФОРВАРД-СВ"</v>
          </cell>
          <cell r="E297">
            <v>45674.584699999999</v>
          </cell>
          <cell r="F297">
            <v>45566</v>
          </cell>
          <cell r="G297" t="str">
            <v>D</v>
          </cell>
          <cell r="H297" t="str">
            <v>B</v>
          </cell>
          <cell r="I297" t="str">
            <v>B</v>
          </cell>
          <cell r="J297" t="str">
            <v>A</v>
          </cell>
          <cell r="K297" t="str">
            <v>D</v>
          </cell>
          <cell r="L297" t="str">
            <v>B</v>
          </cell>
          <cell r="M297" t="str">
            <v>A</v>
          </cell>
          <cell r="N297" t="str">
            <v>B</v>
          </cell>
          <cell r="O297" t="str">
            <v>B</v>
          </cell>
          <cell r="P297" t="str">
            <v>C</v>
          </cell>
          <cell r="Q297" t="str">
            <v>B</v>
          </cell>
          <cell r="R297" t="str">
            <v>C</v>
          </cell>
          <cell r="X297">
            <v>42.1</v>
          </cell>
        </row>
        <row r="298">
          <cell r="C298">
            <v>35641104</v>
          </cell>
          <cell r="D298" t="str">
            <v>ПП "Італ Кераміка"</v>
          </cell>
          <cell r="E298">
            <v>45966.515399999997</v>
          </cell>
          <cell r="F298">
            <v>45931</v>
          </cell>
          <cell r="G298" t="str">
            <v>E</v>
          </cell>
          <cell r="H298" t="str">
            <v>B</v>
          </cell>
          <cell r="I298" t="str">
            <v>B</v>
          </cell>
          <cell r="J298" t="str">
            <v>B</v>
          </cell>
          <cell r="K298" t="str">
            <v>D</v>
          </cell>
          <cell r="L298" t="str">
            <v>B</v>
          </cell>
          <cell r="M298" t="str">
            <v>A</v>
          </cell>
          <cell r="N298" t="str">
            <v>B</v>
          </cell>
          <cell r="O298" t="str">
            <v>A</v>
          </cell>
          <cell r="P298" t="str">
            <v>C</v>
          </cell>
          <cell r="Q298" t="str">
            <v>C</v>
          </cell>
          <cell r="R298" t="str">
            <v>A</v>
          </cell>
          <cell r="X298">
            <v>49.099999999999994</v>
          </cell>
        </row>
        <row r="299">
          <cell r="C299">
            <v>35708603</v>
          </cell>
          <cell r="D299" t="str">
            <v>ТОВ "КРИСТАЛ МОТОРС"</v>
          </cell>
          <cell r="E299">
            <v>45831.7091</v>
          </cell>
          <cell r="F299">
            <v>45748</v>
          </cell>
          <cell r="G299" t="str">
            <v>D</v>
          </cell>
          <cell r="H299" t="str">
            <v>B</v>
          </cell>
          <cell r="I299" t="str">
            <v>B</v>
          </cell>
          <cell r="J299" t="str">
            <v>B</v>
          </cell>
          <cell r="K299" t="str">
            <v>D</v>
          </cell>
          <cell r="L299" t="str">
            <v>B</v>
          </cell>
          <cell r="M299" t="str">
            <v>A</v>
          </cell>
          <cell r="N299" t="str">
            <v>A</v>
          </cell>
          <cell r="O299" t="str">
            <v>A</v>
          </cell>
          <cell r="P299" t="str">
            <v>C</v>
          </cell>
          <cell r="Q299" t="str">
            <v>B</v>
          </cell>
          <cell r="R299" t="str">
            <v>B</v>
          </cell>
          <cell r="X299">
            <v>54.2</v>
          </cell>
        </row>
        <row r="300">
          <cell r="C300">
            <v>35747836</v>
          </cell>
          <cell r="D300" t="str">
            <v>ПП "МЕЛІОР"</v>
          </cell>
          <cell r="E300">
            <v>45722.548900000002</v>
          </cell>
          <cell r="F300">
            <v>45566</v>
          </cell>
          <cell r="G300" t="str">
            <v>E</v>
          </cell>
          <cell r="H300" t="str">
            <v>B</v>
          </cell>
          <cell r="I300" t="str">
            <v>B</v>
          </cell>
          <cell r="J300" t="str">
            <v>D</v>
          </cell>
          <cell r="K300" t="str">
            <v>D</v>
          </cell>
          <cell r="L300" t="str">
            <v>B</v>
          </cell>
          <cell r="M300" t="str">
            <v>C</v>
          </cell>
          <cell r="N300" t="str">
            <v>A</v>
          </cell>
          <cell r="O300" t="str">
            <v>A</v>
          </cell>
          <cell r="P300" t="str">
            <v>C</v>
          </cell>
          <cell r="Q300" t="str">
            <v>B</v>
          </cell>
          <cell r="R300" t="str">
            <v>A</v>
          </cell>
          <cell r="X300">
            <v>51.8</v>
          </cell>
        </row>
        <row r="301">
          <cell r="C301">
            <v>35753677</v>
          </cell>
          <cell r="D301" t="str">
            <v>ТОВ "ОЛІМП-МОТОРС"</v>
          </cell>
          <cell r="E301">
            <v>45831.7091</v>
          </cell>
          <cell r="F301">
            <v>45748</v>
          </cell>
          <cell r="G301" t="str">
            <v>D</v>
          </cell>
          <cell r="H301" t="str">
            <v>B</v>
          </cell>
          <cell r="I301" t="str">
            <v>B</v>
          </cell>
          <cell r="J301" t="str">
            <v>B</v>
          </cell>
          <cell r="K301" t="str">
            <v>D</v>
          </cell>
          <cell r="L301" t="str">
            <v>B</v>
          </cell>
          <cell r="M301" t="str">
            <v>A</v>
          </cell>
          <cell r="N301" t="str">
            <v>A</v>
          </cell>
          <cell r="O301" t="str">
            <v>A</v>
          </cell>
          <cell r="P301" t="str">
            <v>C</v>
          </cell>
          <cell r="Q301" t="str">
            <v>B</v>
          </cell>
          <cell r="R301" t="str">
            <v>B</v>
          </cell>
          <cell r="X301">
            <v>54.2</v>
          </cell>
        </row>
        <row r="302">
          <cell r="C302">
            <v>35775727</v>
          </cell>
          <cell r="D302" t="str">
            <v>ТзОВ "АВТО СТАНДАРД УКРАЇНА"</v>
          </cell>
          <cell r="E302">
            <v>45904.399400000002</v>
          </cell>
          <cell r="F302">
            <v>45839</v>
          </cell>
          <cell r="G302" t="str">
            <v>E</v>
          </cell>
          <cell r="H302" t="str">
            <v>B</v>
          </cell>
          <cell r="I302" t="str">
            <v>A</v>
          </cell>
          <cell r="J302" t="str">
            <v>C</v>
          </cell>
          <cell r="K302" t="str">
            <v>D</v>
          </cell>
          <cell r="L302" t="str">
            <v>A</v>
          </cell>
          <cell r="M302" t="str">
            <v>A</v>
          </cell>
          <cell r="N302" t="str">
            <v>A</v>
          </cell>
          <cell r="O302" t="str">
            <v>A</v>
          </cell>
          <cell r="P302" t="str">
            <v>C</v>
          </cell>
          <cell r="Q302" t="str">
            <v>B</v>
          </cell>
          <cell r="R302" t="str">
            <v>B</v>
          </cell>
          <cell r="X302">
            <v>53.8</v>
          </cell>
        </row>
        <row r="303">
          <cell r="C303">
            <v>35814671</v>
          </cell>
          <cell r="D303" t="str">
            <v>ТОВ "СТРАТІЇВСЬКИЙ АГРОРЕСУРС"</v>
          </cell>
          <cell r="E303">
            <v>45621</v>
          </cell>
          <cell r="F303">
            <v>45566</v>
          </cell>
          <cell r="G303" t="str">
            <v>E</v>
          </cell>
          <cell r="H303" t="str">
            <v>B</v>
          </cell>
          <cell r="I303" t="str">
            <v>B</v>
          </cell>
          <cell r="J303" t="str">
            <v>B</v>
          </cell>
          <cell r="K303" t="str">
            <v>D</v>
          </cell>
          <cell r="L303" t="str">
            <v>B</v>
          </cell>
          <cell r="M303" t="str">
            <v>B</v>
          </cell>
          <cell r="N303" t="str">
            <v>A</v>
          </cell>
          <cell r="O303" t="str">
            <v>A</v>
          </cell>
          <cell r="P303" t="str">
            <v>C</v>
          </cell>
          <cell r="Q303" t="str">
            <v>B</v>
          </cell>
          <cell r="R303" t="str">
            <v>A</v>
          </cell>
          <cell r="X303">
            <v>47.800000000000004</v>
          </cell>
        </row>
        <row r="304">
          <cell r="C304">
            <v>35818770</v>
          </cell>
          <cell r="D304" t="str">
            <v>ТОВ "ТРАНССЕРВІС 2008"</v>
          </cell>
          <cell r="E304">
            <v>45817.486799999999</v>
          </cell>
          <cell r="F304">
            <v>45658</v>
          </cell>
          <cell r="G304" t="str">
            <v>E</v>
          </cell>
          <cell r="H304" t="str">
            <v>B</v>
          </cell>
          <cell r="I304" t="str">
            <v>A</v>
          </cell>
          <cell r="J304" t="str">
            <v>A</v>
          </cell>
          <cell r="K304" t="str">
            <v>D</v>
          </cell>
          <cell r="L304" t="str">
            <v>B</v>
          </cell>
          <cell r="M304" t="str">
            <v>A</v>
          </cell>
          <cell r="N304" t="str">
            <v>C</v>
          </cell>
          <cell r="O304" t="str">
            <v>A</v>
          </cell>
          <cell r="P304" t="str">
            <v>B</v>
          </cell>
          <cell r="Q304" t="str">
            <v>B</v>
          </cell>
          <cell r="R304" t="str">
            <v>A</v>
          </cell>
          <cell r="X304">
            <v>44</v>
          </cell>
        </row>
        <row r="305">
          <cell r="C305">
            <v>35838074</v>
          </cell>
          <cell r="D305" t="str">
            <v>ТОВ "БОАТЛАБ"</v>
          </cell>
          <cell r="E305">
            <v>45761.744500000001</v>
          </cell>
          <cell r="F305">
            <v>45566</v>
          </cell>
          <cell r="G305" t="str">
            <v>E</v>
          </cell>
          <cell r="H305" t="str">
            <v>B</v>
          </cell>
          <cell r="I305" t="str">
            <v>B</v>
          </cell>
          <cell r="J305" t="str">
            <v>A</v>
          </cell>
          <cell r="K305" t="str">
            <v>D</v>
          </cell>
          <cell r="L305" t="str">
            <v>A</v>
          </cell>
          <cell r="M305" t="str">
            <v>A</v>
          </cell>
          <cell r="N305" t="str">
            <v>B</v>
          </cell>
          <cell r="O305" t="str">
            <v>A</v>
          </cell>
          <cell r="P305" t="str">
            <v>C</v>
          </cell>
          <cell r="Q305" t="str">
            <v>B</v>
          </cell>
          <cell r="R305" t="str">
            <v>C</v>
          </cell>
          <cell r="X305">
            <v>46.9</v>
          </cell>
        </row>
        <row r="306">
          <cell r="C306">
            <v>35863179</v>
          </cell>
          <cell r="D306" t="str">
            <v>ТОВ "АЙСБЕРГ-ФІШ"</v>
          </cell>
          <cell r="E306">
            <v>45555.732900000003</v>
          </cell>
          <cell r="F306">
            <v>45474</v>
          </cell>
          <cell r="G306" t="str">
            <v>D</v>
          </cell>
          <cell r="H306" t="str">
            <v>C</v>
          </cell>
          <cell r="I306" t="str">
            <v>B</v>
          </cell>
          <cell r="J306" t="str">
            <v>A</v>
          </cell>
          <cell r="K306" t="str">
            <v>B</v>
          </cell>
          <cell r="L306" t="str">
            <v>B</v>
          </cell>
          <cell r="M306" t="str">
            <v>A</v>
          </cell>
          <cell r="N306" t="str">
            <v>A</v>
          </cell>
          <cell r="O306" t="str">
            <v>A</v>
          </cell>
          <cell r="P306" t="str">
            <v>C</v>
          </cell>
          <cell r="Q306" t="str">
            <v>B</v>
          </cell>
          <cell r="R306" t="str">
            <v>C</v>
          </cell>
          <cell r="X306">
            <v>50.999999999999993</v>
          </cell>
        </row>
        <row r="307">
          <cell r="C307">
            <v>35880173</v>
          </cell>
          <cell r="D307" t="str">
            <v>ТОВ "АВТО ГРУП +"</v>
          </cell>
          <cell r="E307">
            <v>45777.672400000003</v>
          </cell>
          <cell r="F307">
            <v>45658</v>
          </cell>
          <cell r="G307" t="str">
            <v>E</v>
          </cell>
          <cell r="H307" t="str">
            <v>A</v>
          </cell>
          <cell r="I307" t="str">
            <v>C</v>
          </cell>
          <cell r="J307" t="str">
            <v>C</v>
          </cell>
          <cell r="K307" t="str">
            <v>A</v>
          </cell>
          <cell r="L307" t="str">
            <v>A</v>
          </cell>
          <cell r="M307" t="str">
            <v>A</v>
          </cell>
          <cell r="N307" t="str">
            <v>A</v>
          </cell>
          <cell r="O307" t="str">
            <v>A</v>
          </cell>
          <cell r="P307" t="str">
            <v>C</v>
          </cell>
          <cell r="Q307" t="str">
            <v>B</v>
          </cell>
          <cell r="R307" t="str">
            <v>A</v>
          </cell>
          <cell r="X307">
            <v>61</v>
          </cell>
        </row>
        <row r="308">
          <cell r="C308">
            <v>35892262</v>
          </cell>
          <cell r="D308" t="str">
            <v>ТОВ "МД Альянс Груп"</v>
          </cell>
          <cell r="E308">
            <v>45947.633999999998</v>
          </cell>
          <cell r="F308">
            <v>45839</v>
          </cell>
          <cell r="G308" t="str">
            <v>C</v>
          </cell>
          <cell r="H308" t="str">
            <v>C</v>
          </cell>
          <cell r="I308" t="str">
            <v>A</v>
          </cell>
          <cell r="J308" t="str">
            <v>B</v>
          </cell>
          <cell r="K308" t="str">
            <v>B</v>
          </cell>
          <cell r="L308" t="str">
            <v>B</v>
          </cell>
          <cell r="M308" t="str">
            <v>A</v>
          </cell>
          <cell r="N308" t="str">
            <v>A</v>
          </cell>
          <cell r="O308" t="str">
            <v>A</v>
          </cell>
          <cell r="P308" t="str">
            <v>B</v>
          </cell>
          <cell r="Q308" t="str">
            <v>C</v>
          </cell>
          <cell r="R308" t="str">
            <v>C</v>
          </cell>
          <cell r="X308">
            <v>49.8</v>
          </cell>
        </row>
        <row r="309">
          <cell r="C309">
            <v>35945555</v>
          </cell>
          <cell r="D309" t="str">
            <v>ТОВ "ТАС-ЛОГІСТІК"</v>
          </cell>
          <cell r="E309">
            <v>45828.429900000003</v>
          </cell>
          <cell r="F309">
            <v>45748</v>
          </cell>
          <cell r="G309" t="str">
            <v>D</v>
          </cell>
          <cell r="H309" t="str">
            <v>C</v>
          </cell>
          <cell r="I309" t="str">
            <v>B</v>
          </cell>
          <cell r="J309" t="str">
            <v>C</v>
          </cell>
          <cell r="K309" t="str">
            <v>D</v>
          </cell>
          <cell r="L309" t="str">
            <v>A</v>
          </cell>
          <cell r="M309" t="str">
            <v>B</v>
          </cell>
          <cell r="N309" t="str">
            <v>A</v>
          </cell>
          <cell r="O309" t="str">
            <v>A</v>
          </cell>
          <cell r="P309" t="str">
            <v>C</v>
          </cell>
          <cell r="Q309" t="str">
            <v>B</v>
          </cell>
          <cell r="R309" t="str">
            <v>B</v>
          </cell>
          <cell r="X309">
            <v>53.8</v>
          </cell>
        </row>
        <row r="310">
          <cell r="C310">
            <v>35989246</v>
          </cell>
          <cell r="D310" t="str">
            <v>ТОВ "СМАРТ ЛОДЖИСТІК"</v>
          </cell>
          <cell r="E310">
            <v>45902.5196</v>
          </cell>
          <cell r="F310">
            <v>45839</v>
          </cell>
          <cell r="G310" t="str">
            <v>E</v>
          </cell>
          <cell r="H310" t="str">
            <v>B</v>
          </cell>
          <cell r="I310" t="str">
            <v>B</v>
          </cell>
          <cell r="J310" t="str">
            <v>A</v>
          </cell>
          <cell r="K310" t="str">
            <v>D</v>
          </cell>
          <cell r="L310" t="str">
            <v>A</v>
          </cell>
          <cell r="M310" t="str">
            <v>A</v>
          </cell>
          <cell r="N310" t="str">
            <v>B</v>
          </cell>
          <cell r="O310" t="str">
            <v>A</v>
          </cell>
          <cell r="P310" t="str">
            <v>C</v>
          </cell>
          <cell r="Q310" t="str">
            <v>B</v>
          </cell>
          <cell r="R310" t="str">
            <v>A</v>
          </cell>
          <cell r="X310">
            <v>52.9</v>
          </cell>
        </row>
        <row r="311">
          <cell r="C311">
            <v>35991758</v>
          </cell>
          <cell r="D311" t="str">
            <v>ДП "БАЗІС АВТО"</v>
          </cell>
          <cell r="E311">
            <v>45777.672400000003</v>
          </cell>
          <cell r="F311">
            <v>45658</v>
          </cell>
          <cell r="G311" t="str">
            <v>E</v>
          </cell>
          <cell r="H311" t="str">
            <v>A</v>
          </cell>
          <cell r="I311" t="str">
            <v>C</v>
          </cell>
          <cell r="J311" t="str">
            <v>C</v>
          </cell>
          <cell r="K311" t="str">
            <v>A</v>
          </cell>
          <cell r="L311" t="str">
            <v>A</v>
          </cell>
          <cell r="M311" t="str">
            <v>A</v>
          </cell>
          <cell r="N311" t="str">
            <v>A</v>
          </cell>
          <cell r="O311" t="str">
            <v>A</v>
          </cell>
          <cell r="P311" t="str">
            <v>C</v>
          </cell>
          <cell r="Q311" t="str">
            <v>B</v>
          </cell>
          <cell r="R311" t="str">
            <v>A</v>
          </cell>
          <cell r="X311">
            <v>61</v>
          </cell>
        </row>
        <row r="312">
          <cell r="C312">
            <v>36020648</v>
          </cell>
          <cell r="D312" t="str">
            <v>ТОВ "ПК "ДНІПРОВСЬКИЙ"</v>
          </cell>
          <cell r="E312">
            <v>45709.5121</v>
          </cell>
          <cell r="F312">
            <v>45566</v>
          </cell>
          <cell r="G312" t="str">
            <v>D</v>
          </cell>
          <cell r="H312" t="str">
            <v>C</v>
          </cell>
          <cell r="I312" t="str">
            <v>B</v>
          </cell>
          <cell r="J312" t="str">
            <v>D</v>
          </cell>
          <cell r="K312" t="str">
            <v>B</v>
          </cell>
          <cell r="L312" t="str">
            <v>A</v>
          </cell>
          <cell r="M312" t="str">
            <v>A</v>
          </cell>
          <cell r="N312" t="str">
            <v>A</v>
          </cell>
          <cell r="O312" t="str">
            <v>A</v>
          </cell>
          <cell r="P312" t="str">
            <v>C</v>
          </cell>
          <cell r="Q312" t="str">
            <v>B</v>
          </cell>
          <cell r="R312" t="str">
            <v>A</v>
          </cell>
          <cell r="X312">
            <v>69.800000000000011</v>
          </cell>
        </row>
        <row r="313">
          <cell r="C313">
            <v>36023441</v>
          </cell>
          <cell r="D313" t="str">
            <v>ПП "ВК Технополь"</v>
          </cell>
          <cell r="E313">
            <v>45949.937700000002</v>
          </cell>
          <cell r="F313">
            <v>45658</v>
          </cell>
          <cell r="G313" t="str">
            <v>D</v>
          </cell>
          <cell r="H313" t="str">
            <v>B</v>
          </cell>
          <cell r="I313" t="str">
            <v>B</v>
          </cell>
          <cell r="J313" t="str">
            <v>B</v>
          </cell>
          <cell r="K313" t="str">
            <v>B</v>
          </cell>
          <cell r="L313" t="str">
            <v>A</v>
          </cell>
          <cell r="M313" t="str">
            <v>A</v>
          </cell>
          <cell r="N313" t="str">
            <v>B</v>
          </cell>
          <cell r="O313" t="str">
            <v>A</v>
          </cell>
          <cell r="P313" t="str">
            <v>A</v>
          </cell>
          <cell r="Q313" t="str">
            <v>B</v>
          </cell>
          <cell r="R313" t="str">
            <v>A</v>
          </cell>
          <cell r="X313">
            <v>67.100000000000009</v>
          </cell>
        </row>
        <row r="314">
          <cell r="C314">
            <v>36032807</v>
          </cell>
          <cell r="D314" t="str">
            <v>ТОВ "АРТСІТІ"</v>
          </cell>
          <cell r="E314">
            <v>45785.753100000002</v>
          </cell>
          <cell r="F314">
            <v>45658</v>
          </cell>
          <cell r="G314" t="str">
            <v>E</v>
          </cell>
          <cell r="H314" t="str">
            <v>B</v>
          </cell>
          <cell r="I314" t="str">
            <v>B</v>
          </cell>
          <cell r="J314" t="str">
            <v>A</v>
          </cell>
          <cell r="K314" t="str">
            <v>D</v>
          </cell>
          <cell r="L314" t="str">
            <v>B</v>
          </cell>
          <cell r="M314" t="str">
            <v>A</v>
          </cell>
          <cell r="N314" t="str">
            <v>C</v>
          </cell>
          <cell r="O314" t="str">
            <v>A</v>
          </cell>
          <cell r="P314" t="str">
            <v>C</v>
          </cell>
          <cell r="Q314" t="str">
            <v>B</v>
          </cell>
          <cell r="R314" t="str">
            <v>C</v>
          </cell>
          <cell r="X314">
            <v>40.6</v>
          </cell>
        </row>
        <row r="315">
          <cell r="C315">
            <v>36053445</v>
          </cell>
          <cell r="D315" t="str">
            <v>ТОВ "ДНІПРОВСЬКИЙ ТРУБНИЙ ЗАВОД"</v>
          </cell>
          <cell r="E315">
            <v>45737.717100000002</v>
          </cell>
          <cell r="F315">
            <v>45658</v>
          </cell>
          <cell r="G315" t="str">
            <v>E</v>
          </cell>
          <cell r="H315" t="str">
            <v>B</v>
          </cell>
          <cell r="I315" t="str">
            <v>B</v>
          </cell>
          <cell r="J315" t="str">
            <v>A</v>
          </cell>
          <cell r="K315" t="str">
            <v>D</v>
          </cell>
          <cell r="L315" t="str">
            <v>A</v>
          </cell>
          <cell r="M315" t="str">
            <v>A</v>
          </cell>
          <cell r="N315" t="str">
            <v>B</v>
          </cell>
          <cell r="O315" t="str">
            <v>A</v>
          </cell>
          <cell r="P315" t="str">
            <v>C</v>
          </cell>
          <cell r="Q315" t="str">
            <v>B</v>
          </cell>
          <cell r="R315" t="str">
            <v>A</v>
          </cell>
          <cell r="X315">
            <v>52.9</v>
          </cell>
        </row>
        <row r="316">
          <cell r="C316">
            <v>36056861</v>
          </cell>
          <cell r="D316" t="str">
            <v>ТОВ "Термо-Буд"</v>
          </cell>
          <cell r="E316">
            <v>45946.703399999999</v>
          </cell>
          <cell r="F316">
            <v>45839</v>
          </cell>
          <cell r="G316" t="str">
            <v>D</v>
          </cell>
          <cell r="H316" t="str">
            <v>B</v>
          </cell>
          <cell r="I316" t="str">
            <v>D</v>
          </cell>
          <cell r="J316" t="str">
            <v>B</v>
          </cell>
          <cell r="K316" t="str">
            <v>A</v>
          </cell>
          <cell r="L316" t="str">
            <v>B</v>
          </cell>
          <cell r="M316" t="str">
            <v>B</v>
          </cell>
          <cell r="N316" t="str">
            <v>A</v>
          </cell>
          <cell r="O316" t="str">
            <v>A</v>
          </cell>
          <cell r="P316" t="str">
            <v>C</v>
          </cell>
          <cell r="Q316" t="str">
            <v>B</v>
          </cell>
          <cell r="R316" t="str">
            <v>A</v>
          </cell>
          <cell r="X316">
            <v>49.4</v>
          </cell>
        </row>
        <row r="317">
          <cell r="C317">
            <v>36072478</v>
          </cell>
          <cell r="D317" t="str">
            <v>ТОВ "СТАР-КАР"</v>
          </cell>
          <cell r="E317">
            <v>45831.7091</v>
          </cell>
          <cell r="F317">
            <v>45748</v>
          </cell>
          <cell r="G317" t="str">
            <v>D</v>
          </cell>
          <cell r="H317" t="str">
            <v>B</v>
          </cell>
          <cell r="I317" t="str">
            <v>B</v>
          </cell>
          <cell r="J317" t="str">
            <v>B</v>
          </cell>
          <cell r="K317" t="str">
            <v>D</v>
          </cell>
          <cell r="L317" t="str">
            <v>B</v>
          </cell>
          <cell r="M317" t="str">
            <v>A</v>
          </cell>
          <cell r="N317" t="str">
            <v>A</v>
          </cell>
          <cell r="O317" t="str">
            <v>A</v>
          </cell>
          <cell r="P317" t="str">
            <v>C</v>
          </cell>
          <cell r="Q317" t="str">
            <v>B</v>
          </cell>
          <cell r="R317" t="str">
            <v>B</v>
          </cell>
          <cell r="X317">
            <v>54.2</v>
          </cell>
        </row>
        <row r="318">
          <cell r="C318">
            <v>36131192</v>
          </cell>
          <cell r="D318" t="str">
            <v>ТОВ "АГРОФІРМА "ІВАНІВКА АГ"</v>
          </cell>
          <cell r="E318">
            <v>45700.422400000003</v>
          </cell>
          <cell r="F318">
            <v>45566</v>
          </cell>
          <cell r="G318" t="str">
            <v>E</v>
          </cell>
          <cell r="H318" t="str">
            <v>C</v>
          </cell>
          <cell r="I318" t="str">
            <v>B</v>
          </cell>
          <cell r="J318" t="str">
            <v>C</v>
          </cell>
          <cell r="K318" t="str">
            <v>E</v>
          </cell>
          <cell r="L318" t="str">
            <v>A</v>
          </cell>
          <cell r="M318" t="str">
            <v>C</v>
          </cell>
          <cell r="N318" t="str">
            <v>B</v>
          </cell>
          <cell r="O318" t="str">
            <v>B</v>
          </cell>
          <cell r="P318" t="str">
            <v>C</v>
          </cell>
          <cell r="Q318" t="str">
            <v>B</v>
          </cell>
          <cell r="R318" t="str">
            <v>C</v>
          </cell>
          <cell r="X318">
            <v>38.5</v>
          </cell>
        </row>
        <row r="319">
          <cell r="C319">
            <v>36136929</v>
          </cell>
          <cell r="D319" t="str">
            <v>ТОВ "ФОРКС"</v>
          </cell>
          <cell r="E319">
            <v>45807.778400000003</v>
          </cell>
          <cell r="F319">
            <v>45748</v>
          </cell>
          <cell r="G319" t="str">
            <v>D</v>
          </cell>
          <cell r="H319" t="str">
            <v>C</v>
          </cell>
          <cell r="I319" t="str">
            <v>B</v>
          </cell>
          <cell r="J319" t="str">
            <v>B</v>
          </cell>
          <cell r="K319" t="str">
            <v>D</v>
          </cell>
          <cell r="L319" t="str">
            <v>A</v>
          </cell>
          <cell r="M319" t="str">
            <v>A</v>
          </cell>
          <cell r="N319" t="str">
            <v>A</v>
          </cell>
          <cell r="O319" t="str">
            <v>A</v>
          </cell>
          <cell r="P319" t="str">
            <v>C</v>
          </cell>
          <cell r="Q319" t="str">
            <v>B</v>
          </cell>
          <cell r="R319" t="str">
            <v>A</v>
          </cell>
          <cell r="X319">
            <v>60.999999999999993</v>
          </cell>
        </row>
        <row r="320">
          <cell r="C320">
            <v>36153189</v>
          </cell>
          <cell r="D320" t="str">
            <v>ТЗОВ "РАДЕХІВСЬКИЙ ЦУКОР"</v>
          </cell>
          <cell r="E320">
            <v>45763.401100000003</v>
          </cell>
          <cell r="F320">
            <v>45658</v>
          </cell>
          <cell r="G320" t="str">
            <v>C</v>
          </cell>
          <cell r="H320" t="str">
            <v>C</v>
          </cell>
          <cell r="I320" t="str">
            <v>D</v>
          </cell>
          <cell r="J320" t="str">
            <v>C</v>
          </cell>
          <cell r="K320" t="str">
            <v>B</v>
          </cell>
          <cell r="L320" t="str">
            <v>A</v>
          </cell>
          <cell r="M320" t="str">
            <v>A</v>
          </cell>
          <cell r="N320" t="str">
            <v>B</v>
          </cell>
          <cell r="O320" t="str">
            <v>A</v>
          </cell>
          <cell r="P320" t="str">
            <v>C</v>
          </cell>
          <cell r="Q320" t="str">
            <v>B</v>
          </cell>
          <cell r="R320" t="str">
            <v>A</v>
          </cell>
          <cell r="X320">
            <v>57.7</v>
          </cell>
        </row>
        <row r="321">
          <cell r="C321">
            <v>36188813</v>
          </cell>
          <cell r="D321" t="str">
            <v>ПП "ЛІБОС"</v>
          </cell>
          <cell r="E321">
            <v>45700.422400000003</v>
          </cell>
          <cell r="F321">
            <v>45566</v>
          </cell>
          <cell r="G321" t="str">
            <v>E</v>
          </cell>
          <cell r="H321" t="str">
            <v>C</v>
          </cell>
          <cell r="I321" t="str">
            <v>B</v>
          </cell>
          <cell r="J321" t="str">
            <v>C</v>
          </cell>
          <cell r="K321" t="str">
            <v>E</v>
          </cell>
          <cell r="L321" t="str">
            <v>A</v>
          </cell>
          <cell r="M321" t="str">
            <v>C</v>
          </cell>
          <cell r="N321" t="str">
            <v>B</v>
          </cell>
          <cell r="O321" t="str">
            <v>B</v>
          </cell>
          <cell r="P321" t="str">
            <v>C</v>
          </cell>
          <cell r="Q321" t="str">
            <v>B</v>
          </cell>
          <cell r="R321" t="str">
            <v>C</v>
          </cell>
          <cell r="X321">
            <v>38.5</v>
          </cell>
        </row>
        <row r="322">
          <cell r="C322">
            <v>36191005</v>
          </cell>
          <cell r="D322" t="str">
            <v>ТОВ "ШБУ"</v>
          </cell>
          <cell r="E322">
            <v>45796</v>
          </cell>
          <cell r="F322">
            <v>45658</v>
          </cell>
          <cell r="G322" t="str">
            <v>E</v>
          </cell>
          <cell r="H322" t="str">
            <v>B</v>
          </cell>
          <cell r="I322" t="str">
            <v>B</v>
          </cell>
          <cell r="J322" t="str">
            <v>B</v>
          </cell>
          <cell r="K322" t="str">
            <v>D</v>
          </cell>
          <cell r="L322" t="str">
            <v>A</v>
          </cell>
          <cell r="M322" t="str">
            <v>A</v>
          </cell>
          <cell r="N322" t="str">
            <v>B</v>
          </cell>
          <cell r="O322" t="str">
            <v>A</v>
          </cell>
          <cell r="P322" t="str">
            <v>C</v>
          </cell>
          <cell r="Q322" t="str">
            <v>B</v>
          </cell>
          <cell r="R322" t="str">
            <v>A</v>
          </cell>
          <cell r="X322">
            <v>55.7</v>
          </cell>
        </row>
        <row r="323">
          <cell r="C323">
            <v>36210530</v>
          </cell>
          <cell r="D323" t="str">
            <v>ПП "АС МАЛОЛИСОВЕЦЬКА"</v>
          </cell>
          <cell r="E323">
            <v>45852.546499999997</v>
          </cell>
          <cell r="F323">
            <v>45658</v>
          </cell>
          <cell r="G323" t="str">
            <v>E</v>
          </cell>
          <cell r="H323" t="str">
            <v>B</v>
          </cell>
          <cell r="I323" t="str">
            <v>B</v>
          </cell>
          <cell r="J323" t="str">
            <v>B</v>
          </cell>
          <cell r="K323" t="str">
            <v>D</v>
          </cell>
          <cell r="L323" t="str">
            <v>A</v>
          </cell>
          <cell r="M323" t="str">
            <v>C</v>
          </cell>
          <cell r="N323" t="str">
            <v>B</v>
          </cell>
          <cell r="O323" t="str">
            <v>B</v>
          </cell>
          <cell r="P323" t="str">
            <v>C</v>
          </cell>
          <cell r="Q323" t="str">
            <v>B</v>
          </cell>
          <cell r="R323" t="str">
            <v>A</v>
          </cell>
          <cell r="X323">
            <v>44.5</v>
          </cell>
        </row>
        <row r="324">
          <cell r="C324">
            <v>36248687</v>
          </cell>
          <cell r="D324" t="str">
            <v>ПП "ОККО КОНТРАКТ"</v>
          </cell>
          <cell r="E324">
            <v>45653.631099999999</v>
          </cell>
          <cell r="F324">
            <v>45474</v>
          </cell>
          <cell r="G324" t="str">
            <v>C</v>
          </cell>
          <cell r="H324" t="str">
            <v>C</v>
          </cell>
          <cell r="I324" t="str">
            <v>B</v>
          </cell>
          <cell r="J324" t="str">
            <v>C</v>
          </cell>
          <cell r="K324" t="str">
            <v>D</v>
          </cell>
          <cell r="L324" t="str">
            <v>A</v>
          </cell>
          <cell r="M324" t="str">
            <v>A</v>
          </cell>
          <cell r="N324" t="str">
            <v>A</v>
          </cell>
          <cell r="O324" t="str">
            <v>B</v>
          </cell>
          <cell r="P324" t="str">
            <v>C</v>
          </cell>
          <cell r="Q324" t="str">
            <v>B</v>
          </cell>
          <cell r="R324" t="str">
            <v>A</v>
          </cell>
          <cell r="X324">
            <v>60.599999999999994</v>
          </cell>
        </row>
        <row r="325">
          <cell r="C325">
            <v>36281800</v>
          </cell>
          <cell r="D325" t="str">
            <v>ТОВ "ЕЙ СІ ДЖІ ЮКРЕЙН"</v>
          </cell>
          <cell r="E325">
            <v>45848.534299999999</v>
          </cell>
          <cell r="F325">
            <v>45658</v>
          </cell>
          <cell r="G325" t="str">
            <v>E</v>
          </cell>
          <cell r="H325" t="str">
            <v>C</v>
          </cell>
          <cell r="I325" t="str">
            <v>C</v>
          </cell>
          <cell r="J325" t="str">
            <v>A</v>
          </cell>
          <cell r="K325" t="str">
            <v>D</v>
          </cell>
          <cell r="L325" t="str">
            <v>B</v>
          </cell>
          <cell r="M325" t="str">
            <v>A</v>
          </cell>
          <cell r="N325" t="str">
            <v>B</v>
          </cell>
          <cell r="O325" t="str">
            <v>B</v>
          </cell>
          <cell r="P325" t="str">
            <v>A</v>
          </cell>
          <cell r="Q325" t="str">
            <v>C</v>
          </cell>
          <cell r="R325" t="str">
            <v>C</v>
          </cell>
          <cell r="X325">
            <v>31.299999999999997</v>
          </cell>
        </row>
        <row r="326">
          <cell r="C326">
            <v>36299535</v>
          </cell>
          <cell r="D326" t="str">
            <v>ТОВ "ХРИСТИНІВСЬКЕ ХПП"</v>
          </cell>
          <cell r="E326">
            <v>45817.703399999999</v>
          </cell>
          <cell r="F326">
            <v>45658</v>
          </cell>
          <cell r="G326" t="str">
            <v>E</v>
          </cell>
          <cell r="H326" t="str">
            <v>C</v>
          </cell>
          <cell r="I326" t="str">
            <v>B</v>
          </cell>
          <cell r="J326" t="str">
            <v>C</v>
          </cell>
          <cell r="K326" t="str">
            <v>C</v>
          </cell>
          <cell r="L326" t="str">
            <v>A</v>
          </cell>
          <cell r="M326" t="str">
            <v>A</v>
          </cell>
          <cell r="N326" t="str">
            <v>B</v>
          </cell>
          <cell r="O326" t="str">
            <v>A</v>
          </cell>
          <cell r="P326" t="str">
            <v>C</v>
          </cell>
          <cell r="Q326" t="str">
            <v>B</v>
          </cell>
          <cell r="R326" t="str">
            <v>B</v>
          </cell>
          <cell r="X326">
            <v>56.1</v>
          </cell>
        </row>
        <row r="327">
          <cell r="C327">
            <v>36301748</v>
          </cell>
          <cell r="D327" t="str">
            <v>ТОВ "МЕГА МЕНЕДЖМЕНТ ПРОЕКТ"</v>
          </cell>
          <cell r="E327">
            <v>45693.443700000003</v>
          </cell>
          <cell r="F327">
            <v>45474</v>
          </cell>
          <cell r="G327" t="str">
            <v>E</v>
          </cell>
          <cell r="H327" t="str">
            <v>B</v>
          </cell>
          <cell r="I327" t="str">
            <v>C</v>
          </cell>
          <cell r="J327" t="str">
            <v>C</v>
          </cell>
          <cell r="K327" t="str">
            <v>D</v>
          </cell>
          <cell r="L327" t="str">
            <v>A</v>
          </cell>
          <cell r="M327" t="str">
            <v>A</v>
          </cell>
          <cell r="N327" t="str">
            <v>B</v>
          </cell>
          <cell r="O327" t="str">
            <v>A</v>
          </cell>
          <cell r="P327" t="str">
            <v>B</v>
          </cell>
          <cell r="Q327" t="str">
            <v>B</v>
          </cell>
          <cell r="R327" t="str">
            <v>C</v>
          </cell>
          <cell r="S327"/>
          <cell r="T327"/>
          <cell r="U327"/>
          <cell r="V327"/>
          <cell r="W327"/>
          <cell r="X327">
            <v>46.300000000000004</v>
          </cell>
        </row>
        <row r="328">
          <cell r="C328">
            <v>36309878</v>
          </cell>
          <cell r="D328" t="str">
            <v>ТОВ "ТД АВТОЦЕНТР ПОДІЛЛЯ"</v>
          </cell>
          <cell r="E328">
            <v>45926.4833</v>
          </cell>
          <cell r="F328">
            <v>45839</v>
          </cell>
          <cell r="G328" t="str">
            <v>D</v>
          </cell>
          <cell r="H328" t="str">
            <v>A</v>
          </cell>
          <cell r="I328" t="str">
            <v>C</v>
          </cell>
          <cell r="J328" t="str">
            <v>B</v>
          </cell>
          <cell r="K328" t="str">
            <v>C</v>
          </cell>
          <cell r="L328" t="str">
            <v>A</v>
          </cell>
          <cell r="M328" t="str">
            <v>A</v>
          </cell>
          <cell r="N328" t="str">
            <v>B</v>
          </cell>
          <cell r="O328" t="str">
            <v>A</v>
          </cell>
          <cell r="P328" t="str">
            <v>A</v>
          </cell>
          <cell r="Q328" t="str">
            <v>B</v>
          </cell>
          <cell r="R328" t="str">
            <v>A</v>
          </cell>
          <cell r="X328">
            <v>60.7</v>
          </cell>
        </row>
        <row r="329">
          <cell r="C329">
            <v>36309904</v>
          </cell>
          <cell r="D329" t="str">
            <v>ТОВ "АВТОМИР-ВІННИЦЯ"</v>
          </cell>
          <cell r="E329">
            <v>45926.4833</v>
          </cell>
          <cell r="F329">
            <v>45839</v>
          </cell>
          <cell r="G329" t="str">
            <v>D</v>
          </cell>
          <cell r="H329" t="str">
            <v>A</v>
          </cell>
          <cell r="I329" t="str">
            <v>C</v>
          </cell>
          <cell r="J329" t="str">
            <v>B</v>
          </cell>
          <cell r="K329" t="str">
            <v>C</v>
          </cell>
          <cell r="L329" t="str">
            <v>A</v>
          </cell>
          <cell r="M329" t="str">
            <v>A</v>
          </cell>
          <cell r="N329" t="str">
            <v>B</v>
          </cell>
          <cell r="O329" t="str">
            <v>A</v>
          </cell>
          <cell r="P329" t="str">
            <v>A</v>
          </cell>
          <cell r="Q329" t="str">
            <v>B</v>
          </cell>
          <cell r="R329" t="str">
            <v>A</v>
          </cell>
          <cell r="X329">
            <v>60.7</v>
          </cell>
        </row>
        <row r="330">
          <cell r="C330">
            <v>36317648</v>
          </cell>
          <cell r="D330" t="str">
            <v>ТОВ "ТД "АВТОСВІТ МИКОЛАЇВ"</v>
          </cell>
          <cell r="E330">
            <v>45931</v>
          </cell>
          <cell r="F330">
            <v>45839</v>
          </cell>
          <cell r="G330" t="str">
            <v>E</v>
          </cell>
          <cell r="H330" t="str">
            <v>C</v>
          </cell>
          <cell r="I330" t="str">
            <v>B</v>
          </cell>
          <cell r="J330" t="str">
            <v>A</v>
          </cell>
          <cell r="K330" t="str">
            <v>F</v>
          </cell>
          <cell r="L330" t="str">
            <v>B</v>
          </cell>
          <cell r="M330" t="str">
            <v>A</v>
          </cell>
          <cell r="N330" t="str">
            <v>B</v>
          </cell>
          <cell r="O330" t="str">
            <v>A</v>
          </cell>
          <cell r="P330" t="str">
            <v>C</v>
          </cell>
          <cell r="Q330" t="str">
            <v>B</v>
          </cell>
          <cell r="R330" t="str">
            <v>A</v>
          </cell>
          <cell r="X330">
            <v>43.3</v>
          </cell>
        </row>
        <row r="331">
          <cell r="C331">
            <v>36333544</v>
          </cell>
          <cell r="D331" t="str">
            <v>ТОВ "УКРПРОДСНЕКГРУП"</v>
          </cell>
          <cell r="E331">
            <v>45768.490299999998</v>
          </cell>
          <cell r="F331">
            <v>45658</v>
          </cell>
          <cell r="G331" t="str">
            <v>E</v>
          </cell>
          <cell r="H331" t="str">
            <v>C</v>
          </cell>
          <cell r="I331" t="str">
            <v>C</v>
          </cell>
          <cell r="J331" t="str">
            <v>B</v>
          </cell>
          <cell r="K331" t="str">
            <v>D</v>
          </cell>
          <cell r="L331" t="str">
            <v>B</v>
          </cell>
          <cell r="M331" t="str">
            <v>A</v>
          </cell>
          <cell r="N331" t="str">
            <v>B</v>
          </cell>
          <cell r="O331" t="str">
            <v>A</v>
          </cell>
          <cell r="P331" t="str">
            <v>C</v>
          </cell>
          <cell r="Q331" t="str">
            <v>C</v>
          </cell>
          <cell r="R331" t="str">
            <v>A</v>
          </cell>
          <cell r="X331">
            <v>39.5</v>
          </cell>
        </row>
        <row r="332">
          <cell r="C332">
            <v>36345921</v>
          </cell>
          <cell r="D332" t="str">
            <v>ТОВ "САЛЕКС АБСОЛЮТ"</v>
          </cell>
          <cell r="E332">
            <v>45777.455000000002</v>
          </cell>
          <cell r="F332">
            <v>45658</v>
          </cell>
          <cell r="G332" t="str">
            <v>E</v>
          </cell>
          <cell r="H332" t="str">
            <v>B</v>
          </cell>
          <cell r="I332" t="str">
            <v>B</v>
          </cell>
          <cell r="J332" t="str">
            <v>C</v>
          </cell>
          <cell r="K332" t="str">
            <v>D</v>
          </cell>
          <cell r="L332" t="str">
            <v>B</v>
          </cell>
          <cell r="M332" t="str">
            <v>B</v>
          </cell>
          <cell r="N332" t="str">
            <v>A</v>
          </cell>
          <cell r="O332" t="str">
            <v>A</v>
          </cell>
          <cell r="P332" t="str">
            <v>C</v>
          </cell>
          <cell r="Q332" t="str">
            <v>C</v>
          </cell>
          <cell r="R332" t="str">
            <v>A</v>
          </cell>
          <cell r="X332">
            <v>48.8</v>
          </cell>
        </row>
        <row r="333">
          <cell r="C333">
            <v>36349402</v>
          </cell>
          <cell r="D333" t="str">
            <v>ПП "ЛЮКС-ОЙЛ"</v>
          </cell>
          <cell r="E333">
            <v>45621.897499999999</v>
          </cell>
          <cell r="F333">
            <v>45474</v>
          </cell>
          <cell r="G333" t="str">
            <v>E</v>
          </cell>
          <cell r="H333" t="str">
            <v>B</v>
          </cell>
          <cell r="I333" t="str">
            <v>B</v>
          </cell>
          <cell r="J333" t="str">
            <v>A</v>
          </cell>
          <cell r="K333" t="str">
            <v>D</v>
          </cell>
          <cell r="L333" t="str">
            <v>A</v>
          </cell>
          <cell r="M333" t="str">
            <v>A</v>
          </cell>
          <cell r="N333" t="str">
            <v>B</v>
          </cell>
          <cell r="O333" t="str">
            <v>A</v>
          </cell>
          <cell r="P333" t="str">
            <v>C</v>
          </cell>
          <cell r="Q333" t="str">
            <v>B</v>
          </cell>
          <cell r="R333" t="str">
            <v>A</v>
          </cell>
          <cell r="X333">
            <v>52.9</v>
          </cell>
        </row>
        <row r="334">
          <cell r="C334">
            <v>36410581</v>
          </cell>
          <cell r="D334" t="str">
            <v>ТОВ "ЛІДЕР СНЕК"</v>
          </cell>
          <cell r="E334">
            <v>45639.655400000003</v>
          </cell>
          <cell r="F334">
            <v>45566</v>
          </cell>
          <cell r="G334" t="str">
            <v>E</v>
          </cell>
          <cell r="H334" t="str">
            <v>B</v>
          </cell>
          <cell r="I334" t="str">
            <v>B</v>
          </cell>
          <cell r="J334" t="str">
            <v>C</v>
          </cell>
          <cell r="K334" t="str">
            <v>D</v>
          </cell>
          <cell r="L334" t="str">
            <v>B</v>
          </cell>
          <cell r="M334" t="str">
            <v>B</v>
          </cell>
          <cell r="N334" t="str">
            <v>B</v>
          </cell>
          <cell r="O334" t="str">
            <v>A</v>
          </cell>
          <cell r="P334" t="str">
            <v>B</v>
          </cell>
          <cell r="Q334" t="str">
            <v>C</v>
          </cell>
          <cell r="R334" t="str">
            <v>A</v>
          </cell>
          <cell r="X334">
            <v>47.300000000000004</v>
          </cell>
        </row>
        <row r="335">
          <cell r="C335">
            <v>36415474</v>
          </cell>
          <cell r="D335" t="str">
            <v>ТОВ "МЕГАТРЕЙД ІТ"</v>
          </cell>
          <cell r="E335">
            <v>45852</v>
          </cell>
          <cell r="F335">
            <v>45748</v>
          </cell>
          <cell r="G335" t="str">
            <v>E</v>
          </cell>
          <cell r="H335" t="str">
            <v>B</v>
          </cell>
          <cell r="I335" t="str">
            <v>C</v>
          </cell>
          <cell r="J335" t="str">
            <v>A</v>
          </cell>
          <cell r="K335" t="str">
            <v>C</v>
          </cell>
          <cell r="L335" t="str">
            <v>B</v>
          </cell>
          <cell r="M335" t="str">
            <v>A</v>
          </cell>
          <cell r="N335" t="str">
            <v>B</v>
          </cell>
          <cell r="O335" t="str">
            <v>A</v>
          </cell>
          <cell r="P335" t="str">
            <v>C</v>
          </cell>
          <cell r="Q335" t="str">
            <v>B</v>
          </cell>
          <cell r="R335" t="str">
            <v>A</v>
          </cell>
          <cell r="X335">
            <v>42.9</v>
          </cell>
        </row>
        <row r="336">
          <cell r="C336">
            <v>36424505</v>
          </cell>
          <cell r="D336" t="str">
            <v>ТОВ "ДОБРОДІЯ ТРЕЙД"</v>
          </cell>
          <cell r="E336">
            <v>45700.422400000003</v>
          </cell>
          <cell r="F336">
            <v>45566</v>
          </cell>
          <cell r="G336" t="str">
            <v>E</v>
          </cell>
          <cell r="H336" t="str">
            <v>C</v>
          </cell>
          <cell r="I336" t="str">
            <v>B</v>
          </cell>
          <cell r="J336" t="str">
            <v>C</v>
          </cell>
          <cell r="K336" t="str">
            <v>E</v>
          </cell>
          <cell r="L336" t="str">
            <v>A</v>
          </cell>
          <cell r="M336" t="str">
            <v>C</v>
          </cell>
          <cell r="N336" t="str">
            <v>B</v>
          </cell>
          <cell r="O336" t="str">
            <v>B</v>
          </cell>
          <cell r="P336" t="str">
            <v>C</v>
          </cell>
          <cell r="Q336" t="str">
            <v>B</v>
          </cell>
          <cell r="R336" t="str">
            <v>C</v>
          </cell>
          <cell r="X336">
            <v>38.5</v>
          </cell>
        </row>
        <row r="337">
          <cell r="C337">
            <v>36436442</v>
          </cell>
          <cell r="D337" t="str">
            <v>ТОВ  "КРАЇНА ІГРАШОК"</v>
          </cell>
          <cell r="E337">
            <v>45574.4329</v>
          </cell>
          <cell r="F337">
            <v>45474</v>
          </cell>
          <cell r="G337" t="str">
            <v>E</v>
          </cell>
          <cell r="H337" t="str">
            <v>C</v>
          </cell>
          <cell r="I337" t="str">
            <v>B</v>
          </cell>
          <cell r="J337" t="str">
            <v>A</v>
          </cell>
          <cell r="K337" t="str">
            <v>D</v>
          </cell>
          <cell r="L337" t="str">
            <v>B</v>
          </cell>
          <cell r="M337" t="str">
            <v>A</v>
          </cell>
          <cell r="N337" t="str">
            <v>B</v>
          </cell>
          <cell r="O337" t="str">
            <v>A</v>
          </cell>
          <cell r="P337" t="str">
            <v>B</v>
          </cell>
          <cell r="Q337" t="str">
            <v>C</v>
          </cell>
          <cell r="R337" t="str">
            <v>A</v>
          </cell>
          <cell r="X337">
            <v>46.499999999999993</v>
          </cell>
        </row>
        <row r="338">
          <cell r="C338">
            <v>36441934</v>
          </cell>
          <cell r="D338" t="str">
            <v>ТОВ "АВ МЕТАЛ ГРУП"</v>
          </cell>
          <cell r="E338">
            <v>45904.712899999999</v>
          </cell>
          <cell r="F338">
            <v>45839</v>
          </cell>
          <cell r="G338" t="str">
            <v>C</v>
          </cell>
          <cell r="H338" t="str">
            <v>C</v>
          </cell>
          <cell r="I338" t="str">
            <v>B</v>
          </cell>
          <cell r="J338" t="str">
            <v>D</v>
          </cell>
          <cell r="K338" t="str">
            <v>C</v>
          </cell>
          <cell r="L338" t="str">
            <v>B</v>
          </cell>
          <cell r="M338" t="str">
            <v>A</v>
          </cell>
          <cell r="N338" t="str">
            <v>A</v>
          </cell>
          <cell r="O338" t="str">
            <v>A</v>
          </cell>
          <cell r="P338" t="str">
            <v>A</v>
          </cell>
          <cell r="Q338" t="str">
            <v>C</v>
          </cell>
          <cell r="R338" t="str">
            <v>C</v>
          </cell>
          <cell r="X338">
            <v>61</v>
          </cell>
        </row>
        <row r="339">
          <cell r="C339">
            <v>36450032</v>
          </cell>
          <cell r="D339" t="str">
            <v>ПП "Аптека Аронія"</v>
          </cell>
          <cell r="E339">
            <v>45674.788399999998</v>
          </cell>
          <cell r="F339">
            <v>45566</v>
          </cell>
          <cell r="G339" t="str">
            <v>B</v>
          </cell>
          <cell r="H339" t="str">
            <v>A</v>
          </cell>
          <cell r="I339" t="str">
            <v>B</v>
          </cell>
          <cell r="J339" t="str">
            <v>B</v>
          </cell>
          <cell r="K339" t="str">
            <v>C</v>
          </cell>
          <cell r="L339" t="str">
            <v>A</v>
          </cell>
          <cell r="M339" t="str">
            <v>A</v>
          </cell>
          <cell r="N339" t="str">
            <v>A</v>
          </cell>
          <cell r="O339" t="str">
            <v>B</v>
          </cell>
          <cell r="P339" t="str">
            <v>C</v>
          </cell>
          <cell r="Q339" t="str">
            <v>B</v>
          </cell>
          <cell r="R339" t="str">
            <v>B</v>
          </cell>
          <cell r="X339">
            <v>65</v>
          </cell>
        </row>
        <row r="340">
          <cell r="C340">
            <v>36469368</v>
          </cell>
          <cell r="D340" t="str">
            <v>ТОВ "ПРОМ-ТЕХНО ГРУПА"</v>
          </cell>
          <cell r="E340">
            <v>45848.717100000002</v>
          </cell>
          <cell r="F340">
            <v>45658</v>
          </cell>
          <cell r="G340" t="str">
            <v>D</v>
          </cell>
          <cell r="H340" t="str">
            <v>C</v>
          </cell>
          <cell r="I340" t="str">
            <v>D</v>
          </cell>
          <cell r="J340" t="str">
            <v>A</v>
          </cell>
          <cell r="K340" t="str">
            <v>B</v>
          </cell>
          <cell r="L340" t="str">
            <v>A</v>
          </cell>
          <cell r="M340" t="str">
            <v>A</v>
          </cell>
          <cell r="N340" t="str">
            <v>B</v>
          </cell>
          <cell r="O340" t="str">
            <v>A</v>
          </cell>
          <cell r="P340" t="str">
            <v>B</v>
          </cell>
          <cell r="Q340" t="str">
            <v>B</v>
          </cell>
          <cell r="R340" t="str">
            <v>A</v>
          </cell>
          <cell r="X340">
            <v>53.5</v>
          </cell>
        </row>
        <row r="341">
          <cell r="C341">
            <v>36537542</v>
          </cell>
          <cell r="D341" t="str">
            <v>ТОВ "БОГОДУХІВСЬКИЙ МОЛЗАВОД"</v>
          </cell>
          <cell r="E341">
            <v>45785.707600000002</v>
          </cell>
          <cell r="F341">
            <v>45658</v>
          </cell>
          <cell r="G341" t="str">
            <v>E</v>
          </cell>
          <cell r="H341" t="str">
            <v>A</v>
          </cell>
          <cell r="I341" t="str">
            <v>B</v>
          </cell>
          <cell r="J341" t="str">
            <v>B</v>
          </cell>
          <cell r="K341" t="str">
            <v>D</v>
          </cell>
          <cell r="L341" t="str">
            <v>B</v>
          </cell>
          <cell r="M341" t="str">
            <v>A</v>
          </cell>
          <cell r="N341" t="str">
            <v>B</v>
          </cell>
          <cell r="O341" t="str">
            <v>A</v>
          </cell>
          <cell r="P341" t="str">
            <v>A</v>
          </cell>
          <cell r="Q341" t="str">
            <v>C</v>
          </cell>
          <cell r="R341" t="str">
            <v>A</v>
          </cell>
          <cell r="X341">
            <v>55.7</v>
          </cell>
        </row>
        <row r="342">
          <cell r="C342">
            <v>36656813</v>
          </cell>
          <cell r="D342" t="str">
            <v>ТОВ "КБ "БУРЕВІЙ"</v>
          </cell>
          <cell r="E342">
            <v>45842.492899999997</v>
          </cell>
          <cell r="F342">
            <v>45658</v>
          </cell>
          <cell r="G342" t="str">
            <v>E</v>
          </cell>
          <cell r="H342" t="str">
            <v>B</v>
          </cell>
          <cell r="I342" t="str">
            <v>B</v>
          </cell>
          <cell r="J342" t="str">
            <v>A</v>
          </cell>
          <cell r="K342" t="str">
            <v>B</v>
          </cell>
          <cell r="L342" t="str">
            <v>B</v>
          </cell>
          <cell r="M342" t="str">
            <v>A</v>
          </cell>
          <cell r="N342" t="str">
            <v>A</v>
          </cell>
          <cell r="O342" t="str">
            <v>A</v>
          </cell>
          <cell r="P342" t="str">
            <v>B</v>
          </cell>
          <cell r="Q342" t="str">
            <v>B</v>
          </cell>
          <cell r="R342" t="str">
            <v>A</v>
          </cell>
          <cell r="X342">
            <v>56.800000000000004</v>
          </cell>
        </row>
        <row r="343">
          <cell r="C343">
            <v>36693169</v>
          </cell>
          <cell r="D343" t="str">
            <v>ТОВ "ТЕССЛАГРУП"</v>
          </cell>
          <cell r="E343">
            <v>45925.433199999999</v>
          </cell>
          <cell r="F343">
            <v>45658</v>
          </cell>
          <cell r="G343" t="str">
            <v>D</v>
          </cell>
          <cell r="H343" t="str">
            <v>B</v>
          </cell>
          <cell r="I343" t="str">
            <v>B</v>
          </cell>
          <cell r="J343" t="str">
            <v>B</v>
          </cell>
          <cell r="K343" t="str">
            <v>D</v>
          </cell>
          <cell r="L343" t="str">
            <v>A</v>
          </cell>
          <cell r="M343" t="str">
            <v>A</v>
          </cell>
          <cell r="N343" t="str">
            <v>A</v>
          </cell>
          <cell r="O343" t="str">
            <v>A</v>
          </cell>
          <cell r="P343" t="str">
            <v>C</v>
          </cell>
          <cell r="Q343" t="str">
            <v>A</v>
          </cell>
          <cell r="R343" t="str">
            <v>A</v>
          </cell>
          <cell r="X343">
            <v>65</v>
          </cell>
        </row>
        <row r="344">
          <cell r="C344">
            <v>36697006</v>
          </cell>
          <cell r="D344" t="str">
            <v>ТОВ "ЗМВ"</v>
          </cell>
          <cell r="E344">
            <v>45967.674599999998</v>
          </cell>
          <cell r="F344">
            <v>45839</v>
          </cell>
          <cell r="G344" t="str">
            <v>E</v>
          </cell>
          <cell r="H344" t="str">
            <v>C</v>
          </cell>
          <cell r="I344" t="str">
            <v>B</v>
          </cell>
          <cell r="J344" t="str">
            <v>B</v>
          </cell>
          <cell r="K344" t="str">
            <v>D</v>
          </cell>
          <cell r="L344" t="str">
            <v>A</v>
          </cell>
          <cell r="M344" t="str">
            <v>B</v>
          </cell>
          <cell r="N344" t="str">
            <v>B</v>
          </cell>
          <cell r="O344" t="str">
            <v>B</v>
          </cell>
          <cell r="P344" t="str">
            <v>B</v>
          </cell>
          <cell r="Q344" t="str">
            <v>B</v>
          </cell>
          <cell r="R344" t="str">
            <v>B</v>
          </cell>
          <cell r="X344">
            <v>42.300000000000004</v>
          </cell>
        </row>
        <row r="345">
          <cell r="C345">
            <v>36712516</v>
          </cell>
          <cell r="D345" t="str">
            <v>ТОВ "ІНВЕСТИЦІЙНА КОМПАНІЯ МВМ"</v>
          </cell>
          <cell r="E345">
            <v>45604.541799999999</v>
          </cell>
          <cell r="F345">
            <v>45474</v>
          </cell>
          <cell r="G345" t="str">
            <v>E</v>
          </cell>
          <cell r="H345" t="str">
            <v>C</v>
          </cell>
          <cell r="I345" t="str">
            <v>B</v>
          </cell>
          <cell r="J345" t="str">
            <v>B</v>
          </cell>
          <cell r="K345" t="str">
            <v>B</v>
          </cell>
          <cell r="L345" t="str">
            <v>B</v>
          </cell>
          <cell r="M345" t="str">
            <v>A</v>
          </cell>
          <cell r="N345" t="str">
            <v>A</v>
          </cell>
          <cell r="O345" t="str">
            <v>A</v>
          </cell>
          <cell r="P345" t="str">
            <v>B</v>
          </cell>
          <cell r="Q345" t="str">
            <v>B</v>
          </cell>
          <cell r="R345" t="str">
            <v>A</v>
          </cell>
          <cell r="X345">
            <v>58</v>
          </cell>
        </row>
        <row r="346">
          <cell r="C346">
            <v>36716311</v>
          </cell>
          <cell r="D346" t="str">
            <v>ТОВ "ВВТ ГРУП"</v>
          </cell>
          <cell r="E346">
            <v>45631.4689</v>
          </cell>
          <cell r="F346">
            <v>45474</v>
          </cell>
          <cell r="G346" t="str">
            <v>E</v>
          </cell>
          <cell r="H346" t="str">
            <v>B</v>
          </cell>
          <cell r="I346" t="str">
            <v>B</v>
          </cell>
          <cell r="J346" t="str">
            <v>C</v>
          </cell>
          <cell r="K346" t="str">
            <v>D</v>
          </cell>
          <cell r="L346" t="str">
            <v>B</v>
          </cell>
          <cell r="M346" t="str">
            <v>B</v>
          </cell>
          <cell r="N346" t="str">
            <v>B</v>
          </cell>
          <cell r="O346" t="str">
            <v>A</v>
          </cell>
          <cell r="P346" t="str">
            <v>C</v>
          </cell>
          <cell r="Q346" t="str">
            <v>C</v>
          </cell>
          <cell r="R346" t="str">
            <v>A</v>
          </cell>
          <cell r="X346">
            <v>45.5</v>
          </cell>
        </row>
        <row r="347">
          <cell r="C347">
            <v>36788318</v>
          </cell>
          <cell r="D347" t="str">
            <v>ТОВ "ТАС СЗ КОДИМСЬКИЙ"</v>
          </cell>
          <cell r="E347">
            <v>45855.744400000003</v>
          </cell>
          <cell r="F347">
            <v>45748</v>
          </cell>
          <cell r="G347" t="str">
            <v>C</v>
          </cell>
          <cell r="H347" t="str">
            <v>B</v>
          </cell>
          <cell r="I347" t="str">
            <v>B</v>
          </cell>
          <cell r="J347" t="str">
            <v>C</v>
          </cell>
          <cell r="K347" t="str">
            <v>C</v>
          </cell>
          <cell r="L347" t="str">
            <v>B</v>
          </cell>
          <cell r="M347" t="str">
            <v>A</v>
          </cell>
          <cell r="N347" t="str">
            <v>A</v>
          </cell>
          <cell r="O347" t="str">
            <v>A</v>
          </cell>
          <cell r="P347" t="str">
            <v>A</v>
          </cell>
          <cell r="Q347" t="str">
            <v>A</v>
          </cell>
          <cell r="R347" t="str">
            <v>B</v>
          </cell>
          <cell r="X347">
            <v>66.800000000000011</v>
          </cell>
        </row>
        <row r="348">
          <cell r="C348">
            <v>36792193</v>
          </cell>
          <cell r="D348" t="str">
            <v>ТОВ "ТГ "ПРОМТЕХСЕРВІС"</v>
          </cell>
          <cell r="E348">
            <v>45924.5556</v>
          </cell>
          <cell r="F348">
            <v>45839</v>
          </cell>
          <cell r="G348" t="str">
            <v>E</v>
          </cell>
          <cell r="H348" t="str">
            <v>B</v>
          </cell>
          <cell r="I348" t="str">
            <v>B</v>
          </cell>
          <cell r="J348" t="str">
            <v>A</v>
          </cell>
          <cell r="K348" t="str">
            <v>C</v>
          </cell>
          <cell r="L348" t="str">
            <v>A</v>
          </cell>
          <cell r="M348" t="str">
            <v>A</v>
          </cell>
          <cell r="N348" t="str">
            <v>B</v>
          </cell>
          <cell r="O348" t="str">
            <v>A</v>
          </cell>
          <cell r="P348" t="str">
            <v>A</v>
          </cell>
          <cell r="Q348" t="str">
            <v>B</v>
          </cell>
          <cell r="R348" t="str">
            <v>A</v>
          </cell>
          <cell r="X348">
            <v>59.900000000000006</v>
          </cell>
        </row>
        <row r="349">
          <cell r="C349">
            <v>36817762</v>
          </cell>
          <cell r="D349" t="str">
            <v>ТОВ "ПРОМОДО"</v>
          </cell>
          <cell r="E349">
            <v>45750.728900000002</v>
          </cell>
          <cell r="F349">
            <v>45566</v>
          </cell>
          <cell r="G349" t="str">
            <v>E</v>
          </cell>
          <cell r="H349" t="str">
            <v>B</v>
          </cell>
          <cell r="I349" t="str">
            <v>B</v>
          </cell>
          <cell r="J349" t="str">
            <v>A</v>
          </cell>
          <cell r="K349" t="str">
            <v>C</v>
          </cell>
          <cell r="L349" t="str">
            <v>A</v>
          </cell>
          <cell r="M349" t="str">
            <v>A</v>
          </cell>
          <cell r="N349" t="str">
            <v>B</v>
          </cell>
          <cell r="O349" t="str">
            <v>A</v>
          </cell>
          <cell r="P349" t="str">
            <v>C</v>
          </cell>
          <cell r="Q349" t="str">
            <v>B</v>
          </cell>
          <cell r="R349" t="str">
            <v>A</v>
          </cell>
          <cell r="X349">
            <v>55.7</v>
          </cell>
        </row>
        <row r="350">
          <cell r="C350">
            <v>36830584</v>
          </cell>
          <cell r="D350" t="str">
            <v>ПП "ТОРГОВИЙ ДІМ "ЄВРОМОТОРС"</v>
          </cell>
          <cell r="E350">
            <v>45831.7091</v>
          </cell>
          <cell r="F350">
            <v>45748</v>
          </cell>
          <cell r="G350" t="str">
            <v>D</v>
          </cell>
          <cell r="H350" t="str">
            <v>B</v>
          </cell>
          <cell r="I350" t="str">
            <v>B</v>
          </cell>
          <cell r="J350" t="str">
            <v>B</v>
          </cell>
          <cell r="K350" t="str">
            <v>D</v>
          </cell>
          <cell r="L350" t="str">
            <v>B</v>
          </cell>
          <cell r="M350" t="str">
            <v>A</v>
          </cell>
          <cell r="N350" t="str">
            <v>A</v>
          </cell>
          <cell r="O350" t="str">
            <v>A</v>
          </cell>
          <cell r="P350" t="str">
            <v>C</v>
          </cell>
          <cell r="Q350" t="str">
            <v>B</v>
          </cell>
          <cell r="R350" t="str">
            <v>B</v>
          </cell>
          <cell r="X350">
            <v>54.2</v>
          </cell>
        </row>
        <row r="351">
          <cell r="C351">
            <v>36866563</v>
          </cell>
          <cell r="D351" t="str">
            <v>ТОВ "СОКАР ЕНЕРДЖІ УКРАЇНА"</v>
          </cell>
          <cell r="E351">
            <v>45772.500399999997</v>
          </cell>
          <cell r="F351">
            <v>45658</v>
          </cell>
          <cell r="G351" t="str">
            <v>D</v>
          </cell>
          <cell r="H351" t="str">
            <v>D</v>
          </cell>
          <cell r="I351" t="str">
            <v>C</v>
          </cell>
          <cell r="J351" t="str">
            <v>C</v>
          </cell>
          <cell r="K351" t="str">
            <v>E</v>
          </cell>
          <cell r="L351" t="str">
            <v>B</v>
          </cell>
          <cell r="M351" t="str">
            <v>A</v>
          </cell>
          <cell r="N351" t="str">
            <v>B</v>
          </cell>
          <cell r="O351" t="str">
            <v>A</v>
          </cell>
          <cell r="P351" t="str">
            <v>D</v>
          </cell>
          <cell r="Q351" t="str">
            <v>B</v>
          </cell>
          <cell r="R351" t="str">
            <v>B</v>
          </cell>
          <cell r="X351">
            <v>37.1</v>
          </cell>
        </row>
        <row r="352">
          <cell r="C352">
            <v>36867724</v>
          </cell>
          <cell r="D352" t="str">
            <v>ТОВ "ТЕРРАФУД"</v>
          </cell>
          <cell r="E352">
            <v>45827.719799999999</v>
          </cell>
          <cell r="F352">
            <v>45658</v>
          </cell>
          <cell r="G352" t="str">
            <v>D</v>
          </cell>
          <cell r="H352" t="str">
            <v>B</v>
          </cell>
          <cell r="I352" t="str">
            <v>B</v>
          </cell>
          <cell r="J352" t="str">
            <v>A</v>
          </cell>
          <cell r="K352" t="str">
            <v>D</v>
          </cell>
          <cell r="L352" t="str">
            <v>B</v>
          </cell>
          <cell r="M352" t="str">
            <v>A</v>
          </cell>
          <cell r="N352" t="str">
            <v>D</v>
          </cell>
          <cell r="O352" t="str">
            <v>B</v>
          </cell>
          <cell r="P352" t="str">
            <v>C</v>
          </cell>
          <cell r="Q352" t="str">
            <v>B</v>
          </cell>
          <cell r="R352" t="str">
            <v>A</v>
          </cell>
          <cell r="X352">
            <v>45.4</v>
          </cell>
        </row>
        <row r="353">
          <cell r="C353">
            <v>36962487</v>
          </cell>
          <cell r="D353" t="str">
            <v>ТОВ "КОМФІ ТРЕЙД"</v>
          </cell>
          <cell r="E353">
            <v>45904.595200000003</v>
          </cell>
          <cell r="F353">
            <v>45839</v>
          </cell>
          <cell r="G353" t="str">
            <v>C</v>
          </cell>
          <cell r="H353" t="str">
            <v>B</v>
          </cell>
          <cell r="I353" t="str">
            <v>B</v>
          </cell>
          <cell r="J353" t="str">
            <v>B</v>
          </cell>
          <cell r="K353" t="str">
            <v>D</v>
          </cell>
          <cell r="L353" t="str">
            <v>A</v>
          </cell>
          <cell r="M353" t="str">
            <v>A</v>
          </cell>
          <cell r="N353" t="str">
            <v>A</v>
          </cell>
          <cell r="O353" t="str">
            <v>A</v>
          </cell>
          <cell r="P353" t="str">
            <v>A</v>
          </cell>
          <cell r="Q353" t="str">
            <v>B</v>
          </cell>
          <cell r="R353" t="str">
            <v>A</v>
          </cell>
          <cell r="X353">
            <v>67.2</v>
          </cell>
        </row>
        <row r="354">
          <cell r="C354">
            <v>36962995</v>
          </cell>
          <cell r="D354" t="str">
            <v>ТОВ "АЛЬТЕР ГРУПП"</v>
          </cell>
          <cell r="E354">
            <v>45721.486499999999</v>
          </cell>
          <cell r="F354">
            <v>45658</v>
          </cell>
          <cell r="G354" t="str">
            <v>E</v>
          </cell>
          <cell r="H354" t="str">
            <v>B</v>
          </cell>
          <cell r="I354" t="str">
            <v>B</v>
          </cell>
          <cell r="J354" t="str">
            <v>C</v>
          </cell>
          <cell r="K354" t="str">
            <v>D</v>
          </cell>
          <cell r="L354" t="str">
            <v>B</v>
          </cell>
          <cell r="M354" t="str">
            <v>A</v>
          </cell>
          <cell r="N354" t="str">
            <v>B</v>
          </cell>
          <cell r="O354" t="str">
            <v>A</v>
          </cell>
          <cell r="P354" t="str">
            <v>C</v>
          </cell>
          <cell r="Q354" t="str">
            <v>C</v>
          </cell>
          <cell r="R354" t="str">
            <v>A</v>
          </cell>
          <cell r="X354">
            <v>51.9</v>
          </cell>
        </row>
        <row r="355">
          <cell r="C355">
            <v>37007132</v>
          </cell>
          <cell r="D355" t="str">
            <v>ТОВ "БК "МЕТКОМ ІНВЕСТ"</v>
          </cell>
          <cell r="E355">
            <v>45945.514600000002</v>
          </cell>
          <cell r="F355">
            <v>45839</v>
          </cell>
          <cell r="G355" t="str">
            <v>E</v>
          </cell>
          <cell r="H355" t="str">
            <v>B</v>
          </cell>
          <cell r="I355" t="str">
            <v>B</v>
          </cell>
          <cell r="J355" t="str">
            <v>A</v>
          </cell>
          <cell r="K355" t="str">
            <v>C</v>
          </cell>
          <cell r="L355" t="str">
            <v>A</v>
          </cell>
          <cell r="M355" t="str">
            <v>A</v>
          </cell>
          <cell r="N355" t="str">
            <v>B</v>
          </cell>
          <cell r="O355" t="str">
            <v>A</v>
          </cell>
          <cell r="P355" t="str">
            <v>C</v>
          </cell>
          <cell r="Q355" t="str">
            <v>B</v>
          </cell>
          <cell r="R355" t="str">
            <v>B</v>
          </cell>
          <cell r="X355">
            <v>52.1</v>
          </cell>
        </row>
        <row r="356">
          <cell r="C356">
            <v>37022936</v>
          </cell>
          <cell r="D356" t="str">
            <v>ТОВ "ЗАХІД АГРОБІЗНЕС"</v>
          </cell>
          <cell r="E356">
            <v>45965.534</v>
          </cell>
          <cell r="F356">
            <v>45839</v>
          </cell>
          <cell r="G356" t="str">
            <v>E</v>
          </cell>
          <cell r="H356" t="str">
            <v>B</v>
          </cell>
          <cell r="I356" t="str">
            <v>A</v>
          </cell>
          <cell r="J356" t="str">
            <v>B</v>
          </cell>
          <cell r="K356" t="str">
            <v>D</v>
          </cell>
          <cell r="L356" t="str">
            <v>A</v>
          </cell>
          <cell r="M356" t="str">
            <v>A</v>
          </cell>
          <cell r="N356" t="str">
            <v>A</v>
          </cell>
          <cell r="O356" t="str">
            <v>A</v>
          </cell>
          <cell r="P356" t="str">
            <v>C</v>
          </cell>
          <cell r="Q356" t="str">
            <v>B</v>
          </cell>
          <cell r="R356" t="str">
            <v>B</v>
          </cell>
          <cell r="X356">
            <v>51</v>
          </cell>
        </row>
        <row r="357">
          <cell r="C357">
            <v>37064892</v>
          </cell>
          <cell r="D357" t="str">
            <v>ТОВ "РУДОМАЙН"</v>
          </cell>
          <cell r="E357">
            <v>45887.605499999998</v>
          </cell>
          <cell r="F357">
            <v>45839</v>
          </cell>
          <cell r="G357" t="str">
            <v>E</v>
          </cell>
          <cell r="H357" t="str">
            <v>B</v>
          </cell>
          <cell r="I357" t="str">
            <v>C</v>
          </cell>
          <cell r="J357" t="str">
            <v>A</v>
          </cell>
          <cell r="K357" t="str">
            <v>E</v>
          </cell>
          <cell r="L357" t="str">
            <v>B</v>
          </cell>
          <cell r="M357" t="str">
            <v>A</v>
          </cell>
          <cell r="N357" t="str">
            <v>C</v>
          </cell>
          <cell r="O357" t="str">
            <v>A</v>
          </cell>
          <cell r="P357" t="str">
            <v>C</v>
          </cell>
          <cell r="Q357" t="str">
            <v>B</v>
          </cell>
          <cell r="R357" t="str">
            <v>A</v>
          </cell>
          <cell r="X357">
            <v>37.4</v>
          </cell>
        </row>
        <row r="358">
          <cell r="C358">
            <v>37083810</v>
          </cell>
          <cell r="D358" t="str">
            <v>ТОВ "ЕНСЕЛКО АГРО"</v>
          </cell>
          <cell r="E358">
            <v>45967.529900000001</v>
          </cell>
          <cell r="F358">
            <v>45839</v>
          </cell>
          <cell r="G358" t="str">
            <v>D</v>
          </cell>
          <cell r="H358" t="str">
            <v>B</v>
          </cell>
          <cell r="I358" t="str">
            <v>B</v>
          </cell>
          <cell r="J358" t="str">
            <v>A</v>
          </cell>
          <cell r="K358" t="str">
            <v>D</v>
          </cell>
          <cell r="L358" t="str">
            <v>A</v>
          </cell>
          <cell r="M358" t="str">
            <v>A</v>
          </cell>
          <cell r="N358" t="str">
            <v>A</v>
          </cell>
          <cell r="O358" t="str">
            <v>A</v>
          </cell>
          <cell r="P358" t="str">
            <v>B</v>
          </cell>
          <cell r="Q358" t="str">
            <v>B</v>
          </cell>
          <cell r="R358" t="str">
            <v>A</v>
          </cell>
          <cell r="X358">
            <v>61.600000000000009</v>
          </cell>
        </row>
        <row r="359">
          <cell r="C359">
            <v>37089864</v>
          </cell>
          <cell r="D359" t="str">
            <v>ТОВ "НОРМА ТРЕЙД ГРУП"</v>
          </cell>
          <cell r="E359">
            <v>45588</v>
          </cell>
          <cell r="F359">
            <v>45474</v>
          </cell>
          <cell r="G359" t="str">
            <v>E</v>
          </cell>
          <cell r="H359" t="str">
            <v>B</v>
          </cell>
          <cell r="I359" t="str">
            <v>B</v>
          </cell>
          <cell r="J359" t="str">
            <v>A</v>
          </cell>
          <cell r="K359" t="str">
            <v>C</v>
          </cell>
          <cell r="L359" t="str">
            <v>B</v>
          </cell>
          <cell r="M359" t="str">
            <v>A</v>
          </cell>
          <cell r="N359" t="str">
            <v>B</v>
          </cell>
          <cell r="O359" t="str">
            <v>A</v>
          </cell>
          <cell r="P359" t="str">
            <v>D</v>
          </cell>
          <cell r="Q359" t="str">
            <v>B</v>
          </cell>
          <cell r="R359" t="str">
            <v>A</v>
          </cell>
          <cell r="X359">
            <v>49.1</v>
          </cell>
        </row>
        <row r="360">
          <cell r="C360">
            <v>37112925</v>
          </cell>
          <cell r="D360" t="str">
            <v>ТОВ " АПФ "РОДНИК ПЛЮС"</v>
          </cell>
          <cell r="E360">
            <v>45840.463900000002</v>
          </cell>
          <cell r="F360">
            <v>45658</v>
          </cell>
          <cell r="G360" t="str">
            <v>C</v>
          </cell>
          <cell r="H360" t="str">
            <v>D</v>
          </cell>
          <cell r="I360" t="str">
            <v>D</v>
          </cell>
          <cell r="J360" t="str">
            <v>D</v>
          </cell>
          <cell r="K360" t="str">
            <v>C</v>
          </cell>
          <cell r="L360" t="str">
            <v>A</v>
          </cell>
          <cell r="M360" t="str">
            <v>B</v>
          </cell>
          <cell r="N360" t="str">
            <v>A</v>
          </cell>
          <cell r="O360" t="str">
            <v>A</v>
          </cell>
          <cell r="P360" t="str">
            <v>A</v>
          </cell>
          <cell r="Q360" t="str">
            <v>B</v>
          </cell>
          <cell r="R360" t="str">
            <v>A</v>
          </cell>
          <cell r="X360">
            <v>56.4</v>
          </cell>
        </row>
        <row r="361">
          <cell r="C361">
            <v>37117252</v>
          </cell>
          <cell r="D361" t="str">
            <v>ТОВ "ОН-ЛАЙН СЕРВІС"</v>
          </cell>
          <cell r="E361">
            <v>45769.696000000004</v>
          </cell>
          <cell r="F361">
            <v>45658</v>
          </cell>
          <cell r="G361" t="str">
            <v>C</v>
          </cell>
          <cell r="H361" t="str">
            <v>C</v>
          </cell>
          <cell r="I361" t="str">
            <v>A</v>
          </cell>
          <cell r="J361" t="str">
            <v>B</v>
          </cell>
          <cell r="K361" t="str">
            <v>D</v>
          </cell>
          <cell r="L361" t="str">
            <v>B</v>
          </cell>
          <cell r="M361" t="str">
            <v>A</v>
          </cell>
          <cell r="N361" t="str">
            <v>A</v>
          </cell>
          <cell r="O361" t="str">
            <v>A</v>
          </cell>
          <cell r="P361" t="str">
            <v>C</v>
          </cell>
          <cell r="Q361" t="str">
            <v>C</v>
          </cell>
          <cell r="R361" t="str">
            <v>C</v>
          </cell>
          <cell r="X361">
            <v>44.399999999999991</v>
          </cell>
        </row>
        <row r="362">
          <cell r="C362">
            <v>37120506</v>
          </cell>
          <cell r="D362" t="str">
            <v>ТОВ "КОФІТОН"</v>
          </cell>
          <cell r="E362">
            <v>45567.656900000002</v>
          </cell>
          <cell r="F362">
            <v>45474</v>
          </cell>
          <cell r="G362" t="str">
            <v>E</v>
          </cell>
          <cell r="H362" t="str">
            <v>C</v>
          </cell>
          <cell r="I362" t="str">
            <v>B</v>
          </cell>
          <cell r="J362" t="str">
            <v>B</v>
          </cell>
          <cell r="K362" t="str">
            <v>E</v>
          </cell>
          <cell r="L362" t="str">
            <v>B</v>
          </cell>
          <cell r="M362" t="str">
            <v>A</v>
          </cell>
          <cell r="N362" t="str">
            <v>B</v>
          </cell>
          <cell r="O362" t="str">
            <v>A</v>
          </cell>
          <cell r="P362" t="str">
            <v>C</v>
          </cell>
          <cell r="Q362" t="str">
            <v>B</v>
          </cell>
          <cell r="R362" t="str">
            <v>B</v>
          </cell>
          <cell r="X362">
            <v>44.5</v>
          </cell>
        </row>
        <row r="363">
          <cell r="C363">
            <v>37129163</v>
          </cell>
          <cell r="D363" t="str">
            <v>ТОВ "АЛЬБАКОР"</v>
          </cell>
          <cell r="E363">
            <v>45903.6728</v>
          </cell>
          <cell r="F363">
            <v>45839</v>
          </cell>
          <cell r="G363" t="str">
            <v>C</v>
          </cell>
          <cell r="H363" t="str">
            <v>C</v>
          </cell>
          <cell r="I363" t="str">
            <v>B</v>
          </cell>
          <cell r="J363" t="str">
            <v>D</v>
          </cell>
          <cell r="K363" t="str">
            <v>C</v>
          </cell>
          <cell r="L363" t="str">
            <v>A</v>
          </cell>
          <cell r="M363" t="str">
            <v>A</v>
          </cell>
          <cell r="N363" t="str">
            <v>A</v>
          </cell>
          <cell r="O363" t="str">
            <v>A</v>
          </cell>
          <cell r="P363" t="str">
            <v>C</v>
          </cell>
          <cell r="Q363" t="str">
            <v>C</v>
          </cell>
          <cell r="R363" t="str">
            <v>C</v>
          </cell>
          <cell r="X363">
            <v>61.599999999999994</v>
          </cell>
        </row>
        <row r="364">
          <cell r="C364">
            <v>37154100</v>
          </cell>
          <cell r="D364" t="str">
            <v>ТОВ "ШАРЛІС"</v>
          </cell>
          <cell r="E364">
            <v>45777.455000000002</v>
          </cell>
          <cell r="F364">
            <v>45658</v>
          </cell>
          <cell r="G364" t="str">
            <v>E</v>
          </cell>
          <cell r="H364" t="str">
            <v>B</v>
          </cell>
          <cell r="I364" t="str">
            <v>B</v>
          </cell>
          <cell r="J364" t="str">
            <v>C</v>
          </cell>
          <cell r="K364" t="str">
            <v>D</v>
          </cell>
          <cell r="L364" t="str">
            <v>B</v>
          </cell>
          <cell r="M364" t="str">
            <v>B</v>
          </cell>
          <cell r="N364" t="str">
            <v>A</v>
          </cell>
          <cell r="O364" t="str">
            <v>A</v>
          </cell>
          <cell r="P364" t="str">
            <v>C</v>
          </cell>
          <cell r="Q364" t="str">
            <v>C</v>
          </cell>
          <cell r="R364" t="str">
            <v>A</v>
          </cell>
          <cell r="X364">
            <v>48.8</v>
          </cell>
        </row>
        <row r="365">
          <cell r="C365">
            <v>37154268</v>
          </cell>
          <cell r="D365" t="str">
            <v>ТОВ "КРЕМТОРГ"</v>
          </cell>
          <cell r="E365">
            <v>45777.455000000002</v>
          </cell>
          <cell r="F365">
            <v>45658</v>
          </cell>
          <cell r="G365" t="str">
            <v>E</v>
          </cell>
          <cell r="H365" t="str">
            <v>B</v>
          </cell>
          <cell r="I365" t="str">
            <v>B</v>
          </cell>
          <cell r="J365" t="str">
            <v>C</v>
          </cell>
          <cell r="K365" t="str">
            <v>D</v>
          </cell>
          <cell r="L365" t="str">
            <v>B</v>
          </cell>
          <cell r="M365" t="str">
            <v>B</v>
          </cell>
          <cell r="N365" t="str">
            <v>A</v>
          </cell>
          <cell r="O365" t="str">
            <v>A</v>
          </cell>
          <cell r="P365" t="str">
            <v>C</v>
          </cell>
          <cell r="Q365" t="str">
            <v>C</v>
          </cell>
          <cell r="R365" t="str">
            <v>A</v>
          </cell>
          <cell r="X365">
            <v>48.8</v>
          </cell>
        </row>
        <row r="366">
          <cell r="C366">
            <v>37176517</v>
          </cell>
          <cell r="D366" t="str">
            <v>ТОВ "БОГДАН АВТО"</v>
          </cell>
          <cell r="E366">
            <v>45923.477500000001</v>
          </cell>
          <cell r="F366">
            <v>45839</v>
          </cell>
          <cell r="G366" t="str">
            <v>E</v>
          </cell>
          <cell r="H366" t="str">
            <v>B</v>
          </cell>
          <cell r="I366" t="str">
            <v>B</v>
          </cell>
          <cell r="J366" t="str">
            <v>A</v>
          </cell>
          <cell r="K366" t="str">
            <v>D</v>
          </cell>
          <cell r="L366" t="str">
            <v>A</v>
          </cell>
          <cell r="M366" t="str">
            <v>A</v>
          </cell>
          <cell r="N366" t="str">
            <v>B</v>
          </cell>
          <cell r="O366" t="str">
            <v>A</v>
          </cell>
          <cell r="P366" t="str">
            <v>A</v>
          </cell>
          <cell r="Q366" t="str">
            <v>B</v>
          </cell>
          <cell r="R366" t="str">
            <v>B</v>
          </cell>
          <cell r="X366">
            <v>53.5</v>
          </cell>
        </row>
        <row r="367">
          <cell r="C367">
            <v>37215550</v>
          </cell>
          <cell r="D367" t="str">
            <v>ТОВ "ВАЙТ"</v>
          </cell>
          <cell r="E367">
            <v>45574.7425</v>
          </cell>
          <cell r="F367">
            <v>45474</v>
          </cell>
          <cell r="G367" t="str">
            <v>E</v>
          </cell>
          <cell r="H367" t="str">
            <v>C</v>
          </cell>
          <cell r="I367" t="str">
            <v>B</v>
          </cell>
          <cell r="J367" t="str">
            <v>A</v>
          </cell>
          <cell r="K367" t="str">
            <v>D</v>
          </cell>
          <cell r="L367" t="str">
            <v>B</v>
          </cell>
          <cell r="M367" t="str">
            <v>B</v>
          </cell>
          <cell r="N367" t="str">
            <v>B</v>
          </cell>
          <cell r="O367" t="str">
            <v>B</v>
          </cell>
          <cell r="P367" t="str">
            <v>B</v>
          </cell>
          <cell r="Q367" t="str">
            <v>C</v>
          </cell>
          <cell r="R367" t="str">
            <v>A</v>
          </cell>
          <cell r="X367">
            <v>36.5</v>
          </cell>
        </row>
        <row r="368">
          <cell r="C368">
            <v>37232230</v>
          </cell>
          <cell r="D368" t="str">
            <v>ТОВ"РЕНДЖИ САРАТА"</v>
          </cell>
          <cell r="E368">
            <v>45784.464399999997</v>
          </cell>
          <cell r="F368">
            <v>45658</v>
          </cell>
          <cell r="G368" t="str">
            <v>E</v>
          </cell>
          <cell r="H368" t="str">
            <v>C</v>
          </cell>
          <cell r="I368" t="str">
            <v>B</v>
          </cell>
          <cell r="J368" t="str">
            <v>A</v>
          </cell>
          <cell r="K368" t="str">
            <v>D</v>
          </cell>
          <cell r="L368" t="str">
            <v>A</v>
          </cell>
          <cell r="M368" t="str">
            <v>A</v>
          </cell>
          <cell r="N368" t="str">
            <v>B</v>
          </cell>
          <cell r="O368" t="str">
            <v>A</v>
          </cell>
          <cell r="P368" t="str">
            <v>D</v>
          </cell>
          <cell r="Q368" t="str">
            <v>B</v>
          </cell>
          <cell r="R368" t="str">
            <v>C</v>
          </cell>
          <cell r="X368">
            <v>43.5</v>
          </cell>
        </row>
        <row r="369">
          <cell r="C369">
            <v>37248413</v>
          </cell>
          <cell r="D369" t="str">
            <v>ТОВ "ГІДРОПАУЕР"</v>
          </cell>
          <cell r="E369">
            <v>45884.612500000003</v>
          </cell>
          <cell r="F369">
            <v>45839</v>
          </cell>
          <cell r="G369" t="str">
            <v>E</v>
          </cell>
          <cell r="H369" t="str">
            <v>B</v>
          </cell>
          <cell r="I369" t="str">
            <v>B</v>
          </cell>
          <cell r="J369" t="str">
            <v>A</v>
          </cell>
          <cell r="K369" t="str">
            <v>D</v>
          </cell>
          <cell r="L369" t="str">
            <v>A</v>
          </cell>
          <cell r="M369" t="str">
            <v>A</v>
          </cell>
          <cell r="N369" t="str">
            <v>A</v>
          </cell>
          <cell r="O369" t="str">
            <v>A</v>
          </cell>
          <cell r="P369" t="str">
            <v>B</v>
          </cell>
          <cell r="Q369" t="str">
            <v>A</v>
          </cell>
          <cell r="R369" t="str">
            <v>B</v>
          </cell>
          <cell r="X369">
            <v>56.8</v>
          </cell>
        </row>
        <row r="370">
          <cell r="C370">
            <v>37263300</v>
          </cell>
          <cell r="D370" t="str">
            <v>ТОВ "ХОЛДИНГ СОЛЛІ ПЛЮС"</v>
          </cell>
          <cell r="E370">
            <v>45861.418100000003</v>
          </cell>
          <cell r="F370">
            <v>45748</v>
          </cell>
          <cell r="G370" t="str">
            <v>E</v>
          </cell>
          <cell r="H370" t="str">
            <v>B</v>
          </cell>
          <cell r="I370" t="str">
            <v>B</v>
          </cell>
          <cell r="J370" t="str">
            <v>C</v>
          </cell>
          <cell r="K370" t="str">
            <v>D</v>
          </cell>
          <cell r="L370" t="str">
            <v>A</v>
          </cell>
          <cell r="M370" t="str">
            <v>A</v>
          </cell>
          <cell r="N370" t="str">
            <v>B</v>
          </cell>
          <cell r="O370" t="str">
            <v>B</v>
          </cell>
          <cell r="P370" t="str">
            <v>C</v>
          </cell>
          <cell r="Q370" t="str">
            <v>B</v>
          </cell>
          <cell r="R370" t="str">
            <v>C</v>
          </cell>
          <cell r="X370">
            <v>48.900000000000006</v>
          </cell>
        </row>
        <row r="371">
          <cell r="C371">
            <v>37269061</v>
          </cell>
          <cell r="D371" t="str">
            <v>ТОВ "ДВЄ"</v>
          </cell>
          <cell r="E371">
            <v>45785.745999999999</v>
          </cell>
          <cell r="F371">
            <v>45658</v>
          </cell>
          <cell r="G371" t="str">
            <v>E</v>
          </cell>
          <cell r="H371" t="str">
            <v>A</v>
          </cell>
          <cell r="I371" t="str">
            <v>B</v>
          </cell>
          <cell r="J371" t="str">
            <v>A</v>
          </cell>
          <cell r="K371" t="str">
            <v>D</v>
          </cell>
          <cell r="L371" t="str">
            <v>A</v>
          </cell>
          <cell r="M371" t="str">
            <v>A</v>
          </cell>
          <cell r="N371" t="str">
            <v>B</v>
          </cell>
          <cell r="O371" t="str">
            <v>A</v>
          </cell>
          <cell r="P371" t="str">
            <v>C</v>
          </cell>
          <cell r="Q371" t="str">
            <v>B</v>
          </cell>
          <cell r="R371" t="str">
            <v>A</v>
          </cell>
          <cell r="X371">
            <v>55.300000000000004</v>
          </cell>
        </row>
        <row r="372">
          <cell r="C372">
            <v>37277313</v>
          </cell>
          <cell r="D372" t="str">
            <v>ФГ "Бережинське"</v>
          </cell>
          <cell r="E372">
            <v>45779.435700000002</v>
          </cell>
          <cell r="F372">
            <v>45658</v>
          </cell>
          <cell r="G372" t="str">
            <v>E</v>
          </cell>
          <cell r="H372" t="str">
            <v>B</v>
          </cell>
          <cell r="I372" t="str">
            <v>A</v>
          </cell>
          <cell r="J372" t="str">
            <v>B</v>
          </cell>
          <cell r="K372" t="str">
            <v>D</v>
          </cell>
          <cell r="L372" t="str">
            <v>A</v>
          </cell>
          <cell r="M372" t="str">
            <v>C</v>
          </cell>
          <cell r="N372" t="str">
            <v>B</v>
          </cell>
          <cell r="O372" t="str">
            <v>A</v>
          </cell>
          <cell r="P372" t="str">
            <v>B</v>
          </cell>
          <cell r="Q372" t="str">
            <v>B</v>
          </cell>
          <cell r="R372" t="str">
            <v>A</v>
          </cell>
          <cell r="X372">
            <v>45.5</v>
          </cell>
        </row>
        <row r="373">
          <cell r="C373">
            <v>37306286</v>
          </cell>
          <cell r="D373" t="str">
            <v>ТОВ "Елсис"</v>
          </cell>
          <cell r="E373">
            <v>45770.405200000001</v>
          </cell>
          <cell r="F373">
            <v>45658</v>
          </cell>
          <cell r="G373" t="str">
            <v>E</v>
          </cell>
          <cell r="H373" t="str">
            <v>B</v>
          </cell>
          <cell r="I373" t="str">
            <v>B</v>
          </cell>
          <cell r="J373" t="str">
            <v>A</v>
          </cell>
          <cell r="K373" t="str">
            <v>C</v>
          </cell>
          <cell r="L373" t="str">
            <v>B</v>
          </cell>
          <cell r="M373" t="str">
            <v>A</v>
          </cell>
          <cell r="N373" t="str">
            <v>A</v>
          </cell>
          <cell r="O373" t="str">
            <v>A</v>
          </cell>
          <cell r="P373" t="str">
            <v>B</v>
          </cell>
          <cell r="Q373" t="str">
            <v>B</v>
          </cell>
          <cell r="R373" t="str">
            <v>A</v>
          </cell>
          <cell r="X373">
            <v>56</v>
          </cell>
        </row>
        <row r="374">
          <cell r="C374">
            <v>37306789</v>
          </cell>
          <cell r="D374" t="str">
            <v>ТОВ "АВАКС ПРОФ"</v>
          </cell>
          <cell r="E374">
            <v>45600.678899999999</v>
          </cell>
          <cell r="F374">
            <v>45474</v>
          </cell>
          <cell r="G374" t="str">
            <v>E</v>
          </cell>
          <cell r="H374" t="str">
            <v>B</v>
          </cell>
          <cell r="I374" t="str">
            <v>B</v>
          </cell>
          <cell r="J374" t="str">
            <v>C</v>
          </cell>
          <cell r="K374" t="str">
            <v>E</v>
          </cell>
          <cell r="L374" t="str">
            <v>A</v>
          </cell>
          <cell r="M374" t="str">
            <v>C</v>
          </cell>
          <cell r="N374" t="str">
            <v>B</v>
          </cell>
          <cell r="O374" t="str">
            <v>A</v>
          </cell>
          <cell r="P374" t="str">
            <v>C</v>
          </cell>
          <cell r="Q374" t="str">
            <v>B</v>
          </cell>
          <cell r="R374" t="str">
            <v>A</v>
          </cell>
          <cell r="X374">
            <v>49.7</v>
          </cell>
        </row>
        <row r="375">
          <cell r="C375">
            <v>37317015</v>
          </cell>
          <cell r="D375" t="str">
            <v>ТОВ "ТМ "ТЕХНІКС ТРЕЙДИНГ"</v>
          </cell>
          <cell r="E375">
            <v>45618.6999</v>
          </cell>
          <cell r="F375">
            <v>45474</v>
          </cell>
          <cell r="G375" t="str">
            <v>E</v>
          </cell>
          <cell r="H375" t="str">
            <v>B</v>
          </cell>
          <cell r="I375" t="str">
            <v>B</v>
          </cell>
          <cell r="J375" t="str">
            <v>B</v>
          </cell>
          <cell r="K375" t="str">
            <v>C</v>
          </cell>
          <cell r="L375" t="str">
            <v>A</v>
          </cell>
          <cell r="M375" t="str">
            <v>B</v>
          </cell>
          <cell r="N375" t="str">
            <v>B</v>
          </cell>
          <cell r="O375" t="str">
            <v>A</v>
          </cell>
          <cell r="P375" t="str">
            <v>C</v>
          </cell>
          <cell r="Q375" t="str">
            <v>C</v>
          </cell>
          <cell r="R375" t="str">
            <v>A</v>
          </cell>
          <cell r="X375">
            <v>50.3</v>
          </cell>
        </row>
        <row r="376">
          <cell r="C376">
            <v>37324614</v>
          </cell>
          <cell r="D376" t="str">
            <v>ТОВ "АПК-АРТЕМ"</v>
          </cell>
          <cell r="E376">
            <v>45736.444600000003</v>
          </cell>
          <cell r="F376">
            <v>45566</v>
          </cell>
          <cell r="G376" t="str">
            <v>D</v>
          </cell>
          <cell r="H376" t="str">
            <v>C</v>
          </cell>
          <cell r="I376" t="str">
            <v>D</v>
          </cell>
          <cell r="J376" t="str">
            <v>D</v>
          </cell>
          <cell r="K376" t="str">
            <v>D</v>
          </cell>
          <cell r="L376" t="str">
            <v>A</v>
          </cell>
          <cell r="M376" t="str">
            <v>C</v>
          </cell>
          <cell r="N376" t="str">
            <v>B</v>
          </cell>
          <cell r="O376" t="str">
            <v>B</v>
          </cell>
          <cell r="P376" t="str">
            <v>C</v>
          </cell>
          <cell r="Q376" t="str">
            <v>C</v>
          </cell>
          <cell r="R376" t="str">
            <v>A</v>
          </cell>
          <cell r="X376">
            <v>43.099999999999987</v>
          </cell>
        </row>
        <row r="377">
          <cell r="C377">
            <v>37334135</v>
          </cell>
          <cell r="D377" t="str">
            <v>ТОВ "Сабріз"</v>
          </cell>
          <cell r="E377">
            <v>45845.756300000001</v>
          </cell>
          <cell r="F377">
            <v>45658</v>
          </cell>
          <cell r="G377" t="str">
            <v>E</v>
          </cell>
          <cell r="H377" t="str">
            <v>B</v>
          </cell>
          <cell r="I377" t="str">
            <v>B</v>
          </cell>
          <cell r="J377" t="str">
            <v>C</v>
          </cell>
          <cell r="K377" t="str">
            <v>D</v>
          </cell>
          <cell r="L377" t="str">
            <v>A</v>
          </cell>
          <cell r="M377" t="str">
            <v>A</v>
          </cell>
          <cell r="N377" t="str">
            <v>B</v>
          </cell>
          <cell r="O377" t="str">
            <v>A</v>
          </cell>
          <cell r="P377" t="str">
            <v>C</v>
          </cell>
          <cell r="Q377" t="str">
            <v>C</v>
          </cell>
          <cell r="R377" t="str">
            <v>A</v>
          </cell>
          <cell r="X377">
            <v>56.7</v>
          </cell>
        </row>
        <row r="378">
          <cell r="C378">
            <v>37351915</v>
          </cell>
          <cell r="D378" t="str">
            <v>ТОВ "АДІС-МОТОР"</v>
          </cell>
          <cell r="E378">
            <v>45916.505400000002</v>
          </cell>
          <cell r="F378">
            <v>45839</v>
          </cell>
          <cell r="G378" t="str">
            <v>D</v>
          </cell>
          <cell r="H378" t="str">
            <v>B</v>
          </cell>
          <cell r="I378" t="str">
            <v>A</v>
          </cell>
          <cell r="J378" t="str">
            <v>B</v>
          </cell>
          <cell r="K378" t="str">
            <v>B</v>
          </cell>
          <cell r="L378" t="str">
            <v>B</v>
          </cell>
          <cell r="M378" t="str">
            <v>A</v>
          </cell>
          <cell r="N378" t="str">
            <v>A</v>
          </cell>
          <cell r="O378" t="str">
            <v>A</v>
          </cell>
          <cell r="P378" t="str">
            <v>B</v>
          </cell>
          <cell r="Q378" t="str">
            <v>C</v>
          </cell>
          <cell r="R378" t="str">
            <v>C</v>
          </cell>
          <cell r="X378">
            <v>51</v>
          </cell>
        </row>
        <row r="379">
          <cell r="C379">
            <v>37361661</v>
          </cell>
          <cell r="D379" t="str">
            <v>ТОВ""ПЕТРОЛ ЛОГІСТИК"</v>
          </cell>
          <cell r="E379">
            <v>45748.402099999999</v>
          </cell>
          <cell r="F379">
            <v>45566</v>
          </cell>
          <cell r="G379" t="str">
            <v>E</v>
          </cell>
          <cell r="H379" t="str">
            <v>C</v>
          </cell>
          <cell r="I379" t="str">
            <v>B</v>
          </cell>
          <cell r="J379" t="str">
            <v>C</v>
          </cell>
          <cell r="K379" t="str">
            <v>D</v>
          </cell>
          <cell r="L379" t="str">
            <v>B</v>
          </cell>
          <cell r="M379" t="str">
            <v>A</v>
          </cell>
          <cell r="N379" t="str">
            <v>B</v>
          </cell>
          <cell r="O379" t="str">
            <v>A</v>
          </cell>
          <cell r="P379" t="str">
            <v>C</v>
          </cell>
          <cell r="Q379" t="str">
            <v>C</v>
          </cell>
          <cell r="R379" t="str">
            <v>C</v>
          </cell>
          <cell r="X379">
            <v>44.3</v>
          </cell>
        </row>
        <row r="380">
          <cell r="C380">
            <v>37400380</v>
          </cell>
          <cell r="D380" t="str">
            <v>ТОВ "МАКЛАУТ РЕГІОН"</v>
          </cell>
          <cell r="E380">
            <v>45796.627399999998</v>
          </cell>
          <cell r="F380">
            <v>45658</v>
          </cell>
          <cell r="G380" t="str">
            <v>E</v>
          </cell>
          <cell r="H380" t="str">
            <v>B</v>
          </cell>
          <cell r="I380" t="str">
            <v>B</v>
          </cell>
          <cell r="J380" t="str">
            <v>A</v>
          </cell>
          <cell r="K380" t="str">
            <v>D</v>
          </cell>
          <cell r="L380" t="str">
            <v>A</v>
          </cell>
          <cell r="M380" t="str">
            <v>A</v>
          </cell>
          <cell r="N380" t="str">
            <v>B</v>
          </cell>
          <cell r="O380" t="str">
            <v>A</v>
          </cell>
          <cell r="P380" t="str">
            <v>C</v>
          </cell>
          <cell r="Q380" t="str">
            <v>B</v>
          </cell>
          <cell r="R380" t="str">
            <v>A</v>
          </cell>
          <cell r="X380">
            <v>52.9</v>
          </cell>
        </row>
        <row r="381">
          <cell r="C381">
            <v>37409179</v>
          </cell>
          <cell r="D381" t="str">
            <v>ТОВ "САМСОН-ІФ"</v>
          </cell>
          <cell r="E381">
            <v>45898.599199999997</v>
          </cell>
          <cell r="F381">
            <v>45839</v>
          </cell>
          <cell r="G381" t="str">
            <v>E</v>
          </cell>
          <cell r="H381" t="str">
            <v>B</v>
          </cell>
          <cell r="I381" t="str">
            <v>C</v>
          </cell>
          <cell r="J381" t="str">
            <v>A</v>
          </cell>
          <cell r="K381" t="str">
            <v>D</v>
          </cell>
          <cell r="L381" t="str">
            <v>A</v>
          </cell>
          <cell r="M381" t="str">
            <v>A</v>
          </cell>
          <cell r="N381" t="str">
            <v>B</v>
          </cell>
          <cell r="O381" t="str">
            <v>A</v>
          </cell>
          <cell r="P381" t="str">
            <v>C</v>
          </cell>
          <cell r="Q381" t="str">
            <v>B</v>
          </cell>
          <cell r="R381" t="str">
            <v>C</v>
          </cell>
          <cell r="X381">
            <v>38.9</v>
          </cell>
        </row>
        <row r="382">
          <cell r="C382">
            <v>37412768</v>
          </cell>
          <cell r="D382" t="str">
            <v>ТОВ "МЕТАЛ ХОЛДІНГ ТРЕЙД"</v>
          </cell>
          <cell r="E382">
            <v>45748.4539</v>
          </cell>
          <cell r="F382">
            <v>45658</v>
          </cell>
          <cell r="G382" t="str">
            <v>E</v>
          </cell>
          <cell r="H382" t="str">
            <v>B</v>
          </cell>
          <cell r="I382" t="str">
            <v>B</v>
          </cell>
          <cell r="J382" t="str">
            <v>C</v>
          </cell>
          <cell r="K382" t="str">
            <v>D</v>
          </cell>
          <cell r="L382" t="str">
            <v>A</v>
          </cell>
          <cell r="M382" t="str">
            <v>A</v>
          </cell>
          <cell r="N382" t="str">
            <v>A</v>
          </cell>
          <cell r="O382" t="str">
            <v>A</v>
          </cell>
          <cell r="P382" t="str">
            <v>C</v>
          </cell>
          <cell r="Q382" t="str">
            <v>B</v>
          </cell>
          <cell r="R382" t="str">
            <v>A</v>
          </cell>
          <cell r="X382">
            <v>61.800000000000004</v>
          </cell>
        </row>
        <row r="383">
          <cell r="C383">
            <v>37415397</v>
          </cell>
          <cell r="D383" t="str">
            <v>ТОВ "АГРОЛАЙФ ЦЕНТР"</v>
          </cell>
          <cell r="E383">
            <v>45705.498099999997</v>
          </cell>
          <cell r="F383">
            <v>45566</v>
          </cell>
          <cell r="G383" t="str">
            <v>E</v>
          </cell>
          <cell r="H383" t="str">
            <v>C</v>
          </cell>
          <cell r="I383" t="str">
            <v>B</v>
          </cell>
          <cell r="J383" t="str">
            <v>C</v>
          </cell>
          <cell r="K383" t="str">
            <v>D</v>
          </cell>
          <cell r="L383" t="str">
            <v>B</v>
          </cell>
          <cell r="M383" t="str">
            <v>B</v>
          </cell>
          <cell r="N383" t="str">
            <v>C</v>
          </cell>
          <cell r="O383" t="str">
            <v>A</v>
          </cell>
          <cell r="P383" t="str">
            <v>C</v>
          </cell>
          <cell r="Q383" t="str">
            <v>C</v>
          </cell>
          <cell r="R383" t="str">
            <v>C</v>
          </cell>
          <cell r="X383">
            <v>36.399999999999991</v>
          </cell>
        </row>
        <row r="384">
          <cell r="C384">
            <v>37452046</v>
          </cell>
          <cell r="D384" t="str">
            <v>ТОВ "ПЛАЦ"</v>
          </cell>
          <cell r="E384">
            <v>45698.733</v>
          </cell>
          <cell r="F384">
            <v>45566</v>
          </cell>
          <cell r="G384" t="str">
            <v>E</v>
          </cell>
          <cell r="H384" t="str">
            <v>C</v>
          </cell>
          <cell r="I384" t="str">
            <v>B</v>
          </cell>
          <cell r="J384" t="str">
            <v>B</v>
          </cell>
          <cell r="K384" t="str">
            <v>D</v>
          </cell>
          <cell r="L384" t="str">
            <v>B</v>
          </cell>
          <cell r="M384" t="str">
            <v>A</v>
          </cell>
          <cell r="N384" t="str">
            <v>B</v>
          </cell>
          <cell r="O384" t="str">
            <v>A</v>
          </cell>
          <cell r="P384" t="str">
            <v>C</v>
          </cell>
          <cell r="Q384" t="str">
            <v>C</v>
          </cell>
          <cell r="R384" t="str">
            <v>B</v>
          </cell>
          <cell r="X384">
            <v>43.899999999999991</v>
          </cell>
        </row>
        <row r="385">
          <cell r="C385">
            <v>37474578</v>
          </cell>
          <cell r="D385" t="str">
            <v>ТОВ "УКРЄВРОМАЗ"</v>
          </cell>
          <cell r="E385">
            <v>45807.9761</v>
          </cell>
          <cell r="F385">
            <v>45748</v>
          </cell>
          <cell r="G385" t="str">
            <v>E</v>
          </cell>
          <cell r="H385" t="str">
            <v>C</v>
          </cell>
          <cell r="I385" t="str">
            <v>A</v>
          </cell>
          <cell r="J385" t="str">
            <v>A</v>
          </cell>
          <cell r="K385" t="str">
            <v>D</v>
          </cell>
          <cell r="L385" t="str">
            <v>A</v>
          </cell>
          <cell r="M385" t="str">
            <v>A</v>
          </cell>
          <cell r="N385" t="str">
            <v>B</v>
          </cell>
          <cell r="O385" t="str">
            <v>A</v>
          </cell>
          <cell r="P385" t="str">
            <v>B</v>
          </cell>
          <cell r="Q385" t="str">
            <v>B</v>
          </cell>
          <cell r="R385" t="str">
            <v>A</v>
          </cell>
          <cell r="X385">
            <v>48.7</v>
          </cell>
        </row>
        <row r="386">
          <cell r="C386">
            <v>37496722</v>
          </cell>
          <cell r="D386" t="str">
            <v>ТОВ "РЕФОРМ"</v>
          </cell>
          <cell r="E386">
            <v>45814.545400000003</v>
          </cell>
          <cell r="F386">
            <v>45748</v>
          </cell>
          <cell r="G386" t="str">
            <v>E</v>
          </cell>
          <cell r="H386" t="str">
            <v>B</v>
          </cell>
          <cell r="I386" t="str">
            <v>B</v>
          </cell>
          <cell r="J386" t="str">
            <v>B</v>
          </cell>
          <cell r="K386" t="str">
            <v>A</v>
          </cell>
          <cell r="L386" t="str">
            <v>A</v>
          </cell>
          <cell r="M386" t="str">
            <v>A</v>
          </cell>
          <cell r="N386" t="str">
            <v>A</v>
          </cell>
          <cell r="O386" t="str">
            <v>A</v>
          </cell>
          <cell r="P386" t="str">
            <v>C</v>
          </cell>
          <cell r="Q386" t="str">
            <v>B</v>
          </cell>
          <cell r="R386" t="str">
            <v>A</v>
          </cell>
          <cell r="X386">
            <v>63.800000000000004</v>
          </cell>
        </row>
        <row r="387">
          <cell r="C387">
            <v>37518274</v>
          </cell>
          <cell r="D387" t="str">
            <v>ТОВ "ЛЕГІОН АВТО"</v>
          </cell>
          <cell r="E387">
            <v>45931</v>
          </cell>
          <cell r="F387">
            <v>45839</v>
          </cell>
          <cell r="G387" t="str">
            <v>E</v>
          </cell>
          <cell r="H387" t="str">
            <v>C</v>
          </cell>
          <cell r="I387" t="str">
            <v>B</v>
          </cell>
          <cell r="J387" t="str">
            <v>A</v>
          </cell>
          <cell r="K387" t="str">
            <v>F</v>
          </cell>
          <cell r="L387" t="str">
            <v>B</v>
          </cell>
          <cell r="M387" t="str">
            <v>A</v>
          </cell>
          <cell r="N387" t="str">
            <v>B</v>
          </cell>
          <cell r="O387" t="str">
            <v>A</v>
          </cell>
          <cell r="P387" t="str">
            <v>C</v>
          </cell>
          <cell r="Q387" t="str">
            <v>B</v>
          </cell>
          <cell r="R387" t="str">
            <v>A</v>
          </cell>
          <cell r="X387">
            <v>43.3</v>
          </cell>
        </row>
        <row r="388">
          <cell r="C388">
            <v>37519304</v>
          </cell>
          <cell r="D388" t="str">
            <v>ТОВ "РІФАРМ"</v>
          </cell>
          <cell r="E388">
            <v>45611.617700000003</v>
          </cell>
          <cell r="F388">
            <v>45566</v>
          </cell>
          <cell r="G388" t="str">
            <v>E</v>
          </cell>
          <cell r="H388" t="str">
            <v>B</v>
          </cell>
          <cell r="I388" t="str">
            <v>B</v>
          </cell>
          <cell r="J388" t="str">
            <v>D</v>
          </cell>
          <cell r="K388" t="str">
            <v>D</v>
          </cell>
          <cell r="L388" t="str">
            <v>A</v>
          </cell>
          <cell r="M388" t="str">
            <v>A</v>
          </cell>
          <cell r="N388" t="str">
            <v>B</v>
          </cell>
          <cell r="O388" t="str">
            <v>A</v>
          </cell>
          <cell r="P388" t="str">
            <v>C</v>
          </cell>
          <cell r="Q388" t="str">
            <v>C</v>
          </cell>
          <cell r="R388" t="str">
            <v>A</v>
          </cell>
          <cell r="X388">
            <v>59.099999999999994</v>
          </cell>
        </row>
        <row r="389">
          <cell r="C389">
            <v>37528214</v>
          </cell>
          <cell r="D389" t="str">
            <v>ТОВ "СОЛЛІ ПЛЮС.КРЕМЕНЧУК"</v>
          </cell>
          <cell r="E389">
            <v>45861.418100000003</v>
          </cell>
          <cell r="F389">
            <v>45748</v>
          </cell>
          <cell r="G389" t="str">
            <v>E</v>
          </cell>
          <cell r="H389" t="str">
            <v>B</v>
          </cell>
          <cell r="I389" t="str">
            <v>B</v>
          </cell>
          <cell r="J389" t="str">
            <v>C</v>
          </cell>
          <cell r="K389" t="str">
            <v>D</v>
          </cell>
          <cell r="L389" t="str">
            <v>A</v>
          </cell>
          <cell r="M389" t="str">
            <v>A</v>
          </cell>
          <cell r="N389" t="str">
            <v>B</v>
          </cell>
          <cell r="O389" t="str">
            <v>B</v>
          </cell>
          <cell r="P389" t="str">
            <v>C</v>
          </cell>
          <cell r="Q389" t="str">
            <v>B</v>
          </cell>
          <cell r="R389" t="str">
            <v>C</v>
          </cell>
          <cell r="X389">
            <v>48.900000000000006</v>
          </cell>
        </row>
        <row r="390">
          <cell r="C390">
            <v>37530883</v>
          </cell>
          <cell r="D390" t="str">
            <v>ТОВ "РАЙЗ-АГРО"</v>
          </cell>
          <cell r="E390">
            <v>45975.521800000002</v>
          </cell>
          <cell r="F390">
            <v>45658</v>
          </cell>
          <cell r="G390" t="str">
            <v>E</v>
          </cell>
          <cell r="H390" t="str">
            <v>B</v>
          </cell>
          <cell r="I390" t="str">
            <v>B</v>
          </cell>
          <cell r="J390" t="str">
            <v>B</v>
          </cell>
          <cell r="K390" t="str">
            <v>D</v>
          </cell>
          <cell r="L390" t="str">
            <v>A</v>
          </cell>
          <cell r="M390" t="str">
            <v>B</v>
          </cell>
          <cell r="N390" t="str">
            <v>A</v>
          </cell>
          <cell r="O390" t="str">
            <v>B</v>
          </cell>
          <cell r="P390" t="str">
            <v>C</v>
          </cell>
          <cell r="Q390" t="str">
            <v>C</v>
          </cell>
          <cell r="R390" t="str">
            <v>B</v>
          </cell>
          <cell r="X390">
            <v>43.599999999999994</v>
          </cell>
        </row>
        <row r="391">
          <cell r="C391">
            <v>37546186</v>
          </cell>
          <cell r="D391" t="str">
            <v>ТОВ "ХАРВІСТ ЕСЕТС"</v>
          </cell>
          <cell r="E391">
            <v>45972</v>
          </cell>
          <cell r="F391">
            <v>45839</v>
          </cell>
          <cell r="G391" t="str">
            <v>E</v>
          </cell>
          <cell r="H391" t="str">
            <v>D</v>
          </cell>
          <cell r="I391" t="str">
            <v>B</v>
          </cell>
          <cell r="J391" t="str">
            <v>D</v>
          </cell>
          <cell r="K391" t="str">
            <v>C</v>
          </cell>
          <cell r="L391" t="str">
            <v>A</v>
          </cell>
          <cell r="M391" t="str">
            <v>C</v>
          </cell>
          <cell r="N391" t="str">
            <v>A</v>
          </cell>
          <cell r="O391" t="str">
            <v>A</v>
          </cell>
          <cell r="P391" t="str">
            <v>C</v>
          </cell>
          <cell r="Q391" t="str">
            <v>B</v>
          </cell>
          <cell r="R391" t="str">
            <v>C</v>
          </cell>
          <cell r="S391"/>
          <cell r="T391"/>
          <cell r="U391"/>
          <cell r="V391"/>
          <cell r="W391"/>
          <cell r="X391">
            <v>47.8</v>
          </cell>
        </row>
        <row r="392">
          <cell r="C392">
            <v>37557973</v>
          </cell>
          <cell r="D392" t="str">
            <v>ТОВ "ЛУКСОР УКРАЇНА"</v>
          </cell>
          <cell r="E392">
            <v>45741.687899999997</v>
          </cell>
          <cell r="F392">
            <v>45658</v>
          </cell>
          <cell r="G392" t="str">
            <v>E</v>
          </cell>
          <cell r="H392" t="str">
            <v>B</v>
          </cell>
          <cell r="I392" t="str">
            <v>A</v>
          </cell>
          <cell r="J392" t="str">
            <v>A</v>
          </cell>
          <cell r="K392" t="str">
            <v>C</v>
          </cell>
          <cell r="L392" t="str">
            <v>B</v>
          </cell>
          <cell r="M392" t="str">
            <v>A</v>
          </cell>
          <cell r="N392" t="str">
            <v>B</v>
          </cell>
          <cell r="O392" t="str">
            <v>A</v>
          </cell>
          <cell r="P392" t="str">
            <v>C</v>
          </cell>
          <cell r="Q392" t="str">
            <v>B</v>
          </cell>
          <cell r="R392" t="str">
            <v>A</v>
          </cell>
          <cell r="X392">
            <v>46.5</v>
          </cell>
        </row>
        <row r="393">
          <cell r="C393">
            <v>37581147</v>
          </cell>
          <cell r="D393" t="str">
            <v>ТОВ "Снятинська Птахофабрика"</v>
          </cell>
          <cell r="E393">
            <v>45840.463900000002</v>
          </cell>
          <cell r="F393">
            <v>45658</v>
          </cell>
          <cell r="G393" t="str">
            <v>C</v>
          </cell>
          <cell r="H393" t="str">
            <v>D</v>
          </cell>
          <cell r="I393" t="str">
            <v>D</v>
          </cell>
          <cell r="J393" t="str">
            <v>D</v>
          </cell>
          <cell r="K393" t="str">
            <v>C</v>
          </cell>
          <cell r="L393" t="str">
            <v>A</v>
          </cell>
          <cell r="M393" t="str">
            <v>B</v>
          </cell>
          <cell r="N393" t="str">
            <v>A</v>
          </cell>
          <cell r="O393" t="str">
            <v>A</v>
          </cell>
          <cell r="P393" t="str">
            <v>A</v>
          </cell>
          <cell r="Q393" t="str">
            <v>B</v>
          </cell>
          <cell r="R393" t="str">
            <v>A</v>
          </cell>
          <cell r="X393">
            <v>56.4</v>
          </cell>
        </row>
        <row r="394">
          <cell r="C394">
            <v>37616771</v>
          </cell>
          <cell r="D394" t="str">
            <v>ТОВ "АЛЬФА-ВЕТ"</v>
          </cell>
          <cell r="E394">
            <v>45987.390399999997</v>
          </cell>
          <cell r="F394">
            <v>45931</v>
          </cell>
          <cell r="G394" t="str">
            <v>E</v>
          </cell>
          <cell r="H394" t="str">
            <v>B</v>
          </cell>
          <cell r="I394" t="str">
            <v>B</v>
          </cell>
          <cell r="J394" t="str">
            <v>C</v>
          </cell>
          <cell r="K394" t="str">
            <v>D</v>
          </cell>
          <cell r="L394" t="str">
            <v>A</v>
          </cell>
          <cell r="M394" t="str">
            <v>A</v>
          </cell>
          <cell r="N394" t="str">
            <v>B</v>
          </cell>
          <cell r="O394" t="str">
            <v>A</v>
          </cell>
          <cell r="P394" t="str">
            <v>C</v>
          </cell>
          <cell r="Q394" t="str">
            <v>C</v>
          </cell>
          <cell r="R394" t="str">
            <v>A</v>
          </cell>
          <cell r="X394">
            <v>56.7</v>
          </cell>
        </row>
        <row r="395">
          <cell r="C395">
            <v>37627469</v>
          </cell>
          <cell r="D395" t="str">
            <v>КП "ККП М. ВАСИЛЬКОВА"</v>
          </cell>
          <cell r="E395">
            <v>45604</v>
          </cell>
          <cell r="F395">
            <v>45474</v>
          </cell>
          <cell r="G395" t="str">
            <v>E</v>
          </cell>
          <cell r="H395" t="str">
            <v>A</v>
          </cell>
          <cell r="I395" t="str">
            <v>C</v>
          </cell>
          <cell r="J395" t="str">
            <v>A</v>
          </cell>
          <cell r="K395" t="str">
            <v>D</v>
          </cell>
          <cell r="L395" t="str">
            <v>A</v>
          </cell>
          <cell r="M395" t="str">
            <v>A</v>
          </cell>
          <cell r="N395" t="str">
            <v>B</v>
          </cell>
          <cell r="O395" t="str">
            <v>A</v>
          </cell>
          <cell r="P395" t="str">
            <v>C</v>
          </cell>
          <cell r="Q395" t="str">
            <v>B</v>
          </cell>
          <cell r="R395" t="str">
            <v>A</v>
          </cell>
          <cell r="X395">
            <v>47.3</v>
          </cell>
        </row>
        <row r="396">
          <cell r="C396">
            <v>37729138</v>
          </cell>
          <cell r="D396" t="str">
            <v>ТОВ "ІБЕРІС ЛТД"</v>
          </cell>
          <cell r="E396">
            <v>45643.584199999998</v>
          </cell>
          <cell r="F396">
            <v>45566</v>
          </cell>
          <cell r="G396" t="str">
            <v>E</v>
          </cell>
          <cell r="H396" t="str">
            <v>B</v>
          </cell>
          <cell r="I396" t="str">
            <v>A</v>
          </cell>
          <cell r="J396" t="str">
            <v>B</v>
          </cell>
          <cell r="K396" t="str">
            <v>E</v>
          </cell>
          <cell r="L396" t="str">
            <v>B</v>
          </cell>
          <cell r="M396" t="str">
            <v>A</v>
          </cell>
          <cell r="N396" t="str">
            <v>A</v>
          </cell>
          <cell r="O396" t="str">
            <v>A</v>
          </cell>
          <cell r="P396" t="str">
            <v>C</v>
          </cell>
          <cell r="Q396" t="str">
            <v>B</v>
          </cell>
          <cell r="R396" t="str">
            <v>A</v>
          </cell>
          <cell r="X396">
            <v>48.6</v>
          </cell>
        </row>
        <row r="397">
          <cell r="C397">
            <v>37782542</v>
          </cell>
          <cell r="D397" t="str">
            <v>ТОВ "ТД "МАГНУС ТРЕЙД"</v>
          </cell>
          <cell r="E397">
            <v>45674.584699999999</v>
          </cell>
          <cell r="F397">
            <v>45566</v>
          </cell>
          <cell r="G397" t="str">
            <v>D</v>
          </cell>
          <cell r="H397" t="str">
            <v>B</v>
          </cell>
          <cell r="I397" t="str">
            <v>B</v>
          </cell>
          <cell r="J397" t="str">
            <v>A</v>
          </cell>
          <cell r="K397" t="str">
            <v>D</v>
          </cell>
          <cell r="L397" t="str">
            <v>B</v>
          </cell>
          <cell r="M397" t="str">
            <v>A</v>
          </cell>
          <cell r="N397" t="str">
            <v>B</v>
          </cell>
          <cell r="O397" t="str">
            <v>B</v>
          </cell>
          <cell r="P397" t="str">
            <v>C</v>
          </cell>
          <cell r="Q397" t="str">
            <v>B</v>
          </cell>
          <cell r="R397" t="str">
            <v>C</v>
          </cell>
          <cell r="X397">
            <v>42.1</v>
          </cell>
        </row>
        <row r="398">
          <cell r="C398">
            <v>37803813</v>
          </cell>
          <cell r="D398" t="str">
            <v>ТОВ "АГРО ПІВДЕНЬ - 1"</v>
          </cell>
          <cell r="E398">
            <v>45616.545599999998</v>
          </cell>
          <cell r="F398">
            <v>45566</v>
          </cell>
          <cell r="G398" t="str">
            <v>E</v>
          </cell>
          <cell r="H398" t="str">
            <v>B</v>
          </cell>
          <cell r="I398" t="str">
            <v>B</v>
          </cell>
          <cell r="J398" t="str">
            <v>D</v>
          </cell>
          <cell r="K398" t="str">
            <v>D</v>
          </cell>
          <cell r="L398" t="str">
            <v>B</v>
          </cell>
          <cell r="M398" t="str">
            <v>B</v>
          </cell>
          <cell r="N398" t="str">
            <v>B</v>
          </cell>
          <cell r="O398" t="str">
            <v>A</v>
          </cell>
          <cell r="P398" t="str">
            <v>C</v>
          </cell>
          <cell r="Q398" t="str">
            <v>B</v>
          </cell>
          <cell r="R398" t="str">
            <v>B</v>
          </cell>
          <cell r="X398">
            <v>46.1</v>
          </cell>
        </row>
        <row r="399">
          <cell r="C399">
            <v>37845738</v>
          </cell>
          <cell r="D399" t="str">
            <v>ТОВ "СИГМА-УНІВЕРСАЛ"</v>
          </cell>
          <cell r="E399">
            <v>45693.443700000003</v>
          </cell>
          <cell r="F399">
            <v>45474</v>
          </cell>
          <cell r="G399" t="str">
            <v>E</v>
          </cell>
          <cell r="H399" t="str">
            <v>B</v>
          </cell>
          <cell r="I399" t="str">
            <v>C</v>
          </cell>
          <cell r="J399" t="str">
            <v>C</v>
          </cell>
          <cell r="K399" t="str">
            <v>D</v>
          </cell>
          <cell r="L399" t="str">
            <v>A</v>
          </cell>
          <cell r="M399" t="str">
            <v>A</v>
          </cell>
          <cell r="N399" t="str">
            <v>B</v>
          </cell>
          <cell r="O399" t="str">
            <v>A</v>
          </cell>
          <cell r="P399" t="str">
            <v>B</v>
          </cell>
          <cell r="Q399" t="str">
            <v>B</v>
          </cell>
          <cell r="R399" t="str">
            <v>C</v>
          </cell>
          <cell r="X399">
            <v>46.300000000000004</v>
          </cell>
        </row>
        <row r="400">
          <cell r="C400">
            <v>37863008</v>
          </cell>
          <cell r="D400" t="str">
            <v>ТОВ "ПОЛТРАНСОІЛ"</v>
          </cell>
          <cell r="E400">
            <v>45744.529300000002</v>
          </cell>
          <cell r="F400">
            <v>45658</v>
          </cell>
          <cell r="G400" t="str">
            <v>E</v>
          </cell>
          <cell r="H400" t="str">
            <v>B</v>
          </cell>
          <cell r="I400" t="str">
            <v>B</v>
          </cell>
          <cell r="J400" t="str">
            <v>C</v>
          </cell>
          <cell r="K400" t="str">
            <v>D</v>
          </cell>
          <cell r="L400" t="str">
            <v>B</v>
          </cell>
          <cell r="M400" t="str">
            <v>D</v>
          </cell>
          <cell r="N400" t="str">
            <v>B</v>
          </cell>
          <cell r="O400" t="str">
            <v>B</v>
          </cell>
          <cell r="P400" t="str">
            <v>C</v>
          </cell>
          <cell r="Q400" t="str">
            <v>C</v>
          </cell>
          <cell r="R400" t="str">
            <v>A</v>
          </cell>
          <cell r="X400">
            <v>40.299999999999997</v>
          </cell>
        </row>
        <row r="401">
          <cell r="C401">
            <v>37863825</v>
          </cell>
          <cell r="D401" t="str">
            <v>ТОВ "МОДУЛЬ - УКРАЇНА"</v>
          </cell>
          <cell r="E401">
            <v>45679.428999999996</v>
          </cell>
          <cell r="F401">
            <v>45566</v>
          </cell>
          <cell r="G401" t="str">
            <v>D</v>
          </cell>
          <cell r="H401" t="str">
            <v>C</v>
          </cell>
          <cell r="I401" t="str">
            <v>D</v>
          </cell>
          <cell r="J401" t="str">
            <v>B</v>
          </cell>
          <cell r="K401" t="str">
            <v>D</v>
          </cell>
          <cell r="L401" t="str">
            <v>B</v>
          </cell>
          <cell r="M401" t="str">
            <v>B</v>
          </cell>
          <cell r="N401" t="str">
            <v>C</v>
          </cell>
          <cell r="O401" t="str">
            <v>A</v>
          </cell>
          <cell r="P401" t="str">
            <v>B</v>
          </cell>
          <cell r="Q401" t="str">
            <v>B</v>
          </cell>
          <cell r="R401" t="str">
            <v>A</v>
          </cell>
          <cell r="X401">
            <v>40</v>
          </cell>
        </row>
        <row r="402">
          <cell r="C402">
            <v>37875888</v>
          </cell>
          <cell r="D402" t="str">
            <v>ТОВ "АГРОЗАХИСТ ХАРКІВ"</v>
          </cell>
          <cell r="E402">
            <v>45685.519800000002</v>
          </cell>
          <cell r="F402">
            <v>45566</v>
          </cell>
          <cell r="G402" t="str">
            <v>E</v>
          </cell>
          <cell r="H402" t="str">
            <v>A</v>
          </cell>
          <cell r="I402" t="str">
            <v>B</v>
          </cell>
          <cell r="J402" t="str">
            <v>C</v>
          </cell>
          <cell r="K402" t="str">
            <v>D</v>
          </cell>
          <cell r="L402" t="str">
            <v>B</v>
          </cell>
          <cell r="M402" t="str">
            <v>B</v>
          </cell>
          <cell r="N402" t="str">
            <v>C</v>
          </cell>
          <cell r="O402" t="str">
            <v>A</v>
          </cell>
          <cell r="P402" t="str">
            <v>C</v>
          </cell>
          <cell r="Q402" t="str">
            <v>C</v>
          </cell>
          <cell r="R402" t="str">
            <v>A</v>
          </cell>
          <cell r="X402">
            <v>46.399999999999991</v>
          </cell>
        </row>
        <row r="403">
          <cell r="C403">
            <v>37879602</v>
          </cell>
          <cell r="D403" t="str">
            <v>ПП "ПГ"ОПЕРАТОР"</v>
          </cell>
          <cell r="E403">
            <v>45888.413399999998</v>
          </cell>
          <cell r="F403">
            <v>45839</v>
          </cell>
          <cell r="G403" t="str">
            <v>E</v>
          </cell>
          <cell r="H403" t="str">
            <v>C</v>
          </cell>
          <cell r="I403" t="str">
            <v>B</v>
          </cell>
          <cell r="J403" t="str">
            <v>B</v>
          </cell>
          <cell r="K403" t="str">
            <v>D</v>
          </cell>
          <cell r="L403" t="str">
            <v>A</v>
          </cell>
          <cell r="M403" t="str">
            <v>A</v>
          </cell>
          <cell r="N403" t="str">
            <v>A</v>
          </cell>
          <cell r="O403" t="str">
            <v>A</v>
          </cell>
          <cell r="P403" t="str">
            <v>C</v>
          </cell>
          <cell r="Q403" t="str">
            <v>B</v>
          </cell>
          <cell r="R403" t="str">
            <v>A</v>
          </cell>
          <cell r="X403">
            <v>57.4</v>
          </cell>
        </row>
        <row r="404">
          <cell r="C404">
            <v>37898486</v>
          </cell>
          <cell r="D404" t="str">
            <v>ТОВ "ПОДІЛЛЯАГРОЗАХИСТ"</v>
          </cell>
          <cell r="E404">
            <v>45944.481500000002</v>
          </cell>
          <cell r="F404">
            <v>45839</v>
          </cell>
          <cell r="G404" t="str">
            <v>E</v>
          </cell>
          <cell r="H404" t="str">
            <v>B</v>
          </cell>
          <cell r="I404" t="str">
            <v>B</v>
          </cell>
          <cell r="J404" t="str">
            <v>B</v>
          </cell>
          <cell r="K404" t="str">
            <v>D</v>
          </cell>
          <cell r="L404" t="str">
            <v>A</v>
          </cell>
          <cell r="M404" t="str">
            <v>A</v>
          </cell>
          <cell r="N404" t="str">
            <v>B</v>
          </cell>
          <cell r="O404" t="str">
            <v>A</v>
          </cell>
          <cell r="P404" t="str">
            <v>C</v>
          </cell>
          <cell r="Q404" t="str">
            <v>A</v>
          </cell>
          <cell r="R404" t="str">
            <v>B</v>
          </cell>
          <cell r="X404">
            <v>54.5</v>
          </cell>
        </row>
        <row r="405">
          <cell r="C405">
            <v>37926895</v>
          </cell>
          <cell r="D405" t="str">
            <v>ТОВ "ДРУЖБА-М"</v>
          </cell>
          <cell r="E405">
            <v>45985.454400000002</v>
          </cell>
          <cell r="F405">
            <v>45658</v>
          </cell>
          <cell r="G405" t="str">
            <v>E</v>
          </cell>
          <cell r="H405" t="str">
            <v>B</v>
          </cell>
          <cell r="I405" t="str">
            <v>B</v>
          </cell>
          <cell r="J405" t="str">
            <v>B</v>
          </cell>
          <cell r="K405" t="str">
            <v>D</v>
          </cell>
          <cell r="L405" t="str">
            <v>A</v>
          </cell>
          <cell r="M405" t="str">
            <v>A</v>
          </cell>
          <cell r="N405" t="str">
            <v>B</v>
          </cell>
          <cell r="O405" t="str">
            <v>A</v>
          </cell>
          <cell r="P405" t="str">
            <v>C</v>
          </cell>
          <cell r="Q405" t="str">
            <v>C</v>
          </cell>
          <cell r="R405" t="str">
            <v>A</v>
          </cell>
          <cell r="X405">
            <v>53.9</v>
          </cell>
        </row>
        <row r="406">
          <cell r="C406">
            <v>37949561</v>
          </cell>
          <cell r="D406" t="str">
            <v>ТОВ "КОМПАНІЯ "ІМПОРТ"</v>
          </cell>
          <cell r="E406">
            <v>45860.739300000001</v>
          </cell>
          <cell r="F406">
            <v>45748</v>
          </cell>
          <cell r="G406" t="str">
            <v>E</v>
          </cell>
          <cell r="H406" t="str">
            <v>C</v>
          </cell>
          <cell r="I406" t="str">
            <v>B</v>
          </cell>
          <cell r="J406" t="str">
            <v>D</v>
          </cell>
          <cell r="K406" t="str">
            <v>D</v>
          </cell>
          <cell r="L406" t="str">
            <v>A</v>
          </cell>
          <cell r="M406" t="str">
            <v>A</v>
          </cell>
          <cell r="N406" t="str">
            <v>B</v>
          </cell>
          <cell r="O406" t="str">
            <v>A</v>
          </cell>
          <cell r="P406" t="str">
            <v>C</v>
          </cell>
          <cell r="Q406" t="str">
            <v>B</v>
          </cell>
          <cell r="R406" t="str">
            <v>B</v>
          </cell>
          <cell r="X406">
            <v>55.7</v>
          </cell>
        </row>
        <row r="407">
          <cell r="C407">
            <v>37961273</v>
          </cell>
          <cell r="D407" t="str">
            <v>ТОВ "Ферозіт"</v>
          </cell>
          <cell r="E407">
            <v>45773.600400000003</v>
          </cell>
          <cell r="F407">
            <v>45658</v>
          </cell>
          <cell r="G407" t="str">
            <v>E</v>
          </cell>
          <cell r="H407" t="str">
            <v>A</v>
          </cell>
          <cell r="I407" t="str">
            <v>B</v>
          </cell>
          <cell r="J407" t="str">
            <v>B</v>
          </cell>
          <cell r="K407" t="str">
            <v>D</v>
          </cell>
          <cell r="L407" t="str">
            <v>A</v>
          </cell>
          <cell r="M407" t="str">
            <v>B</v>
          </cell>
          <cell r="N407" t="str">
            <v>B</v>
          </cell>
          <cell r="O407" t="str">
            <v>A</v>
          </cell>
          <cell r="P407" t="str">
            <v>C</v>
          </cell>
          <cell r="Q407" t="str">
            <v>B</v>
          </cell>
          <cell r="R407" t="str">
            <v>A</v>
          </cell>
          <cell r="X407">
            <v>51.7</v>
          </cell>
        </row>
        <row r="408">
          <cell r="C408">
            <v>37967444</v>
          </cell>
          <cell r="D408" t="str">
            <v>ТОВ "МЕДИЧНИЙ ЦЕНТР "ВЕРУМ"</v>
          </cell>
          <cell r="E408">
            <v>45838.537400000001</v>
          </cell>
          <cell r="F408">
            <v>45658</v>
          </cell>
          <cell r="G408" t="str">
            <v>E</v>
          </cell>
          <cell r="H408" t="str">
            <v>B</v>
          </cell>
          <cell r="I408" t="str">
            <v>D</v>
          </cell>
          <cell r="J408" t="str">
            <v>B</v>
          </cell>
          <cell r="K408" t="str">
            <v>D</v>
          </cell>
          <cell r="L408" t="str">
            <v>A</v>
          </cell>
          <cell r="M408" t="str">
            <v>A</v>
          </cell>
          <cell r="N408" t="str">
            <v>B</v>
          </cell>
          <cell r="O408" t="str">
            <v>A</v>
          </cell>
          <cell r="P408" t="str">
            <v>C</v>
          </cell>
          <cell r="Q408" t="str">
            <v>B</v>
          </cell>
          <cell r="R408" t="str">
            <v>C</v>
          </cell>
          <cell r="X408">
            <v>42.9</v>
          </cell>
        </row>
        <row r="409">
          <cell r="C409">
            <v>37976972</v>
          </cell>
          <cell r="D409" t="str">
            <v>ТОВ "АГРОЛОГІСТИКА"</v>
          </cell>
          <cell r="E409">
            <v>45912.49</v>
          </cell>
          <cell r="F409">
            <v>45839</v>
          </cell>
          <cell r="G409" t="str">
            <v>E</v>
          </cell>
          <cell r="H409" t="str">
            <v>C</v>
          </cell>
          <cell r="I409" t="str">
            <v>C</v>
          </cell>
          <cell r="J409" t="str">
            <v>B</v>
          </cell>
          <cell r="K409" t="str">
            <v>E</v>
          </cell>
          <cell r="L409" t="str">
            <v>B</v>
          </cell>
          <cell r="M409" t="str">
            <v>B</v>
          </cell>
          <cell r="N409" t="str">
            <v>B</v>
          </cell>
          <cell r="O409" t="str">
            <v>A</v>
          </cell>
          <cell r="P409" t="str">
            <v>B</v>
          </cell>
          <cell r="Q409" t="str">
            <v>B</v>
          </cell>
          <cell r="R409" t="str">
            <v>C</v>
          </cell>
          <cell r="X409">
            <v>29.5</v>
          </cell>
        </row>
        <row r="410">
          <cell r="C410">
            <v>37988621</v>
          </cell>
          <cell r="D410" t="str">
            <v>ТОВ "ТБД"</v>
          </cell>
          <cell r="E410">
            <v>45971.514499999997</v>
          </cell>
          <cell r="F410">
            <v>45748</v>
          </cell>
          <cell r="G410" t="str">
            <v>E</v>
          </cell>
          <cell r="H410" t="str">
            <v>B</v>
          </cell>
          <cell r="I410" t="str">
            <v>B</v>
          </cell>
          <cell r="J410" t="str">
            <v>A</v>
          </cell>
          <cell r="K410" t="str">
            <v>E</v>
          </cell>
          <cell r="L410" t="str">
            <v>B</v>
          </cell>
          <cell r="M410" t="str">
            <v>A</v>
          </cell>
          <cell r="N410" t="str">
            <v>B</v>
          </cell>
          <cell r="O410" t="str">
            <v>A</v>
          </cell>
          <cell r="P410" t="str">
            <v>C</v>
          </cell>
          <cell r="Q410" t="str">
            <v>B</v>
          </cell>
          <cell r="R410" t="str">
            <v>A</v>
          </cell>
          <cell r="X410">
            <v>46.9</v>
          </cell>
        </row>
        <row r="411">
          <cell r="C411">
            <v>37992093</v>
          </cell>
          <cell r="D411" t="str">
            <v>ТОВ "ПРОДІНВЕСТ СЕРВІС"</v>
          </cell>
          <cell r="E411">
            <v>45615.591899999999</v>
          </cell>
          <cell r="F411">
            <v>45566</v>
          </cell>
          <cell r="G411" t="str">
            <v>E</v>
          </cell>
          <cell r="H411" t="str">
            <v>B</v>
          </cell>
          <cell r="I411" t="str">
            <v>B</v>
          </cell>
          <cell r="J411" t="str">
            <v>A</v>
          </cell>
          <cell r="K411" t="str">
            <v>D</v>
          </cell>
          <cell r="L411" t="str">
            <v>B</v>
          </cell>
          <cell r="M411" t="str">
            <v>A</v>
          </cell>
          <cell r="N411" t="str">
            <v>B</v>
          </cell>
          <cell r="O411" t="str">
            <v>A</v>
          </cell>
          <cell r="P411" t="str">
            <v>C</v>
          </cell>
          <cell r="Q411" t="str">
            <v>B</v>
          </cell>
          <cell r="R411" t="str">
            <v>A</v>
          </cell>
          <cell r="X411">
            <v>48.1</v>
          </cell>
        </row>
        <row r="412">
          <cell r="C412">
            <v>38081730</v>
          </cell>
          <cell r="D412" t="str">
            <v>ТОВ "ХАРВІСТ ТРЕЙДІНГ"</v>
          </cell>
          <cell r="E412">
            <v>45972</v>
          </cell>
          <cell r="F412">
            <v>45839</v>
          </cell>
          <cell r="G412" t="str">
            <v>E</v>
          </cell>
          <cell r="H412" t="str">
            <v>D</v>
          </cell>
          <cell r="I412" t="str">
            <v>B</v>
          </cell>
          <cell r="J412" t="str">
            <v>D</v>
          </cell>
          <cell r="K412" t="str">
            <v>C</v>
          </cell>
          <cell r="L412" t="str">
            <v>A</v>
          </cell>
          <cell r="M412" t="str">
            <v>C</v>
          </cell>
          <cell r="N412" t="str">
            <v>A</v>
          </cell>
          <cell r="O412" t="str">
            <v>A</v>
          </cell>
          <cell r="P412" t="str">
            <v>C</v>
          </cell>
          <cell r="Q412" t="str">
            <v>B</v>
          </cell>
          <cell r="R412" t="str">
            <v>C</v>
          </cell>
          <cell r="X412">
            <v>47.8</v>
          </cell>
        </row>
        <row r="413">
          <cell r="C413">
            <v>38095277</v>
          </cell>
          <cell r="D413" t="str">
            <v>ТОВ "ЗЕРНОКОМТРАНС"</v>
          </cell>
          <cell r="E413">
            <v>45992</v>
          </cell>
          <cell r="F413">
            <v>45931</v>
          </cell>
          <cell r="G413" t="str">
            <v>E</v>
          </cell>
          <cell r="H413" t="str">
            <v>B</v>
          </cell>
          <cell r="I413" t="str">
            <v>B</v>
          </cell>
          <cell r="J413" t="str">
            <v>C</v>
          </cell>
          <cell r="K413" t="str">
            <v>C</v>
          </cell>
          <cell r="L413" t="str">
            <v>B</v>
          </cell>
          <cell r="M413" t="str">
            <v>B</v>
          </cell>
          <cell r="N413" t="str">
            <v>B</v>
          </cell>
          <cell r="O413" t="str">
            <v>A</v>
          </cell>
          <cell r="P413" t="str">
            <v>C</v>
          </cell>
          <cell r="Q413" t="str">
            <v>D</v>
          </cell>
          <cell r="R413" t="str">
            <v>A</v>
          </cell>
          <cell r="X413">
            <v>46.5</v>
          </cell>
        </row>
        <row r="414">
          <cell r="C414">
            <v>38116375</v>
          </cell>
          <cell r="D414" t="str">
            <v>ТОВ "Д ЛАЙТ"</v>
          </cell>
          <cell r="E414">
            <v>45656.6495</v>
          </cell>
          <cell r="F414">
            <v>45566</v>
          </cell>
          <cell r="G414" t="str">
            <v>E</v>
          </cell>
          <cell r="H414" t="str">
            <v>B</v>
          </cell>
          <cell r="I414" t="str">
            <v>B</v>
          </cell>
          <cell r="J414" t="str">
            <v>A</v>
          </cell>
          <cell r="K414" t="str">
            <v>D</v>
          </cell>
          <cell r="L414" t="str">
            <v>A</v>
          </cell>
          <cell r="M414" t="str">
            <v>A</v>
          </cell>
          <cell r="N414" t="str">
            <v>B</v>
          </cell>
          <cell r="O414" t="str">
            <v>A</v>
          </cell>
          <cell r="P414" t="str">
            <v>C</v>
          </cell>
          <cell r="Q414" t="str">
            <v>B</v>
          </cell>
          <cell r="R414" t="str">
            <v>A</v>
          </cell>
          <cell r="X414">
            <v>52.9</v>
          </cell>
        </row>
        <row r="415">
          <cell r="C415">
            <v>38132837</v>
          </cell>
          <cell r="D415" t="str">
            <v>ТОВ "Красне-Інвест"</v>
          </cell>
          <cell r="E415">
            <v>45700.422400000003</v>
          </cell>
          <cell r="F415">
            <v>45566</v>
          </cell>
          <cell r="G415" t="str">
            <v>E</v>
          </cell>
          <cell r="H415" t="str">
            <v>C</v>
          </cell>
          <cell r="I415" t="str">
            <v>B</v>
          </cell>
          <cell r="J415" t="str">
            <v>C</v>
          </cell>
          <cell r="K415" t="str">
            <v>E</v>
          </cell>
          <cell r="L415" t="str">
            <v>A</v>
          </cell>
          <cell r="M415" t="str">
            <v>C</v>
          </cell>
          <cell r="N415" t="str">
            <v>B</v>
          </cell>
          <cell r="O415" t="str">
            <v>B</v>
          </cell>
          <cell r="P415" t="str">
            <v>C</v>
          </cell>
          <cell r="Q415" t="str">
            <v>B</v>
          </cell>
          <cell r="R415" t="str">
            <v>C</v>
          </cell>
          <cell r="X415">
            <v>38.5</v>
          </cell>
        </row>
        <row r="416">
          <cell r="C416">
            <v>38146352</v>
          </cell>
          <cell r="D416" t="str">
            <v>ТОВ "ВТО ГРУП"</v>
          </cell>
          <cell r="E416">
            <v>45736.478000000003</v>
          </cell>
          <cell r="F416">
            <v>45658</v>
          </cell>
          <cell r="G416" t="str">
            <v>E</v>
          </cell>
          <cell r="H416" t="str">
            <v>B</v>
          </cell>
          <cell r="I416" t="str">
            <v>A</v>
          </cell>
          <cell r="J416" t="str">
            <v>B</v>
          </cell>
          <cell r="K416" t="str">
            <v>A</v>
          </cell>
          <cell r="L416" t="str">
            <v>B</v>
          </cell>
          <cell r="M416" t="str">
            <v>B</v>
          </cell>
          <cell r="N416" t="str">
            <v>A</v>
          </cell>
          <cell r="O416" t="str">
            <v>A</v>
          </cell>
          <cell r="P416" t="str">
            <v>C</v>
          </cell>
          <cell r="Q416" t="str">
            <v>C</v>
          </cell>
          <cell r="R416" t="str">
            <v>C</v>
          </cell>
          <cell r="X416">
            <v>40.399999999999991</v>
          </cell>
        </row>
        <row r="417">
          <cell r="C417">
            <v>38152125</v>
          </cell>
          <cell r="D417" t="str">
            <v>ТОВ "ГАЛА-ЮГ"</v>
          </cell>
          <cell r="E417">
            <v>45777.735399999998</v>
          </cell>
          <cell r="F417">
            <v>45658</v>
          </cell>
          <cell r="G417" t="str">
            <v>E</v>
          </cell>
          <cell r="H417" t="str">
            <v>A</v>
          </cell>
          <cell r="I417" t="str">
            <v>B</v>
          </cell>
          <cell r="J417" t="str">
            <v>A</v>
          </cell>
          <cell r="K417" t="str">
            <v>C</v>
          </cell>
          <cell r="L417" t="str">
            <v>B</v>
          </cell>
          <cell r="M417" t="str">
            <v>A</v>
          </cell>
          <cell r="N417" t="str">
            <v>B</v>
          </cell>
          <cell r="O417" t="str">
            <v>A</v>
          </cell>
          <cell r="P417" t="str">
            <v>C</v>
          </cell>
          <cell r="Q417" t="str">
            <v>B</v>
          </cell>
          <cell r="R417" t="str">
            <v>A</v>
          </cell>
          <cell r="X417">
            <v>53.300000000000004</v>
          </cell>
        </row>
        <row r="418">
          <cell r="C418">
            <v>38183420</v>
          </cell>
          <cell r="D418" t="str">
            <v>ТОВ "ТД РОСТОК"</v>
          </cell>
          <cell r="E418">
            <v>45873.635399999999</v>
          </cell>
          <cell r="F418">
            <v>45748</v>
          </cell>
          <cell r="G418" t="str">
            <v>E</v>
          </cell>
          <cell r="H418" t="str">
            <v>A</v>
          </cell>
          <cell r="I418" t="str">
            <v>B</v>
          </cell>
          <cell r="J418" t="str">
            <v>A</v>
          </cell>
          <cell r="K418" t="str">
            <v>D</v>
          </cell>
          <cell r="L418" t="str">
            <v>B</v>
          </cell>
          <cell r="M418" t="str">
            <v>A</v>
          </cell>
          <cell r="N418" t="str">
            <v>B</v>
          </cell>
          <cell r="O418" t="str">
            <v>A</v>
          </cell>
          <cell r="P418" t="str">
            <v>C</v>
          </cell>
          <cell r="Q418" t="str">
            <v>B</v>
          </cell>
          <cell r="R418" t="str">
            <v>A</v>
          </cell>
          <cell r="X418">
            <v>50.5</v>
          </cell>
        </row>
        <row r="419">
          <cell r="C419">
            <v>38184219</v>
          </cell>
          <cell r="D419" t="str">
            <v>ТОВ "АГРО ПІВДЕНЬ - 2"</v>
          </cell>
          <cell r="E419">
            <v>45616.545599999998</v>
          </cell>
          <cell r="F419">
            <v>45566</v>
          </cell>
          <cell r="G419" t="str">
            <v>E</v>
          </cell>
          <cell r="H419" t="str">
            <v>B</v>
          </cell>
          <cell r="I419" t="str">
            <v>B</v>
          </cell>
          <cell r="J419" t="str">
            <v>D</v>
          </cell>
          <cell r="K419" t="str">
            <v>D</v>
          </cell>
          <cell r="L419" t="str">
            <v>B</v>
          </cell>
          <cell r="M419" t="str">
            <v>B</v>
          </cell>
          <cell r="N419" t="str">
            <v>B</v>
          </cell>
          <cell r="O419" t="str">
            <v>A</v>
          </cell>
          <cell r="P419" t="str">
            <v>C</v>
          </cell>
          <cell r="Q419" t="str">
            <v>B</v>
          </cell>
          <cell r="R419" t="str">
            <v>B</v>
          </cell>
          <cell r="X419">
            <v>46.1</v>
          </cell>
        </row>
        <row r="420">
          <cell r="C420">
            <v>38192655</v>
          </cell>
          <cell r="D420" t="str">
            <v>ТОВ "ТК-ДОМАШНІЙ ТЕКСТИЛЬ"</v>
          </cell>
          <cell r="E420">
            <v>45792.39</v>
          </cell>
          <cell r="F420">
            <v>45658</v>
          </cell>
          <cell r="G420" t="str">
            <v>D</v>
          </cell>
          <cell r="H420" t="str">
            <v>A</v>
          </cell>
          <cell r="I420" t="str">
            <v>C</v>
          </cell>
          <cell r="J420" t="str">
            <v>C</v>
          </cell>
          <cell r="K420" t="str">
            <v>E</v>
          </cell>
          <cell r="L420" t="str">
            <v>A</v>
          </cell>
          <cell r="M420" t="str">
            <v>A</v>
          </cell>
          <cell r="N420" t="str">
            <v>C</v>
          </cell>
          <cell r="O420" t="str">
            <v>A</v>
          </cell>
          <cell r="P420" t="str">
            <v>C</v>
          </cell>
          <cell r="Q420" t="str">
            <v>C</v>
          </cell>
          <cell r="R420" t="str">
            <v>B</v>
          </cell>
          <cell r="X420">
            <v>48.4</v>
          </cell>
        </row>
        <row r="421">
          <cell r="C421">
            <v>38209328</v>
          </cell>
          <cell r="D421" t="str">
            <v>ТОВ "Шосткинський Елеватор"</v>
          </cell>
          <cell r="E421">
            <v>45890.7255</v>
          </cell>
          <cell r="F421">
            <v>45748</v>
          </cell>
          <cell r="G421" t="str">
            <v>E</v>
          </cell>
          <cell r="H421" t="str">
            <v>B</v>
          </cell>
          <cell r="I421" t="str">
            <v>A</v>
          </cell>
          <cell r="J421" t="str">
            <v>C</v>
          </cell>
          <cell r="K421" t="str">
            <v>D</v>
          </cell>
          <cell r="L421" t="str">
            <v>B</v>
          </cell>
          <cell r="M421" t="str">
            <v>A</v>
          </cell>
          <cell r="N421" t="str">
            <v>A</v>
          </cell>
          <cell r="O421" t="str">
            <v>A</v>
          </cell>
          <cell r="P421" t="str">
            <v>C</v>
          </cell>
          <cell r="Q421" t="str">
            <v>B</v>
          </cell>
          <cell r="R421" t="str">
            <v>A</v>
          </cell>
          <cell r="X421">
            <v>52.6</v>
          </cell>
        </row>
        <row r="422">
          <cell r="C422">
            <v>38218086</v>
          </cell>
          <cell r="D422" t="str">
            <v>ТОВ "Аметрін ФК"</v>
          </cell>
          <cell r="E422">
            <v>45912.644999999997</v>
          </cell>
          <cell r="F422">
            <v>45839</v>
          </cell>
          <cell r="G422" t="str">
            <v>E</v>
          </cell>
          <cell r="H422" t="str">
            <v>B</v>
          </cell>
          <cell r="I422" t="str">
            <v>A</v>
          </cell>
          <cell r="J422" t="str">
            <v>C</v>
          </cell>
          <cell r="K422" t="str">
            <v>D</v>
          </cell>
          <cell r="L422" t="str">
            <v>A</v>
          </cell>
          <cell r="M422" t="str">
            <v>A</v>
          </cell>
          <cell r="N422" t="str">
            <v>B</v>
          </cell>
          <cell r="O422" t="str">
            <v>A</v>
          </cell>
          <cell r="P422" t="str">
            <v>C</v>
          </cell>
          <cell r="Q422" t="str">
            <v>B</v>
          </cell>
          <cell r="R422" t="str">
            <v>A</v>
          </cell>
          <cell r="X422">
            <v>54.1</v>
          </cell>
        </row>
        <row r="423">
          <cell r="C423">
            <v>38250910</v>
          </cell>
          <cell r="D423" t="str">
            <v>ТОВ "КОЛОС 200"</v>
          </cell>
          <cell r="E423">
            <v>45693.443700000003</v>
          </cell>
          <cell r="F423">
            <v>45474</v>
          </cell>
          <cell r="G423" t="str">
            <v>E</v>
          </cell>
          <cell r="H423" t="str">
            <v>B</v>
          </cell>
          <cell r="I423" t="str">
            <v>C</v>
          </cell>
          <cell r="J423" t="str">
            <v>C</v>
          </cell>
          <cell r="K423" t="str">
            <v>D</v>
          </cell>
          <cell r="L423" t="str">
            <v>A</v>
          </cell>
          <cell r="M423" t="str">
            <v>A</v>
          </cell>
          <cell r="N423" t="str">
            <v>B</v>
          </cell>
          <cell r="O423" t="str">
            <v>A</v>
          </cell>
          <cell r="P423" t="str">
            <v>B</v>
          </cell>
          <cell r="Q423" t="str">
            <v>B</v>
          </cell>
          <cell r="R423" t="str">
            <v>C</v>
          </cell>
          <cell r="X423">
            <v>46.300000000000004</v>
          </cell>
        </row>
        <row r="424">
          <cell r="C424">
            <v>38272248</v>
          </cell>
          <cell r="D424" t="str">
            <v>ТОВ "АПТЕКИ "ФАРМАСІТІ"</v>
          </cell>
          <cell r="E424">
            <v>45681.486799999999</v>
          </cell>
          <cell r="F424">
            <v>45566</v>
          </cell>
          <cell r="G424" t="str">
            <v>E</v>
          </cell>
          <cell r="H424" t="str">
            <v>B</v>
          </cell>
          <cell r="I424" t="str">
            <v>C</v>
          </cell>
          <cell r="J424" t="str">
            <v>B</v>
          </cell>
          <cell r="K424" t="str">
            <v>D</v>
          </cell>
          <cell r="L424" t="str">
            <v>B</v>
          </cell>
          <cell r="M424" t="str">
            <v>A</v>
          </cell>
          <cell r="N424" t="str">
            <v>B</v>
          </cell>
          <cell r="O424" t="str">
            <v>A</v>
          </cell>
          <cell r="P424" t="str">
            <v>C</v>
          </cell>
          <cell r="Q424" t="str">
            <v>B</v>
          </cell>
          <cell r="R424" t="str">
            <v>A</v>
          </cell>
          <cell r="X424">
            <v>42.9</v>
          </cell>
        </row>
        <row r="425">
          <cell r="C425">
            <v>38273126</v>
          </cell>
          <cell r="D425" t="str">
            <v>ТОВ "КЛЕВЕР СТОРС"</v>
          </cell>
          <cell r="E425">
            <v>45988</v>
          </cell>
          <cell r="F425">
            <v>45931</v>
          </cell>
          <cell r="G425" t="str">
            <v>E</v>
          </cell>
          <cell r="H425" t="str">
            <v>B</v>
          </cell>
          <cell r="I425" t="str">
            <v>B</v>
          </cell>
          <cell r="J425" t="str">
            <v>B</v>
          </cell>
          <cell r="K425" t="str">
            <v>D</v>
          </cell>
          <cell r="L425" t="str">
            <v>A</v>
          </cell>
          <cell r="M425" t="str">
            <v>A</v>
          </cell>
          <cell r="N425" t="str">
            <v>B</v>
          </cell>
          <cell r="O425" t="str">
            <v>A</v>
          </cell>
          <cell r="P425" t="str">
            <v>A</v>
          </cell>
          <cell r="Q425" t="str">
            <v>B</v>
          </cell>
          <cell r="R425" t="str">
            <v>A</v>
          </cell>
          <cell r="X425">
            <v>59.900000000000006</v>
          </cell>
        </row>
        <row r="426">
          <cell r="C426">
            <v>38280772</v>
          </cell>
          <cell r="D426" t="str">
            <v>ТОВ "АРТМОТО"</v>
          </cell>
          <cell r="E426">
            <v>45660</v>
          </cell>
          <cell r="F426">
            <v>45566</v>
          </cell>
          <cell r="G426" t="str">
            <v>E</v>
          </cell>
          <cell r="H426" t="str">
            <v>C</v>
          </cell>
          <cell r="I426" t="str">
            <v>A</v>
          </cell>
          <cell r="J426" t="str">
            <v>A</v>
          </cell>
          <cell r="K426" t="str">
            <v>B</v>
          </cell>
          <cell r="L426" t="str">
            <v>B</v>
          </cell>
          <cell r="M426" t="str">
            <v>A</v>
          </cell>
          <cell r="N426" t="str">
            <v>B</v>
          </cell>
          <cell r="O426" t="str">
            <v>A</v>
          </cell>
          <cell r="P426" t="str">
            <v>C</v>
          </cell>
          <cell r="Q426" t="str">
            <v>B</v>
          </cell>
          <cell r="R426" t="str">
            <v>C</v>
          </cell>
          <cell r="X426">
            <v>39.699999999999996</v>
          </cell>
        </row>
        <row r="427">
          <cell r="C427">
            <v>38327642</v>
          </cell>
          <cell r="D427" t="str">
            <v>ТОВ "КЕРРІЛАЙН"</v>
          </cell>
          <cell r="E427">
            <v>45551.665200000003</v>
          </cell>
          <cell r="F427">
            <v>45474</v>
          </cell>
          <cell r="G427" t="str">
            <v>E</v>
          </cell>
          <cell r="H427" t="str">
            <v>B</v>
          </cell>
          <cell r="I427" t="str">
            <v>B</v>
          </cell>
          <cell r="J427" t="str">
            <v>B</v>
          </cell>
          <cell r="K427" t="str">
            <v>E</v>
          </cell>
          <cell r="L427" t="str">
            <v>A</v>
          </cell>
          <cell r="M427" t="str">
            <v>A</v>
          </cell>
          <cell r="N427" t="str">
            <v>B</v>
          </cell>
          <cell r="O427" t="str">
            <v>A</v>
          </cell>
          <cell r="P427" t="str">
            <v>C</v>
          </cell>
          <cell r="Q427" t="str">
            <v>B</v>
          </cell>
          <cell r="R427" t="str">
            <v>A</v>
          </cell>
          <cell r="X427">
            <v>54.500000000000007</v>
          </cell>
        </row>
        <row r="428">
          <cell r="C428">
            <v>38328646</v>
          </cell>
          <cell r="D428" t="str">
            <v>ТОВ "Лозинка"</v>
          </cell>
          <cell r="E428">
            <v>45768.428500000002</v>
          </cell>
          <cell r="F428">
            <v>45658</v>
          </cell>
          <cell r="G428" t="str">
            <v>E</v>
          </cell>
          <cell r="H428" t="str">
            <v>B</v>
          </cell>
          <cell r="I428" t="str">
            <v>B</v>
          </cell>
          <cell r="J428" t="str">
            <v>A</v>
          </cell>
          <cell r="K428" t="str">
            <v>D</v>
          </cell>
          <cell r="L428" t="str">
            <v>A</v>
          </cell>
          <cell r="M428" t="str">
            <v>A</v>
          </cell>
          <cell r="N428" t="str">
            <v>C</v>
          </cell>
          <cell r="O428" t="str">
            <v>A</v>
          </cell>
          <cell r="P428" t="str">
            <v>C</v>
          </cell>
          <cell r="Q428" t="str">
            <v>B</v>
          </cell>
          <cell r="R428" t="str">
            <v>A</v>
          </cell>
          <cell r="X428">
            <v>51.4</v>
          </cell>
        </row>
        <row r="429">
          <cell r="C429">
            <v>38347611</v>
          </cell>
          <cell r="D429" t="str">
            <v>ТОВ "ВАЛІДУС СПЕЦАВТО"</v>
          </cell>
          <cell r="E429">
            <v>45630.507700000002</v>
          </cell>
          <cell r="F429">
            <v>45566</v>
          </cell>
          <cell r="G429" t="str">
            <v>D</v>
          </cell>
          <cell r="H429" t="str">
            <v>B</v>
          </cell>
          <cell r="I429" t="str">
            <v>A</v>
          </cell>
          <cell r="J429" t="str">
            <v>A</v>
          </cell>
          <cell r="K429" t="str">
            <v>B</v>
          </cell>
          <cell r="L429" t="str">
            <v>A</v>
          </cell>
          <cell r="M429" t="str">
            <v>A</v>
          </cell>
          <cell r="N429" t="str">
            <v>B</v>
          </cell>
          <cell r="O429" t="str">
            <v>A</v>
          </cell>
          <cell r="P429" t="str">
            <v>C</v>
          </cell>
          <cell r="Q429" t="str">
            <v>B</v>
          </cell>
          <cell r="R429" t="str">
            <v>A</v>
          </cell>
          <cell r="X429">
            <v>55.7</v>
          </cell>
        </row>
        <row r="430">
          <cell r="C430">
            <v>38359009</v>
          </cell>
          <cell r="D430" t="str">
            <v>ТОВ "ІНФОРМ ХХІ"</v>
          </cell>
          <cell r="E430">
            <v>45602.654999999999</v>
          </cell>
          <cell r="F430">
            <v>45474</v>
          </cell>
          <cell r="G430" t="str">
            <v>E</v>
          </cell>
          <cell r="H430" t="str">
            <v>C</v>
          </cell>
          <cell r="I430" t="str">
            <v>B</v>
          </cell>
          <cell r="J430" t="str">
            <v>A</v>
          </cell>
          <cell r="K430" t="str">
            <v>D</v>
          </cell>
          <cell r="L430" t="str">
            <v>A</v>
          </cell>
          <cell r="M430" t="str">
            <v>A</v>
          </cell>
          <cell r="N430" t="str">
            <v>B</v>
          </cell>
          <cell r="O430" t="str">
            <v>B</v>
          </cell>
          <cell r="P430" t="str">
            <v>C</v>
          </cell>
          <cell r="Q430" t="str">
            <v>B</v>
          </cell>
          <cell r="R430" t="str">
            <v>A</v>
          </cell>
          <cell r="X430">
            <v>47.699999999999996</v>
          </cell>
        </row>
        <row r="431">
          <cell r="C431">
            <v>38408485</v>
          </cell>
          <cell r="D431" t="str">
            <v>ТОВ "ДОБРОДІЯ ФУДЗ"</v>
          </cell>
          <cell r="E431">
            <v>45700.422400000003</v>
          </cell>
          <cell r="F431">
            <v>45566</v>
          </cell>
          <cell r="G431" t="str">
            <v>E</v>
          </cell>
          <cell r="H431" t="str">
            <v>C</v>
          </cell>
          <cell r="I431" t="str">
            <v>B</v>
          </cell>
          <cell r="J431" t="str">
            <v>C</v>
          </cell>
          <cell r="K431" t="str">
            <v>E</v>
          </cell>
          <cell r="L431" t="str">
            <v>A</v>
          </cell>
          <cell r="M431" t="str">
            <v>C</v>
          </cell>
          <cell r="N431" t="str">
            <v>B</v>
          </cell>
          <cell r="O431" t="str">
            <v>B</v>
          </cell>
          <cell r="P431" t="str">
            <v>C</v>
          </cell>
          <cell r="Q431" t="str">
            <v>B</v>
          </cell>
          <cell r="R431" t="str">
            <v>C</v>
          </cell>
          <cell r="X431">
            <v>38.5</v>
          </cell>
        </row>
        <row r="432">
          <cell r="C432">
            <v>38436360</v>
          </cell>
          <cell r="D432" t="str">
            <v>ТДВ "ЮТК"</v>
          </cell>
          <cell r="E432">
            <v>45817.682800000002</v>
          </cell>
          <cell r="F432">
            <v>45658</v>
          </cell>
          <cell r="G432" t="str">
            <v>E</v>
          </cell>
          <cell r="H432" t="str">
            <v>B</v>
          </cell>
          <cell r="I432" t="str">
            <v>B</v>
          </cell>
          <cell r="J432" t="str">
            <v>A</v>
          </cell>
          <cell r="K432" t="str">
            <v>D</v>
          </cell>
          <cell r="L432" t="str">
            <v>A</v>
          </cell>
          <cell r="M432" t="str">
            <v>A</v>
          </cell>
          <cell r="N432" t="str">
            <v>B</v>
          </cell>
          <cell r="O432" t="str">
            <v>A</v>
          </cell>
          <cell r="P432" t="str">
            <v>C</v>
          </cell>
          <cell r="Q432" t="str">
            <v>B</v>
          </cell>
          <cell r="R432" t="str">
            <v>B</v>
          </cell>
          <cell r="X432">
            <v>49.3</v>
          </cell>
        </row>
        <row r="433">
          <cell r="C433">
            <v>38456790</v>
          </cell>
          <cell r="D433" t="str">
            <v>ТЗДВ "ГАЛ-КАТ"</v>
          </cell>
          <cell r="E433">
            <v>45978.700499999999</v>
          </cell>
          <cell r="F433">
            <v>45839</v>
          </cell>
          <cell r="G433" t="str">
            <v>D</v>
          </cell>
          <cell r="H433" t="str">
            <v>C</v>
          </cell>
          <cell r="I433" t="str">
            <v>D</v>
          </cell>
          <cell r="J433" t="str">
            <v>A</v>
          </cell>
          <cell r="K433" t="str">
            <v>E</v>
          </cell>
          <cell r="L433" t="str">
            <v>B</v>
          </cell>
          <cell r="M433" t="str">
            <v>A</v>
          </cell>
          <cell r="N433" t="str">
            <v>B</v>
          </cell>
          <cell r="O433" t="str">
            <v>A</v>
          </cell>
          <cell r="P433" t="str">
            <v>C</v>
          </cell>
          <cell r="Q433" t="str">
            <v>D</v>
          </cell>
          <cell r="R433" t="str">
            <v>C</v>
          </cell>
          <cell r="X433">
            <v>32.5</v>
          </cell>
        </row>
        <row r="434">
          <cell r="C434">
            <v>38465370</v>
          </cell>
          <cell r="D434" t="str">
            <v>ТОВ "КОМПАНІЯ ТРАНС-ІНВЕСТ"</v>
          </cell>
          <cell r="E434">
            <v>45952.740299999998</v>
          </cell>
          <cell r="F434">
            <v>45839</v>
          </cell>
          <cell r="G434" t="str">
            <v>E</v>
          </cell>
          <cell r="H434" t="str">
            <v>B</v>
          </cell>
          <cell r="I434" t="str">
            <v>B</v>
          </cell>
          <cell r="J434" t="str">
            <v>C</v>
          </cell>
          <cell r="K434" t="str">
            <v>D</v>
          </cell>
          <cell r="L434" t="str">
            <v>B</v>
          </cell>
          <cell r="M434" t="str">
            <v>D</v>
          </cell>
          <cell r="N434" t="str">
            <v>C</v>
          </cell>
          <cell r="O434" t="str">
            <v>B</v>
          </cell>
          <cell r="P434" t="str">
            <v>C</v>
          </cell>
          <cell r="Q434" t="str">
            <v>C</v>
          </cell>
          <cell r="R434" t="str">
            <v>B</v>
          </cell>
          <cell r="X434">
            <v>35.199999999999996</v>
          </cell>
        </row>
        <row r="435">
          <cell r="C435">
            <v>38481937</v>
          </cell>
          <cell r="D435" t="str">
            <v>ТОВ "ІНТЕР АВТО ЦЕНТР"</v>
          </cell>
          <cell r="E435">
            <v>45831.7091</v>
          </cell>
          <cell r="F435">
            <v>45748</v>
          </cell>
          <cell r="G435" t="str">
            <v>D</v>
          </cell>
          <cell r="H435" t="str">
            <v>B</v>
          </cell>
          <cell r="I435" t="str">
            <v>B</v>
          </cell>
          <cell r="J435" t="str">
            <v>B</v>
          </cell>
          <cell r="K435" t="str">
            <v>D</v>
          </cell>
          <cell r="L435" t="str">
            <v>B</v>
          </cell>
          <cell r="M435" t="str">
            <v>A</v>
          </cell>
          <cell r="N435" t="str">
            <v>A</v>
          </cell>
          <cell r="O435" t="str">
            <v>A</v>
          </cell>
          <cell r="P435" t="str">
            <v>C</v>
          </cell>
          <cell r="Q435" t="str">
            <v>B</v>
          </cell>
          <cell r="R435" t="str">
            <v>B</v>
          </cell>
          <cell r="X435">
            <v>54.2</v>
          </cell>
        </row>
        <row r="436">
          <cell r="C436">
            <v>38484105</v>
          </cell>
          <cell r="D436" t="str">
            <v>ТОВ "ТРАНС БІТ ГРУПП"</v>
          </cell>
          <cell r="E436">
            <v>45639.675000000003</v>
          </cell>
          <cell r="F436">
            <v>45566</v>
          </cell>
          <cell r="G436" t="str">
            <v>E</v>
          </cell>
          <cell r="H436" t="str">
            <v>B</v>
          </cell>
          <cell r="I436" t="str">
            <v>B</v>
          </cell>
          <cell r="J436" t="str">
            <v>B</v>
          </cell>
          <cell r="K436" t="str">
            <v>D</v>
          </cell>
          <cell r="L436" t="str">
            <v>B</v>
          </cell>
          <cell r="M436" t="str">
            <v>A</v>
          </cell>
          <cell r="N436" t="str">
            <v>A</v>
          </cell>
          <cell r="O436" t="str">
            <v>A</v>
          </cell>
          <cell r="P436" t="str">
            <v>C</v>
          </cell>
          <cell r="Q436" t="str">
            <v>B</v>
          </cell>
          <cell r="R436" t="str">
            <v>A</v>
          </cell>
          <cell r="X436">
            <v>54.199999999999996</v>
          </cell>
        </row>
        <row r="437">
          <cell r="C437">
            <v>38489035</v>
          </cell>
          <cell r="D437" t="str">
            <v>ТОВ «АЕТ»</v>
          </cell>
          <cell r="E437">
            <v>45905.516000000003</v>
          </cell>
          <cell r="F437">
            <v>45839</v>
          </cell>
          <cell r="G437" t="str">
            <v>D</v>
          </cell>
          <cell r="H437" t="str">
            <v>C</v>
          </cell>
          <cell r="I437" t="str">
            <v>A</v>
          </cell>
          <cell r="J437" t="str">
            <v>C</v>
          </cell>
          <cell r="K437" t="str">
            <v>D</v>
          </cell>
          <cell r="L437" t="str">
            <v>B</v>
          </cell>
          <cell r="M437" t="str">
            <v>A</v>
          </cell>
          <cell r="N437" t="str">
            <v>B</v>
          </cell>
          <cell r="O437" t="str">
            <v>A</v>
          </cell>
          <cell r="P437" t="str">
            <v>C</v>
          </cell>
          <cell r="Q437" t="str">
            <v>B</v>
          </cell>
          <cell r="R437" t="str">
            <v>C</v>
          </cell>
          <cell r="X437">
            <v>45.3</v>
          </cell>
        </row>
        <row r="438">
          <cell r="C438">
            <v>38500619</v>
          </cell>
          <cell r="D438" t="str">
            <v>ТОВ "АГРОІНВЕСТКОНТАКТ"</v>
          </cell>
          <cell r="E438">
            <v>45952.432699999998</v>
          </cell>
          <cell r="F438">
            <v>45839</v>
          </cell>
          <cell r="G438" t="str">
            <v>E</v>
          </cell>
          <cell r="H438" t="str">
            <v>B</v>
          </cell>
          <cell r="I438" t="str">
            <v>B</v>
          </cell>
          <cell r="J438" t="str">
            <v>B</v>
          </cell>
          <cell r="K438" t="str">
            <v>D</v>
          </cell>
          <cell r="L438" t="str">
            <v>B</v>
          </cell>
          <cell r="M438" t="str">
            <v>A</v>
          </cell>
          <cell r="N438" t="str">
            <v>A</v>
          </cell>
          <cell r="O438" t="str">
            <v>A</v>
          </cell>
          <cell r="P438" t="str">
            <v>C</v>
          </cell>
          <cell r="Q438" t="str">
            <v>B</v>
          </cell>
          <cell r="R438" t="str">
            <v>C</v>
          </cell>
          <cell r="X438">
            <v>48.199999999999996</v>
          </cell>
        </row>
        <row r="439">
          <cell r="C439">
            <v>38511882</v>
          </cell>
          <cell r="D439" t="str">
            <v>ТОВ "РЕНТМАРКЕТ"</v>
          </cell>
          <cell r="E439">
            <v>45768.428500000002</v>
          </cell>
          <cell r="F439">
            <v>45658</v>
          </cell>
          <cell r="G439" t="str">
            <v>E</v>
          </cell>
          <cell r="H439" t="str">
            <v>B</v>
          </cell>
          <cell r="I439" t="str">
            <v>B</v>
          </cell>
          <cell r="J439" t="str">
            <v>A</v>
          </cell>
          <cell r="K439" t="str">
            <v>D</v>
          </cell>
          <cell r="L439" t="str">
            <v>A</v>
          </cell>
          <cell r="M439" t="str">
            <v>A</v>
          </cell>
          <cell r="N439" t="str">
            <v>C</v>
          </cell>
          <cell r="O439" t="str">
            <v>A</v>
          </cell>
          <cell r="P439" t="str">
            <v>C</v>
          </cell>
          <cell r="Q439" t="str">
            <v>B</v>
          </cell>
          <cell r="R439" t="str">
            <v>A</v>
          </cell>
          <cell r="X439">
            <v>51.4</v>
          </cell>
        </row>
        <row r="440">
          <cell r="C440">
            <v>38534297</v>
          </cell>
          <cell r="D440" t="str">
            <v>ТОВ "МЕД - ОК"</v>
          </cell>
          <cell r="E440">
            <v>45925.698499999999</v>
          </cell>
          <cell r="F440">
            <v>45839</v>
          </cell>
          <cell r="G440" t="str">
            <v>E</v>
          </cell>
          <cell r="H440" t="str">
            <v>A</v>
          </cell>
          <cell r="I440" t="str">
            <v>B</v>
          </cell>
          <cell r="J440" t="str">
            <v>A</v>
          </cell>
          <cell r="K440" t="str">
            <v>B</v>
          </cell>
          <cell r="L440" t="str">
            <v>A</v>
          </cell>
          <cell r="M440" t="str">
            <v>A</v>
          </cell>
          <cell r="N440" t="str">
            <v>B</v>
          </cell>
          <cell r="O440" t="str">
            <v>A</v>
          </cell>
          <cell r="P440" t="str">
            <v>C</v>
          </cell>
          <cell r="Q440" t="str">
            <v>B</v>
          </cell>
          <cell r="R440" t="str">
            <v>A</v>
          </cell>
          <cell r="X440">
            <v>58.9</v>
          </cell>
        </row>
        <row r="441">
          <cell r="C441">
            <v>38568656</v>
          </cell>
          <cell r="D441" t="str">
            <v>ТОВ "ГЮТЕРСОН УКРАЇНА"</v>
          </cell>
          <cell r="E441">
            <v>45938.906499999997</v>
          </cell>
          <cell r="F441">
            <v>45748</v>
          </cell>
          <cell r="G441" t="str">
            <v>C</v>
          </cell>
          <cell r="H441" t="str">
            <v>B</v>
          </cell>
          <cell r="I441" t="str">
            <v>B</v>
          </cell>
          <cell r="J441" t="str">
            <v>D</v>
          </cell>
          <cell r="K441" t="str">
            <v>B</v>
          </cell>
          <cell r="L441" t="str">
            <v>B</v>
          </cell>
          <cell r="M441" t="str">
            <v>B</v>
          </cell>
          <cell r="N441" t="str">
            <v>A</v>
          </cell>
          <cell r="O441" t="str">
            <v>A</v>
          </cell>
          <cell r="P441" t="str">
            <v>C</v>
          </cell>
          <cell r="Q441" t="str">
            <v>B</v>
          </cell>
          <cell r="R441" t="str">
            <v>B</v>
          </cell>
          <cell r="X441">
            <v>57</v>
          </cell>
        </row>
        <row r="442">
          <cell r="C442">
            <v>38572788</v>
          </cell>
          <cell r="D442" t="str">
            <v>ТОВ "Агрофорс трейд"</v>
          </cell>
          <cell r="E442">
            <v>45807.504000000001</v>
          </cell>
          <cell r="F442">
            <v>45748</v>
          </cell>
          <cell r="G442" t="str">
            <v>E</v>
          </cell>
          <cell r="H442" t="str">
            <v>A</v>
          </cell>
          <cell r="I442" t="str">
            <v>B</v>
          </cell>
          <cell r="J442" t="str">
            <v>A</v>
          </cell>
          <cell r="K442" t="str">
            <v>D</v>
          </cell>
          <cell r="L442" t="str">
            <v>A</v>
          </cell>
          <cell r="M442" t="str">
            <v>A</v>
          </cell>
          <cell r="N442" t="str">
            <v>A</v>
          </cell>
          <cell r="O442" t="str">
            <v>A</v>
          </cell>
          <cell r="P442" t="str">
            <v>C</v>
          </cell>
          <cell r="Q442" t="str">
            <v>B</v>
          </cell>
          <cell r="R442" t="str">
            <v>A</v>
          </cell>
          <cell r="X442">
            <v>58.6</v>
          </cell>
        </row>
        <row r="443">
          <cell r="C443">
            <v>38575595</v>
          </cell>
          <cell r="D443" t="str">
            <v>ТОВ "СП-АРГОС"</v>
          </cell>
          <cell r="E443">
            <v>45705.498099999997</v>
          </cell>
          <cell r="F443">
            <v>45566</v>
          </cell>
          <cell r="G443" t="str">
            <v>E</v>
          </cell>
          <cell r="H443" t="str">
            <v>C</v>
          </cell>
          <cell r="I443" t="str">
            <v>B</v>
          </cell>
          <cell r="J443" t="str">
            <v>C</v>
          </cell>
          <cell r="K443" t="str">
            <v>D</v>
          </cell>
          <cell r="L443" t="str">
            <v>B</v>
          </cell>
          <cell r="M443" t="str">
            <v>B</v>
          </cell>
          <cell r="N443" t="str">
            <v>C</v>
          </cell>
          <cell r="O443" t="str">
            <v>A</v>
          </cell>
          <cell r="P443" t="str">
            <v>C</v>
          </cell>
          <cell r="Q443" t="str">
            <v>C</v>
          </cell>
          <cell r="R443" t="str">
            <v>C</v>
          </cell>
          <cell r="X443">
            <v>36.399999999999991</v>
          </cell>
        </row>
        <row r="444">
          <cell r="C444">
            <v>38575616</v>
          </cell>
          <cell r="D444" t="str">
            <v>ТОВ "ДІАМАНТ - АГРО"</v>
          </cell>
          <cell r="E444">
            <v>45713.373500000002</v>
          </cell>
          <cell r="F444">
            <v>45566</v>
          </cell>
          <cell r="G444" t="str">
            <v>E</v>
          </cell>
          <cell r="H444" t="str">
            <v>B</v>
          </cell>
          <cell r="I444" t="str">
            <v>B</v>
          </cell>
          <cell r="J444" t="str">
            <v>C</v>
          </cell>
          <cell r="K444" t="str">
            <v>D</v>
          </cell>
          <cell r="L444" t="str">
            <v>A</v>
          </cell>
          <cell r="M444" t="str">
            <v>B</v>
          </cell>
          <cell r="N444" t="str">
            <v>B</v>
          </cell>
          <cell r="O444" t="str">
            <v>A</v>
          </cell>
          <cell r="P444" t="str">
            <v>C</v>
          </cell>
          <cell r="Q444" t="str">
            <v>B</v>
          </cell>
          <cell r="R444" t="str">
            <v>C</v>
          </cell>
          <cell r="X444">
            <v>46.1</v>
          </cell>
        </row>
        <row r="445">
          <cell r="C445">
            <v>38582691</v>
          </cell>
          <cell r="D445" t="str">
            <v>ТЗОВ "БЦЛ"</v>
          </cell>
          <cell r="E445">
            <v>45779.666799999999</v>
          </cell>
          <cell r="F445">
            <v>45566</v>
          </cell>
          <cell r="G445" t="str">
            <v>E</v>
          </cell>
          <cell r="H445" t="str">
            <v>B</v>
          </cell>
          <cell r="I445" t="str">
            <v>B</v>
          </cell>
          <cell r="J445" t="str">
            <v>A</v>
          </cell>
          <cell r="K445" t="str">
            <v>B</v>
          </cell>
          <cell r="L445" t="str">
            <v>B</v>
          </cell>
          <cell r="M445" t="str">
            <v>A</v>
          </cell>
          <cell r="N445" t="str">
            <v>B</v>
          </cell>
          <cell r="O445" t="str">
            <v>A</v>
          </cell>
          <cell r="P445" t="str">
            <v>B</v>
          </cell>
          <cell r="Q445" t="str">
            <v>C</v>
          </cell>
          <cell r="R445" t="str">
            <v>C</v>
          </cell>
          <cell r="X445">
            <v>45.7</v>
          </cell>
        </row>
        <row r="446">
          <cell r="C446">
            <v>38598848</v>
          </cell>
          <cell r="D446" t="str">
            <v>ТОВ "БІЛТЕКС"</v>
          </cell>
          <cell r="E446">
            <v>45637.416700000002</v>
          </cell>
          <cell r="F446">
            <v>45566</v>
          </cell>
          <cell r="G446" t="str">
            <v>E</v>
          </cell>
          <cell r="H446" t="str">
            <v>B</v>
          </cell>
          <cell r="I446" t="str">
            <v>B</v>
          </cell>
          <cell r="J446" t="str">
            <v>A</v>
          </cell>
          <cell r="K446" t="str">
            <v>D</v>
          </cell>
          <cell r="L446" t="str">
            <v>B</v>
          </cell>
          <cell r="M446" t="str">
            <v>A</v>
          </cell>
          <cell r="N446" t="str">
            <v>B</v>
          </cell>
          <cell r="O446" t="str">
            <v>A</v>
          </cell>
          <cell r="P446" t="str">
            <v>C</v>
          </cell>
          <cell r="Q446" t="str">
            <v>B</v>
          </cell>
          <cell r="R446" t="str">
            <v>B</v>
          </cell>
          <cell r="X446">
            <v>44.5</v>
          </cell>
        </row>
        <row r="447">
          <cell r="C447">
            <v>38599548</v>
          </cell>
          <cell r="D447" t="str">
            <v>ТОВ "БОНТОЙ"</v>
          </cell>
          <cell r="E447">
            <v>45835.748500000002</v>
          </cell>
          <cell r="F447">
            <v>45748</v>
          </cell>
          <cell r="G447" t="str">
            <v>E</v>
          </cell>
          <cell r="H447" t="str">
            <v>C</v>
          </cell>
          <cell r="I447" t="str">
            <v>A</v>
          </cell>
          <cell r="J447" t="str">
            <v>A</v>
          </cell>
          <cell r="K447" t="str">
            <v>D</v>
          </cell>
          <cell r="L447" t="str">
            <v>B</v>
          </cell>
          <cell r="M447" t="str">
            <v>A</v>
          </cell>
          <cell r="N447" t="str">
            <v>B</v>
          </cell>
          <cell r="O447" t="str">
            <v>A</v>
          </cell>
          <cell r="P447" t="str">
            <v>C</v>
          </cell>
          <cell r="Q447" t="str">
            <v>C</v>
          </cell>
          <cell r="R447" t="str">
            <v>C</v>
          </cell>
          <cell r="X447">
            <v>34.299999999999997</v>
          </cell>
        </row>
        <row r="448">
          <cell r="C448">
            <v>38656642</v>
          </cell>
          <cell r="D448" t="str">
            <v>ТОВ "ЗЕРНОПРОМ-ПЛЮС"</v>
          </cell>
          <cell r="E448">
            <v>45848.534299999999</v>
          </cell>
          <cell r="F448">
            <v>45658</v>
          </cell>
          <cell r="G448" t="str">
            <v>E</v>
          </cell>
          <cell r="H448" t="str">
            <v>C</v>
          </cell>
          <cell r="I448" t="str">
            <v>C</v>
          </cell>
          <cell r="J448" t="str">
            <v>A</v>
          </cell>
          <cell r="K448" t="str">
            <v>D</v>
          </cell>
          <cell r="L448" t="str">
            <v>B</v>
          </cell>
          <cell r="M448" t="str">
            <v>A</v>
          </cell>
          <cell r="N448" t="str">
            <v>B</v>
          </cell>
          <cell r="O448" t="str">
            <v>B</v>
          </cell>
          <cell r="P448" t="str">
            <v>A</v>
          </cell>
          <cell r="Q448" t="str">
            <v>C</v>
          </cell>
          <cell r="R448" t="str">
            <v>C</v>
          </cell>
          <cell r="X448">
            <v>31.299999999999997</v>
          </cell>
        </row>
        <row r="449">
          <cell r="C449">
            <v>38661338</v>
          </cell>
          <cell r="D449" t="str">
            <v>ТОВ "Селянка ТМ"</v>
          </cell>
          <cell r="E449">
            <v>45772.675900000002</v>
          </cell>
          <cell r="F449">
            <v>45658</v>
          </cell>
          <cell r="G449" t="str">
            <v>E</v>
          </cell>
          <cell r="H449" t="str">
            <v>B</v>
          </cell>
          <cell r="I449" t="str">
            <v>A</v>
          </cell>
          <cell r="J449" t="str">
            <v>B</v>
          </cell>
          <cell r="K449" t="str">
            <v>D</v>
          </cell>
          <cell r="L449" t="str">
            <v>B</v>
          </cell>
          <cell r="M449" t="str">
            <v>A</v>
          </cell>
          <cell r="N449" t="str">
            <v>B</v>
          </cell>
          <cell r="O449" t="str">
            <v>B</v>
          </cell>
          <cell r="P449" t="str">
            <v>C</v>
          </cell>
          <cell r="Q449" t="str">
            <v>C</v>
          </cell>
          <cell r="R449" t="str">
            <v>A</v>
          </cell>
          <cell r="X449">
            <v>41.099999999999994</v>
          </cell>
        </row>
        <row r="450">
          <cell r="C450">
            <v>38675581</v>
          </cell>
          <cell r="D450" t="str">
            <v>ТОВ "АВТОВІНН"</v>
          </cell>
          <cell r="E450">
            <v>45926.4833</v>
          </cell>
          <cell r="F450">
            <v>45839</v>
          </cell>
          <cell r="G450" t="str">
            <v>D</v>
          </cell>
          <cell r="H450" t="str">
            <v>A</v>
          </cell>
          <cell r="I450" t="str">
            <v>C</v>
          </cell>
          <cell r="J450" t="str">
            <v>B</v>
          </cell>
          <cell r="K450" t="str">
            <v>C</v>
          </cell>
          <cell r="L450" t="str">
            <v>A</v>
          </cell>
          <cell r="M450" t="str">
            <v>A</v>
          </cell>
          <cell r="N450" t="str">
            <v>B</v>
          </cell>
          <cell r="O450" t="str">
            <v>A</v>
          </cell>
          <cell r="P450" t="str">
            <v>A</v>
          </cell>
          <cell r="Q450" t="str">
            <v>B</v>
          </cell>
          <cell r="R450" t="str">
            <v>A</v>
          </cell>
          <cell r="X450">
            <v>60.7</v>
          </cell>
        </row>
        <row r="451">
          <cell r="C451">
            <v>38677882</v>
          </cell>
          <cell r="D451" t="str">
            <v>ТОВ "Солар Стальконструкція"</v>
          </cell>
          <cell r="E451">
            <v>45742.4493</v>
          </cell>
          <cell r="F451">
            <v>45566</v>
          </cell>
          <cell r="G451" t="str">
            <v>E</v>
          </cell>
          <cell r="H451" t="str">
            <v>C</v>
          </cell>
          <cell r="I451" t="str">
            <v>B</v>
          </cell>
          <cell r="J451" t="str">
            <v>B</v>
          </cell>
          <cell r="K451" t="str">
            <v>D</v>
          </cell>
          <cell r="L451" t="str">
            <v>B</v>
          </cell>
          <cell r="M451" t="str">
            <v>A</v>
          </cell>
          <cell r="N451" t="str">
            <v>A</v>
          </cell>
          <cell r="O451" t="str">
            <v>A</v>
          </cell>
          <cell r="P451" t="str">
            <v>C</v>
          </cell>
          <cell r="Q451" t="str">
            <v>B</v>
          </cell>
          <cell r="R451" t="str">
            <v>B</v>
          </cell>
          <cell r="X451">
            <v>49</v>
          </cell>
        </row>
        <row r="452">
          <cell r="C452">
            <v>38706876</v>
          </cell>
          <cell r="D452" t="str">
            <v>ТОВ "ПАРАЛЛЕЛЬ-ОПТ"</v>
          </cell>
          <cell r="E452">
            <v>45730.466699999997</v>
          </cell>
          <cell r="F452">
            <v>45658</v>
          </cell>
          <cell r="G452" t="str">
            <v>E</v>
          </cell>
          <cell r="H452" t="str">
            <v>C</v>
          </cell>
          <cell r="I452" t="str">
            <v>D</v>
          </cell>
          <cell r="J452" t="str">
            <v>B</v>
          </cell>
          <cell r="K452" t="str">
            <v>B</v>
          </cell>
          <cell r="L452" t="str">
            <v>B</v>
          </cell>
          <cell r="M452" t="str">
            <v>A</v>
          </cell>
          <cell r="N452" t="str">
            <v>B</v>
          </cell>
          <cell r="O452" t="str">
            <v>B</v>
          </cell>
          <cell r="P452" t="str">
            <v>C</v>
          </cell>
          <cell r="Q452" t="str">
            <v>C</v>
          </cell>
          <cell r="R452" t="str">
            <v>A</v>
          </cell>
          <cell r="X452">
            <v>40.699999999999996</v>
          </cell>
        </row>
        <row r="453">
          <cell r="C453">
            <v>38712963</v>
          </cell>
          <cell r="D453" t="str">
            <v>ТОВ "ГЕНДЛЯРКА"</v>
          </cell>
          <cell r="E453">
            <v>45898.599199999997</v>
          </cell>
          <cell r="F453">
            <v>45839</v>
          </cell>
          <cell r="G453" t="str">
            <v>E</v>
          </cell>
          <cell r="H453" t="str">
            <v>B</v>
          </cell>
          <cell r="I453" t="str">
            <v>C</v>
          </cell>
          <cell r="J453" t="str">
            <v>A</v>
          </cell>
          <cell r="K453" t="str">
            <v>D</v>
          </cell>
          <cell r="L453" t="str">
            <v>A</v>
          </cell>
          <cell r="M453" t="str">
            <v>A</v>
          </cell>
          <cell r="N453" t="str">
            <v>B</v>
          </cell>
          <cell r="O453" t="str">
            <v>A</v>
          </cell>
          <cell r="P453" t="str">
            <v>C</v>
          </cell>
          <cell r="Q453" t="str">
            <v>B</v>
          </cell>
          <cell r="R453" t="str">
            <v>C</v>
          </cell>
          <cell r="X453">
            <v>38.9</v>
          </cell>
        </row>
        <row r="454">
          <cell r="C454">
            <v>38714080</v>
          </cell>
          <cell r="D454" t="str">
            <v>ПП "СТОКОЛОС-АГРОІНВЕСТ"</v>
          </cell>
          <cell r="E454">
            <v>45693.443700000003</v>
          </cell>
          <cell r="F454">
            <v>45474</v>
          </cell>
          <cell r="G454" t="str">
            <v>E</v>
          </cell>
          <cell r="H454" t="str">
            <v>B</v>
          </cell>
          <cell r="I454" t="str">
            <v>C</v>
          </cell>
          <cell r="J454" t="str">
            <v>C</v>
          </cell>
          <cell r="K454" t="str">
            <v>D</v>
          </cell>
          <cell r="L454" t="str">
            <v>A</v>
          </cell>
          <cell r="M454" t="str">
            <v>A</v>
          </cell>
          <cell r="N454" t="str">
            <v>B</v>
          </cell>
          <cell r="O454" t="str">
            <v>A</v>
          </cell>
          <cell r="P454" t="str">
            <v>B</v>
          </cell>
          <cell r="Q454" t="str">
            <v>B</v>
          </cell>
          <cell r="R454" t="str">
            <v>C</v>
          </cell>
          <cell r="X454">
            <v>46.300000000000004</v>
          </cell>
        </row>
        <row r="455">
          <cell r="C455">
            <v>38721941</v>
          </cell>
          <cell r="D455" t="str">
            <v>ТОВ "ГЛЕНПОРТ ОДЕСА"</v>
          </cell>
          <cell r="E455">
            <v>45992.008900000001</v>
          </cell>
          <cell r="F455">
            <v>45839</v>
          </cell>
          <cell r="G455" t="str">
            <v>E</v>
          </cell>
          <cell r="H455" t="str">
            <v>B</v>
          </cell>
          <cell r="I455" t="str">
            <v>A</v>
          </cell>
          <cell r="J455" t="str">
            <v>A</v>
          </cell>
          <cell r="K455" t="str">
            <v>D</v>
          </cell>
          <cell r="L455" t="str">
            <v>A</v>
          </cell>
          <cell r="M455" t="str">
            <v>A</v>
          </cell>
          <cell r="N455" t="str">
            <v>A</v>
          </cell>
          <cell r="O455" t="str">
            <v>A</v>
          </cell>
          <cell r="P455" t="str">
            <v>B</v>
          </cell>
          <cell r="Q455" t="str">
            <v>B</v>
          </cell>
          <cell r="R455" t="str">
            <v>A</v>
          </cell>
          <cell r="X455">
            <v>53.600000000000009</v>
          </cell>
        </row>
        <row r="456">
          <cell r="C456">
            <v>38740550</v>
          </cell>
          <cell r="D456" t="str">
            <v>ТЗОВ "ЛЬВІВ-БУД"</v>
          </cell>
          <cell r="E456">
            <v>45792.554100000001</v>
          </cell>
          <cell r="F456">
            <v>45658</v>
          </cell>
          <cell r="G456" t="str">
            <v>E</v>
          </cell>
          <cell r="H456" t="str">
            <v>A</v>
          </cell>
          <cell r="I456" t="str">
            <v>B</v>
          </cell>
          <cell r="J456" t="str">
            <v>A</v>
          </cell>
          <cell r="K456" t="str">
            <v>B</v>
          </cell>
          <cell r="L456" t="str">
            <v>B</v>
          </cell>
          <cell r="M456" t="str">
            <v>A</v>
          </cell>
          <cell r="N456" t="str">
            <v>A</v>
          </cell>
          <cell r="O456" t="str">
            <v>B</v>
          </cell>
          <cell r="P456" t="str">
            <v>C</v>
          </cell>
          <cell r="Q456" t="str">
            <v>B</v>
          </cell>
          <cell r="R456" t="str">
            <v>A</v>
          </cell>
          <cell r="X456">
            <v>53.8</v>
          </cell>
        </row>
        <row r="457">
          <cell r="C457">
            <v>38744775</v>
          </cell>
          <cell r="D457" t="str">
            <v>ТОВ "КІГ"</v>
          </cell>
          <cell r="E457">
            <v>45826.77</v>
          </cell>
          <cell r="F457">
            <v>45658</v>
          </cell>
          <cell r="G457" t="str">
            <v>D</v>
          </cell>
          <cell r="H457" t="str">
            <v>B</v>
          </cell>
          <cell r="I457" t="str">
            <v>B</v>
          </cell>
          <cell r="J457" t="str">
            <v>B</v>
          </cell>
          <cell r="K457" t="str">
            <v>B</v>
          </cell>
          <cell r="L457" t="str">
            <v>B</v>
          </cell>
          <cell r="M457" t="str">
            <v>A</v>
          </cell>
          <cell r="N457" t="str">
            <v>B</v>
          </cell>
          <cell r="O457" t="str">
            <v>A</v>
          </cell>
          <cell r="P457" t="str">
            <v>C</v>
          </cell>
          <cell r="Q457" t="str">
            <v>C</v>
          </cell>
          <cell r="R457" t="str">
            <v>C</v>
          </cell>
          <cell r="X457">
            <v>50.3</v>
          </cell>
        </row>
        <row r="458">
          <cell r="C458">
            <v>38759520</v>
          </cell>
          <cell r="D458" t="str">
            <v>ПП "АГРОФІРМА ПРОГРЕСС"</v>
          </cell>
          <cell r="E458">
            <v>45848.534299999999</v>
          </cell>
          <cell r="F458">
            <v>45658</v>
          </cell>
          <cell r="G458" t="str">
            <v>E</v>
          </cell>
          <cell r="H458" t="str">
            <v>C</v>
          </cell>
          <cell r="I458" t="str">
            <v>C</v>
          </cell>
          <cell r="J458" t="str">
            <v>A</v>
          </cell>
          <cell r="K458" t="str">
            <v>D</v>
          </cell>
          <cell r="L458" t="str">
            <v>B</v>
          </cell>
          <cell r="M458" t="str">
            <v>A</v>
          </cell>
          <cell r="N458" t="str">
            <v>B</v>
          </cell>
          <cell r="O458" t="str">
            <v>B</v>
          </cell>
          <cell r="P458" t="str">
            <v>A</v>
          </cell>
          <cell r="Q458" t="str">
            <v>C</v>
          </cell>
          <cell r="R458" t="str">
            <v>C</v>
          </cell>
          <cell r="X458">
            <v>31.299999999999997</v>
          </cell>
        </row>
        <row r="459">
          <cell r="C459">
            <v>38781431</v>
          </cell>
          <cell r="D459" t="str">
            <v>ТОВ "НГХ СЕРВІС"</v>
          </cell>
          <cell r="E459">
            <v>45938.614300000001</v>
          </cell>
          <cell r="F459">
            <v>45748</v>
          </cell>
          <cell r="G459" t="str">
            <v>E</v>
          </cell>
          <cell r="H459" t="str">
            <v>B</v>
          </cell>
          <cell r="I459" t="str">
            <v>B</v>
          </cell>
          <cell r="J459" t="str">
            <v>B</v>
          </cell>
          <cell r="K459" t="str">
            <v>D</v>
          </cell>
          <cell r="L459" t="str">
            <v>A</v>
          </cell>
          <cell r="M459" t="str">
            <v>A</v>
          </cell>
          <cell r="N459" t="str">
            <v>B</v>
          </cell>
          <cell r="O459" t="str">
            <v>A</v>
          </cell>
          <cell r="P459" t="str">
            <v>C</v>
          </cell>
          <cell r="Q459" t="str">
            <v>C</v>
          </cell>
          <cell r="R459" t="str">
            <v>A</v>
          </cell>
          <cell r="X459">
            <v>53.9</v>
          </cell>
        </row>
        <row r="460">
          <cell r="C460">
            <v>38783374</v>
          </cell>
          <cell r="D460" t="str">
            <v>ТОВ"ВОРОНОВИЦЬКЕ ХПП"</v>
          </cell>
          <cell r="E460">
            <v>45817.703399999999</v>
          </cell>
          <cell r="F460">
            <v>45658</v>
          </cell>
          <cell r="G460" t="str">
            <v>E</v>
          </cell>
          <cell r="H460" t="str">
            <v>C</v>
          </cell>
          <cell r="I460" t="str">
            <v>B</v>
          </cell>
          <cell r="J460" t="str">
            <v>C</v>
          </cell>
          <cell r="K460" t="str">
            <v>C</v>
          </cell>
          <cell r="L460" t="str">
            <v>A</v>
          </cell>
          <cell r="M460" t="str">
            <v>A</v>
          </cell>
          <cell r="N460" t="str">
            <v>B</v>
          </cell>
          <cell r="O460" t="str">
            <v>A</v>
          </cell>
          <cell r="P460" t="str">
            <v>C</v>
          </cell>
          <cell r="Q460" t="str">
            <v>B</v>
          </cell>
          <cell r="R460" t="str">
            <v>B</v>
          </cell>
          <cell r="X460">
            <v>56.1</v>
          </cell>
        </row>
        <row r="461">
          <cell r="C461">
            <v>38799405</v>
          </cell>
          <cell r="D461" t="str">
            <v>ТОВ "ТД Енергостройінвест"</v>
          </cell>
          <cell r="E461">
            <v>45881.635000000002</v>
          </cell>
          <cell r="F461">
            <v>45658</v>
          </cell>
          <cell r="G461" t="str">
            <v>E</v>
          </cell>
          <cell r="H461" t="str">
            <v>B</v>
          </cell>
          <cell r="I461" t="str">
            <v>B</v>
          </cell>
          <cell r="J461" t="str">
            <v>D</v>
          </cell>
          <cell r="K461" t="str">
            <v>D</v>
          </cell>
          <cell r="L461" t="str">
            <v>B</v>
          </cell>
          <cell r="M461" t="str">
            <v>A</v>
          </cell>
          <cell r="N461" t="str">
            <v>B</v>
          </cell>
          <cell r="O461" t="str">
            <v>A</v>
          </cell>
          <cell r="P461" t="str">
            <v>C</v>
          </cell>
          <cell r="Q461" t="str">
            <v>B</v>
          </cell>
          <cell r="R461" t="str">
            <v>A</v>
          </cell>
          <cell r="X461">
            <v>56.1</v>
          </cell>
        </row>
        <row r="462">
          <cell r="C462">
            <v>38806862</v>
          </cell>
          <cell r="D462" t="str">
            <v>ТОВ "МЕДИЧНИЙ ЦЕНТР "ДОБРОБУТ-ПОЛІКЛІНІКА"</v>
          </cell>
          <cell r="E462">
            <v>45645.483099999998</v>
          </cell>
          <cell r="F462">
            <v>45566</v>
          </cell>
          <cell r="G462" t="str">
            <v>D</v>
          </cell>
          <cell r="H462" t="str">
            <v>B</v>
          </cell>
          <cell r="I462" t="str">
            <v>D</v>
          </cell>
          <cell r="J462" t="str">
            <v>B</v>
          </cell>
          <cell r="K462" t="str">
            <v>B</v>
          </cell>
          <cell r="L462" t="str">
            <v>A</v>
          </cell>
          <cell r="M462" t="str">
            <v>A</v>
          </cell>
          <cell r="N462" t="str">
            <v>A</v>
          </cell>
          <cell r="O462" t="str">
            <v>A</v>
          </cell>
          <cell r="P462" t="str">
            <v>A</v>
          </cell>
          <cell r="Q462" t="str">
            <v>A</v>
          </cell>
          <cell r="R462" t="str">
            <v>B</v>
          </cell>
          <cell r="X462">
            <v>62.4</v>
          </cell>
        </row>
        <row r="463">
          <cell r="C463">
            <v>38840039</v>
          </cell>
          <cell r="D463" t="str">
            <v>ТОВ "ПЛУТОН ІС"</v>
          </cell>
          <cell r="E463">
            <v>45882.726199999997</v>
          </cell>
          <cell r="F463">
            <v>45566</v>
          </cell>
          <cell r="G463" t="str">
            <v>E</v>
          </cell>
          <cell r="H463" t="str">
            <v>B</v>
          </cell>
          <cell r="I463" t="str">
            <v>B</v>
          </cell>
          <cell r="J463" t="str">
            <v>D</v>
          </cell>
          <cell r="K463" t="str">
            <v>D</v>
          </cell>
          <cell r="L463" t="str">
            <v>B</v>
          </cell>
          <cell r="M463" t="str">
            <v>A</v>
          </cell>
          <cell r="N463" t="str">
            <v>C</v>
          </cell>
          <cell r="O463" t="str">
            <v>A</v>
          </cell>
          <cell r="P463" t="str">
            <v>C</v>
          </cell>
          <cell r="Q463" t="str">
            <v>C</v>
          </cell>
          <cell r="R463" t="str">
            <v>B</v>
          </cell>
          <cell r="X463">
            <v>49.199999999999996</v>
          </cell>
        </row>
        <row r="464">
          <cell r="C464">
            <v>38888898</v>
          </cell>
          <cell r="D464" t="str">
            <v>ТОВ "Строй ЮА"</v>
          </cell>
          <cell r="E464">
            <v>45793.468500000003</v>
          </cell>
          <cell r="F464">
            <v>45658</v>
          </cell>
          <cell r="G464" t="str">
            <v>E</v>
          </cell>
          <cell r="H464" t="str">
            <v>A</v>
          </cell>
          <cell r="I464" t="str">
            <v>B</v>
          </cell>
          <cell r="J464" t="str">
            <v>A</v>
          </cell>
          <cell r="K464" t="str">
            <v>A</v>
          </cell>
          <cell r="L464" t="str">
            <v>B</v>
          </cell>
          <cell r="M464" t="str">
            <v>A</v>
          </cell>
          <cell r="N464" t="str">
            <v>B</v>
          </cell>
          <cell r="O464" t="str">
            <v>A</v>
          </cell>
          <cell r="P464" t="str">
            <v>C</v>
          </cell>
          <cell r="Q464" t="str">
            <v>B</v>
          </cell>
          <cell r="R464" t="str">
            <v>C</v>
          </cell>
          <cell r="X464">
            <v>49.300000000000004</v>
          </cell>
        </row>
        <row r="465">
          <cell r="C465">
            <v>38897076</v>
          </cell>
          <cell r="D465" t="str">
            <v>ТОВ "МБК Сінергія"</v>
          </cell>
          <cell r="E465">
            <v>45835</v>
          </cell>
          <cell r="F465">
            <v>45748</v>
          </cell>
          <cell r="G465" t="str">
            <v>E</v>
          </cell>
          <cell r="H465" t="str">
            <v>B</v>
          </cell>
          <cell r="I465" t="str">
            <v>B</v>
          </cell>
          <cell r="J465" t="str">
            <v>A</v>
          </cell>
          <cell r="K465" t="str">
            <v>D</v>
          </cell>
          <cell r="L465" t="str">
            <v>A</v>
          </cell>
          <cell r="M465" t="str">
            <v>A</v>
          </cell>
          <cell r="N465" t="str">
            <v>B</v>
          </cell>
          <cell r="O465" t="str">
            <v>A</v>
          </cell>
          <cell r="P465" t="str">
            <v>C</v>
          </cell>
          <cell r="Q465" t="str">
            <v>B</v>
          </cell>
          <cell r="R465" t="str">
            <v>A</v>
          </cell>
          <cell r="X465">
            <v>52.9</v>
          </cell>
        </row>
        <row r="466">
          <cell r="C466">
            <v>38922231</v>
          </cell>
          <cell r="D466" t="str">
            <v>ТОВ "КМ ДІСТІ"</v>
          </cell>
          <cell r="E466">
            <v>45559.524599999997</v>
          </cell>
          <cell r="F466">
            <v>45474</v>
          </cell>
          <cell r="G466" t="str">
            <v>E</v>
          </cell>
          <cell r="H466" t="str">
            <v>C</v>
          </cell>
          <cell r="I466" t="str">
            <v>A</v>
          </cell>
          <cell r="J466" t="str">
            <v>B</v>
          </cell>
          <cell r="K466" t="str">
            <v>D</v>
          </cell>
          <cell r="L466" t="str">
            <v>A</v>
          </cell>
          <cell r="M466" t="str">
            <v>A</v>
          </cell>
          <cell r="N466" t="str">
            <v>A</v>
          </cell>
          <cell r="O466" t="str">
            <v>A</v>
          </cell>
          <cell r="P466" t="str">
            <v>B</v>
          </cell>
          <cell r="Q466" t="str">
            <v>B</v>
          </cell>
          <cell r="R466" t="str">
            <v>A</v>
          </cell>
          <cell r="X466">
            <v>54.800000000000004</v>
          </cell>
        </row>
        <row r="467">
          <cell r="C467">
            <v>38935759</v>
          </cell>
          <cell r="D467" t="str">
            <v>ТОВ "УКРМЕДТЕКСТИЛЬ"</v>
          </cell>
          <cell r="E467">
            <v>45886.746899999998</v>
          </cell>
          <cell r="F467">
            <v>45839</v>
          </cell>
          <cell r="G467" t="str">
            <v>E</v>
          </cell>
          <cell r="H467" t="str">
            <v>B</v>
          </cell>
          <cell r="I467" t="str">
            <v>B</v>
          </cell>
          <cell r="J467" t="str">
            <v>B</v>
          </cell>
          <cell r="K467" t="str">
            <v>D</v>
          </cell>
          <cell r="L467" t="str">
            <v>A</v>
          </cell>
          <cell r="M467" t="str">
            <v>A</v>
          </cell>
          <cell r="N467" t="str">
            <v>B</v>
          </cell>
          <cell r="O467" t="str">
            <v>A</v>
          </cell>
          <cell r="P467" t="str">
            <v>C</v>
          </cell>
          <cell r="Q467" t="str">
            <v>B</v>
          </cell>
          <cell r="R467" t="str">
            <v>A</v>
          </cell>
          <cell r="X467">
            <v>55.7</v>
          </cell>
        </row>
        <row r="468">
          <cell r="C468">
            <v>38952004</v>
          </cell>
          <cell r="D468" t="str">
            <v>ТОВ "ВЕДАРА ТРЕЙД"</v>
          </cell>
          <cell r="E468">
            <v>45679.435299999997</v>
          </cell>
          <cell r="F468">
            <v>45566</v>
          </cell>
          <cell r="G468" t="str">
            <v>E</v>
          </cell>
          <cell r="H468" t="str">
            <v>C</v>
          </cell>
          <cell r="I468" t="str">
            <v>B</v>
          </cell>
          <cell r="J468" t="str">
            <v>C</v>
          </cell>
          <cell r="K468" t="str">
            <v>C</v>
          </cell>
          <cell r="L468" t="str">
            <v>B</v>
          </cell>
          <cell r="M468" t="str">
            <v>A</v>
          </cell>
          <cell r="N468" t="str">
            <v>B</v>
          </cell>
          <cell r="O468" t="str">
            <v>A</v>
          </cell>
          <cell r="P468" t="str">
            <v>C</v>
          </cell>
          <cell r="Q468" t="str">
            <v>B</v>
          </cell>
          <cell r="R468" t="str">
            <v>A</v>
          </cell>
          <cell r="X468">
            <v>54.9</v>
          </cell>
        </row>
        <row r="469">
          <cell r="C469">
            <v>38957704</v>
          </cell>
          <cell r="D469" t="str">
            <v>ТОВ "ІНТЕР ОЛІЯ"</v>
          </cell>
          <cell r="E469">
            <v>45790.379399999998</v>
          </cell>
          <cell r="F469">
            <v>45658</v>
          </cell>
          <cell r="G469" t="str">
            <v>E</v>
          </cell>
          <cell r="H469" t="str">
            <v>B</v>
          </cell>
          <cell r="I469" t="str">
            <v>B</v>
          </cell>
          <cell r="J469" t="str">
            <v>B</v>
          </cell>
          <cell r="K469" t="str">
            <v>B</v>
          </cell>
          <cell r="L469" t="str">
            <v>A</v>
          </cell>
          <cell r="M469" t="str">
            <v>B</v>
          </cell>
          <cell r="N469" t="str">
            <v>B</v>
          </cell>
          <cell r="O469" t="str">
            <v>A</v>
          </cell>
          <cell r="P469" t="str">
            <v>C</v>
          </cell>
          <cell r="Q469" t="str">
            <v>B</v>
          </cell>
          <cell r="R469" t="str">
            <v>B</v>
          </cell>
          <cell r="X469">
            <v>49.300000000000004</v>
          </cell>
        </row>
        <row r="470">
          <cell r="C470">
            <v>38969180</v>
          </cell>
          <cell r="D470" t="str">
            <v>ТОВАРИСТВО З ОБМЕЖЕНОЮ ВІДПОВІДАЛЬНІСТЮ "МЕТАЛВОРКШОП"</v>
          </cell>
          <cell r="E470">
            <v>45924.543700000002</v>
          </cell>
          <cell r="F470">
            <v>45839</v>
          </cell>
          <cell r="G470" t="str">
            <v>E</v>
          </cell>
          <cell r="H470" t="str">
            <v>B</v>
          </cell>
          <cell r="I470" t="str">
            <v>D</v>
          </cell>
          <cell r="J470" t="str">
            <v>A</v>
          </cell>
          <cell r="K470" t="str">
            <v>B</v>
          </cell>
          <cell r="L470" t="str">
            <v>A</v>
          </cell>
          <cell r="M470" t="str">
            <v>A</v>
          </cell>
          <cell r="N470" t="str">
            <v>B</v>
          </cell>
          <cell r="O470" t="str">
            <v>A</v>
          </cell>
          <cell r="P470" t="str">
            <v>C</v>
          </cell>
          <cell r="Q470" t="str">
            <v>B</v>
          </cell>
          <cell r="R470" t="str">
            <v>A</v>
          </cell>
          <cell r="X470">
            <v>49.7</v>
          </cell>
        </row>
        <row r="471">
          <cell r="C471">
            <v>38970835</v>
          </cell>
          <cell r="D471" t="str">
            <v>ТОВ "ВЕРТОГРАД ІНЖИНІРИНГ"</v>
          </cell>
          <cell r="E471">
            <v>45560.700700000001</v>
          </cell>
          <cell r="F471">
            <v>45474</v>
          </cell>
          <cell r="G471" t="str">
            <v>D</v>
          </cell>
          <cell r="H471" t="str">
            <v>B</v>
          </cell>
          <cell r="I471" t="str">
            <v>D</v>
          </cell>
          <cell r="J471" t="str">
            <v>C</v>
          </cell>
          <cell r="K471" t="str">
            <v>D</v>
          </cell>
          <cell r="L471" t="str">
            <v>D</v>
          </cell>
          <cell r="M471" t="str">
            <v>A</v>
          </cell>
          <cell r="N471" t="str">
            <v>B</v>
          </cell>
          <cell r="O471" t="str">
            <v>A</v>
          </cell>
          <cell r="P471" t="str">
            <v>C</v>
          </cell>
          <cell r="Q471" t="str">
            <v>D</v>
          </cell>
          <cell r="R471" t="str">
            <v>C</v>
          </cell>
          <cell r="X471">
            <v>37.699999999999996</v>
          </cell>
        </row>
        <row r="472">
          <cell r="C472">
            <v>38972895</v>
          </cell>
          <cell r="D472" t="str">
            <v>ТОВ "БІХАЙВ"</v>
          </cell>
          <cell r="E472">
            <v>45861.7088</v>
          </cell>
          <cell r="F472">
            <v>45748</v>
          </cell>
          <cell r="G472" t="str">
            <v>D</v>
          </cell>
          <cell r="H472" t="str">
            <v>C</v>
          </cell>
          <cell r="I472" t="str">
            <v>B</v>
          </cell>
          <cell r="J472" t="str">
            <v>C</v>
          </cell>
          <cell r="K472" t="str">
            <v>D</v>
          </cell>
          <cell r="L472" t="str">
            <v>B</v>
          </cell>
          <cell r="M472" t="str">
            <v>A</v>
          </cell>
          <cell r="N472" t="str">
            <v>A</v>
          </cell>
          <cell r="O472" t="str">
            <v>A</v>
          </cell>
          <cell r="P472" t="str">
            <v>C</v>
          </cell>
          <cell r="Q472" t="str">
            <v>B</v>
          </cell>
          <cell r="R472" t="str">
            <v>C</v>
          </cell>
          <cell r="X472">
            <v>52.999999999999993</v>
          </cell>
        </row>
        <row r="473">
          <cell r="C473">
            <v>38982285</v>
          </cell>
          <cell r="D473" t="str">
            <v>ТОВ "ТД "НЕРТУС"</v>
          </cell>
          <cell r="E473">
            <v>45853</v>
          </cell>
          <cell r="F473">
            <v>45748</v>
          </cell>
          <cell r="G473" t="str">
            <v>E</v>
          </cell>
          <cell r="H473" t="str">
            <v>B</v>
          </cell>
          <cell r="I473" t="str">
            <v>B</v>
          </cell>
          <cell r="J473" t="str">
            <v>A</v>
          </cell>
          <cell r="K473" t="str">
            <v>D</v>
          </cell>
          <cell r="L473" t="str">
            <v>A</v>
          </cell>
          <cell r="M473" t="str">
            <v>C</v>
          </cell>
          <cell r="N473" t="str">
            <v>B</v>
          </cell>
          <cell r="O473" t="str">
            <v>A</v>
          </cell>
          <cell r="P473" t="str">
            <v>C</v>
          </cell>
          <cell r="Q473" t="str">
            <v>C</v>
          </cell>
          <cell r="R473" t="str">
            <v>B</v>
          </cell>
          <cell r="X473">
            <v>39.899999999999991</v>
          </cell>
        </row>
        <row r="474">
          <cell r="C474">
            <v>38992534</v>
          </cell>
          <cell r="D474" t="str">
            <v>ТОВ "ХАР-ЛІФТ"</v>
          </cell>
          <cell r="E474">
            <v>45764.534</v>
          </cell>
          <cell r="F474">
            <v>45658</v>
          </cell>
          <cell r="G474" t="str">
            <v>E</v>
          </cell>
          <cell r="H474" t="str">
            <v>C</v>
          </cell>
          <cell r="I474" t="str">
            <v>B</v>
          </cell>
          <cell r="J474" t="str">
            <v>B</v>
          </cell>
          <cell r="K474" t="str">
            <v>E</v>
          </cell>
          <cell r="L474" t="str">
            <v>A</v>
          </cell>
          <cell r="M474" t="str">
            <v>B</v>
          </cell>
          <cell r="N474" t="str">
            <v>A</v>
          </cell>
          <cell r="O474" t="str">
            <v>B</v>
          </cell>
          <cell r="P474" t="str">
            <v>C</v>
          </cell>
          <cell r="Q474" t="str">
            <v>B</v>
          </cell>
          <cell r="R474" t="str">
            <v>C</v>
          </cell>
          <cell r="X474">
            <v>40.200000000000003</v>
          </cell>
        </row>
        <row r="475">
          <cell r="C475">
            <v>38997621</v>
          </cell>
          <cell r="D475" t="str">
            <v>ТОВ "СМАРТ СІНЕРДЖИ"</v>
          </cell>
          <cell r="E475">
            <v>45587.737500000003</v>
          </cell>
          <cell r="F475">
            <v>45474</v>
          </cell>
          <cell r="G475" t="str">
            <v>E</v>
          </cell>
          <cell r="H475" t="str">
            <v>B</v>
          </cell>
          <cell r="I475" t="str">
            <v>A</v>
          </cell>
          <cell r="J475" t="str">
            <v>A</v>
          </cell>
          <cell r="K475" t="str">
            <v>D</v>
          </cell>
          <cell r="L475" t="str">
            <v>B</v>
          </cell>
          <cell r="M475" t="str">
            <v>A</v>
          </cell>
          <cell r="N475" t="str">
            <v>B</v>
          </cell>
          <cell r="O475" t="str">
            <v>A</v>
          </cell>
          <cell r="P475" t="str">
            <v>C</v>
          </cell>
          <cell r="Q475" t="str">
            <v>C</v>
          </cell>
          <cell r="R475" t="str">
            <v>B</v>
          </cell>
          <cell r="X475">
            <v>38.29999999999999</v>
          </cell>
        </row>
        <row r="476">
          <cell r="C476">
            <v>39008850</v>
          </cell>
          <cell r="D476" t="str">
            <v>ТОВ "ДМЗ КОМІНМЕТ"</v>
          </cell>
          <cell r="E476">
            <v>45631.436699999998</v>
          </cell>
          <cell r="F476">
            <v>45566</v>
          </cell>
          <cell r="G476" t="str">
            <v>C</v>
          </cell>
          <cell r="H476" t="str">
            <v>C</v>
          </cell>
          <cell r="I476" t="str">
            <v>A</v>
          </cell>
          <cell r="J476" t="str">
            <v>C</v>
          </cell>
          <cell r="K476" t="str">
            <v>D</v>
          </cell>
          <cell r="L476" t="str">
            <v>A</v>
          </cell>
          <cell r="M476" t="str">
            <v>A</v>
          </cell>
          <cell r="N476" t="str">
            <v>A</v>
          </cell>
          <cell r="O476" t="str">
            <v>A</v>
          </cell>
          <cell r="P476" t="str">
            <v>A</v>
          </cell>
          <cell r="Q476" t="str">
            <v>B</v>
          </cell>
          <cell r="R476" t="str">
            <v>A</v>
          </cell>
          <cell r="X476">
            <v>64</v>
          </cell>
        </row>
        <row r="477">
          <cell r="C477">
            <v>39011711</v>
          </cell>
          <cell r="D477" t="str">
            <v>ТОВ "АД "Галич-Авто"</v>
          </cell>
          <cell r="E477">
            <v>45734.550999999999</v>
          </cell>
          <cell r="F477">
            <v>45658</v>
          </cell>
          <cell r="G477" t="str">
            <v>E</v>
          </cell>
          <cell r="H477" t="str">
            <v>B</v>
          </cell>
          <cell r="I477" t="str">
            <v>B</v>
          </cell>
          <cell r="J477" t="str">
            <v>A</v>
          </cell>
          <cell r="K477" t="str">
            <v>D</v>
          </cell>
          <cell r="L477" t="str">
            <v>B</v>
          </cell>
          <cell r="M477" t="str">
            <v>A</v>
          </cell>
          <cell r="N477" t="str">
            <v>A</v>
          </cell>
          <cell r="O477" t="str">
            <v>A</v>
          </cell>
          <cell r="P477" t="str">
            <v>C</v>
          </cell>
          <cell r="Q477" t="str">
            <v>B</v>
          </cell>
          <cell r="R477" t="str">
            <v>A</v>
          </cell>
          <cell r="X477">
            <v>51.4</v>
          </cell>
        </row>
        <row r="478">
          <cell r="C478">
            <v>39075031</v>
          </cell>
          <cell r="D478" t="str">
            <v>ТОВ "МАРЛЕН-КД"</v>
          </cell>
          <cell r="E478">
            <v>45650.679700000001</v>
          </cell>
          <cell r="F478">
            <v>45566</v>
          </cell>
          <cell r="G478" t="str">
            <v>E</v>
          </cell>
          <cell r="H478" t="str">
            <v>B</v>
          </cell>
          <cell r="I478" t="str">
            <v>C</v>
          </cell>
          <cell r="J478" t="str">
            <v>A</v>
          </cell>
          <cell r="K478" t="str">
            <v>D</v>
          </cell>
          <cell r="L478" t="str">
            <v>A</v>
          </cell>
          <cell r="M478" t="str">
            <v>A</v>
          </cell>
          <cell r="N478" t="str">
            <v>C</v>
          </cell>
          <cell r="O478" t="str">
            <v>A</v>
          </cell>
          <cell r="P478" t="str">
            <v>C</v>
          </cell>
          <cell r="Q478" t="str">
            <v>C</v>
          </cell>
          <cell r="R478" t="str">
            <v>A</v>
          </cell>
          <cell r="X478">
            <v>41.599999999999994</v>
          </cell>
        </row>
        <row r="479">
          <cell r="C479">
            <v>39080209</v>
          </cell>
          <cell r="D479" t="str">
            <v>ТОВ "КОНСТРУКТИВ ВТВ"</v>
          </cell>
          <cell r="E479">
            <v>45932.6394</v>
          </cell>
          <cell r="F479">
            <v>45839</v>
          </cell>
          <cell r="G479" t="str">
            <v>E</v>
          </cell>
          <cell r="H479" t="str">
            <v>B</v>
          </cell>
          <cell r="I479" t="str">
            <v>B</v>
          </cell>
          <cell r="J479" t="str">
            <v>A</v>
          </cell>
          <cell r="K479" t="str">
            <v>D</v>
          </cell>
          <cell r="L479" t="str">
            <v>A</v>
          </cell>
          <cell r="M479" t="str">
            <v>A</v>
          </cell>
          <cell r="N479" t="str">
            <v>B</v>
          </cell>
          <cell r="O479" t="str">
            <v>A</v>
          </cell>
          <cell r="P479" t="str">
            <v>C</v>
          </cell>
          <cell r="Q479" t="str">
            <v>B</v>
          </cell>
          <cell r="R479" t="str">
            <v>A</v>
          </cell>
          <cell r="X479">
            <v>52.9</v>
          </cell>
        </row>
        <row r="480">
          <cell r="C480">
            <v>39080771</v>
          </cell>
          <cell r="D480" t="str">
            <v>ТОВ "ПП ОЙЛ"</v>
          </cell>
          <cell r="E480">
            <v>45946.682699999998</v>
          </cell>
          <cell r="F480">
            <v>45839</v>
          </cell>
          <cell r="G480" t="str">
            <v>E</v>
          </cell>
          <cell r="H480" t="str">
            <v>B</v>
          </cell>
          <cell r="I480" t="str">
            <v>B</v>
          </cell>
          <cell r="J480" t="str">
            <v>A</v>
          </cell>
          <cell r="K480" t="str">
            <v>C</v>
          </cell>
          <cell r="L480" t="str">
            <v>B</v>
          </cell>
          <cell r="M480" t="str">
            <v>A</v>
          </cell>
          <cell r="N480" t="str">
            <v>A</v>
          </cell>
          <cell r="O480" t="str">
            <v>A</v>
          </cell>
          <cell r="P480" t="str">
            <v>C</v>
          </cell>
          <cell r="Q480" t="str">
            <v>B</v>
          </cell>
          <cell r="R480" t="str">
            <v>B</v>
          </cell>
          <cell r="X480">
            <v>50.599999999999994</v>
          </cell>
        </row>
        <row r="481">
          <cell r="C481">
            <v>39106394</v>
          </cell>
          <cell r="D481" t="str">
            <v>ТОВ "ФМ ХЛАДОПРОМ"</v>
          </cell>
          <cell r="E481">
            <v>45919.438000000002</v>
          </cell>
          <cell r="F481">
            <v>45839</v>
          </cell>
          <cell r="G481" t="str">
            <v>C</v>
          </cell>
          <cell r="H481" t="str">
            <v>B</v>
          </cell>
          <cell r="I481" t="str">
            <v>A</v>
          </cell>
          <cell r="J481" t="str">
            <v>B</v>
          </cell>
          <cell r="K481" t="str">
            <v>B</v>
          </cell>
          <cell r="L481" t="str">
            <v>A</v>
          </cell>
          <cell r="M481" t="str">
            <v>A</v>
          </cell>
          <cell r="N481" t="str">
            <v>B</v>
          </cell>
          <cell r="O481" t="str">
            <v>A</v>
          </cell>
          <cell r="P481" t="str">
            <v>A</v>
          </cell>
          <cell r="Q481" t="str">
            <v>B</v>
          </cell>
          <cell r="R481" t="str">
            <v>A</v>
          </cell>
          <cell r="X481">
            <v>63.1</v>
          </cell>
        </row>
        <row r="482">
          <cell r="C482">
            <v>39111163</v>
          </cell>
          <cell r="D482" t="str">
            <v>ТОВ "ІБС"</v>
          </cell>
          <cell r="E482">
            <v>45744.390500000001</v>
          </cell>
          <cell r="F482">
            <v>45658</v>
          </cell>
          <cell r="G482" t="str">
            <v>E</v>
          </cell>
          <cell r="H482" t="str">
            <v>A</v>
          </cell>
          <cell r="I482" t="str">
            <v>A</v>
          </cell>
          <cell r="J482" t="str">
            <v>B</v>
          </cell>
          <cell r="K482" t="str">
            <v>D</v>
          </cell>
          <cell r="L482" t="str">
            <v>A</v>
          </cell>
          <cell r="M482" t="str">
            <v>B</v>
          </cell>
          <cell r="N482" t="str">
            <v>B</v>
          </cell>
          <cell r="O482" t="str">
            <v>A</v>
          </cell>
          <cell r="P482" t="str">
            <v>C</v>
          </cell>
          <cell r="Q482" t="str">
            <v>B</v>
          </cell>
          <cell r="R482" t="str">
            <v>A</v>
          </cell>
          <cell r="X482">
            <v>47.300000000000004</v>
          </cell>
        </row>
        <row r="483">
          <cell r="C483">
            <v>39111315</v>
          </cell>
          <cell r="D483" t="str">
            <v>ТОВ "АКВІЛОН-ТОРГ"</v>
          </cell>
          <cell r="E483">
            <v>45744.390500000001</v>
          </cell>
          <cell r="F483">
            <v>45658</v>
          </cell>
          <cell r="G483" t="str">
            <v>E</v>
          </cell>
          <cell r="H483" t="str">
            <v>A</v>
          </cell>
          <cell r="I483" t="str">
            <v>A</v>
          </cell>
          <cell r="J483" t="str">
            <v>B</v>
          </cell>
          <cell r="K483" t="str">
            <v>D</v>
          </cell>
          <cell r="L483" t="str">
            <v>A</v>
          </cell>
          <cell r="M483" t="str">
            <v>B</v>
          </cell>
          <cell r="N483" t="str">
            <v>B</v>
          </cell>
          <cell r="O483" t="str">
            <v>A</v>
          </cell>
          <cell r="P483" t="str">
            <v>C</v>
          </cell>
          <cell r="Q483" t="str">
            <v>B</v>
          </cell>
          <cell r="R483" t="str">
            <v>A</v>
          </cell>
          <cell r="X483">
            <v>47.300000000000004</v>
          </cell>
        </row>
        <row r="484">
          <cell r="C484">
            <v>39139037</v>
          </cell>
          <cell r="D484" t="str">
            <v>ТОВ "ХАЙАТ ЕСТЕЙТ"</v>
          </cell>
          <cell r="E484">
            <v>45722.520299999996</v>
          </cell>
          <cell r="F484">
            <v>45474</v>
          </cell>
          <cell r="G484" t="str">
            <v>E</v>
          </cell>
          <cell r="H484" t="str">
            <v>C</v>
          </cell>
          <cell r="I484" t="str">
            <v>A</v>
          </cell>
          <cell r="J484" t="str">
            <v>B</v>
          </cell>
          <cell r="K484" t="str">
            <v>D</v>
          </cell>
          <cell r="L484" t="str">
            <v>B</v>
          </cell>
          <cell r="M484" t="str">
            <v>C</v>
          </cell>
          <cell r="N484" t="str">
            <v>B</v>
          </cell>
          <cell r="O484" t="str">
            <v>A</v>
          </cell>
          <cell r="P484" t="str">
            <v>C</v>
          </cell>
          <cell r="Q484" t="str">
            <v>C</v>
          </cell>
          <cell r="R484" t="str">
            <v>C</v>
          </cell>
          <cell r="X484">
            <v>29.5</v>
          </cell>
        </row>
        <row r="485">
          <cell r="C485">
            <v>39140299</v>
          </cell>
          <cell r="D485" t="str">
            <v>ТОВ "Агроінвестзерно"</v>
          </cell>
          <cell r="E485">
            <v>45952.432699999998</v>
          </cell>
          <cell r="F485">
            <v>45839</v>
          </cell>
          <cell r="G485" t="str">
            <v>E</v>
          </cell>
          <cell r="H485" t="str">
            <v>B</v>
          </cell>
          <cell r="I485" t="str">
            <v>B</v>
          </cell>
          <cell r="J485" t="str">
            <v>B</v>
          </cell>
          <cell r="K485" t="str">
            <v>D</v>
          </cell>
          <cell r="L485" t="str">
            <v>B</v>
          </cell>
          <cell r="M485" t="str">
            <v>A</v>
          </cell>
          <cell r="N485" t="str">
            <v>A</v>
          </cell>
          <cell r="O485" t="str">
            <v>A</v>
          </cell>
          <cell r="P485" t="str">
            <v>C</v>
          </cell>
          <cell r="Q485" t="str">
            <v>B</v>
          </cell>
          <cell r="R485" t="str">
            <v>C</v>
          </cell>
          <cell r="X485">
            <v>48.199999999999996</v>
          </cell>
        </row>
        <row r="486">
          <cell r="C486">
            <v>39148440</v>
          </cell>
          <cell r="D486" t="str">
            <v>ТОВ "АГРОХОЛДИНГ "ЗОРЯ""</v>
          </cell>
          <cell r="E486">
            <v>45944</v>
          </cell>
          <cell r="F486">
            <v>45658</v>
          </cell>
          <cell r="G486" t="str">
            <v>D</v>
          </cell>
          <cell r="H486" t="str">
            <v>B</v>
          </cell>
          <cell r="I486" t="str">
            <v>C</v>
          </cell>
          <cell r="J486" t="str">
            <v>C</v>
          </cell>
          <cell r="K486" t="str">
            <v>D</v>
          </cell>
          <cell r="L486" t="str">
            <v>A</v>
          </cell>
          <cell r="M486" t="str">
            <v>A</v>
          </cell>
          <cell r="N486" t="str">
            <v>B</v>
          </cell>
          <cell r="O486" t="str">
            <v>B</v>
          </cell>
          <cell r="P486" t="str">
            <v>C</v>
          </cell>
          <cell r="Q486" t="str">
            <v>B</v>
          </cell>
          <cell r="R486" t="str">
            <v>A</v>
          </cell>
          <cell r="X486">
            <v>50.5</v>
          </cell>
        </row>
        <row r="487">
          <cell r="C487">
            <v>39160089</v>
          </cell>
          <cell r="D487" t="str">
            <v>ТОВ "Елко Україна"</v>
          </cell>
          <cell r="E487">
            <v>45888</v>
          </cell>
          <cell r="F487">
            <v>45839</v>
          </cell>
          <cell r="G487" t="str">
            <v>D</v>
          </cell>
          <cell r="H487" t="str">
            <v>D</v>
          </cell>
          <cell r="I487" t="str">
            <v>B</v>
          </cell>
          <cell r="J487" t="str">
            <v>B</v>
          </cell>
          <cell r="K487" t="str">
            <v>C</v>
          </cell>
          <cell r="L487" t="str">
            <v>A</v>
          </cell>
          <cell r="M487" t="str">
            <v>A</v>
          </cell>
          <cell r="N487" t="str">
            <v>B</v>
          </cell>
          <cell r="O487" t="str">
            <v>A</v>
          </cell>
          <cell r="P487" t="str">
            <v>C</v>
          </cell>
          <cell r="Q487" t="str">
            <v>B</v>
          </cell>
          <cell r="R487" t="str">
            <v>C</v>
          </cell>
          <cell r="X487">
            <v>50.5</v>
          </cell>
        </row>
        <row r="488">
          <cell r="C488">
            <v>39163688</v>
          </cell>
          <cell r="D488" t="str">
            <v>ТОВ "ТБ "УКРАЇНСЬКІ ВЕТЕРИНАРНІ ТЕХНОЛОГІЇ"</v>
          </cell>
          <cell r="E488">
            <v>45799.633900000001</v>
          </cell>
          <cell r="F488">
            <v>45658</v>
          </cell>
          <cell r="G488" t="str">
            <v>E</v>
          </cell>
          <cell r="H488" t="str">
            <v>C</v>
          </cell>
          <cell r="I488" t="str">
            <v>A</v>
          </cell>
          <cell r="J488" t="str">
            <v>C</v>
          </cell>
          <cell r="K488" t="str">
            <v>B</v>
          </cell>
          <cell r="L488" t="str">
            <v>B</v>
          </cell>
          <cell r="M488" t="str">
            <v>A</v>
          </cell>
          <cell r="N488" t="str">
            <v>B</v>
          </cell>
          <cell r="O488" t="str">
            <v>A</v>
          </cell>
          <cell r="P488" t="str">
            <v>C</v>
          </cell>
          <cell r="Q488" t="str">
            <v>B</v>
          </cell>
          <cell r="R488" t="str">
            <v>A</v>
          </cell>
          <cell r="X488">
            <v>51.3</v>
          </cell>
        </row>
        <row r="489">
          <cell r="C489">
            <v>39195903</v>
          </cell>
          <cell r="D489" t="str">
            <v>ТОВ "ЛВН ЛІМІТЕД"</v>
          </cell>
          <cell r="E489">
            <v>45786.613700000002</v>
          </cell>
          <cell r="F489">
            <v>45658</v>
          </cell>
          <cell r="G489" t="str">
            <v>C</v>
          </cell>
          <cell r="H489" t="str">
            <v>C</v>
          </cell>
          <cell r="I489" t="str">
            <v>D</v>
          </cell>
          <cell r="J489" t="str">
            <v>A</v>
          </cell>
          <cell r="K489" t="str">
            <v>D</v>
          </cell>
          <cell r="L489" t="str">
            <v>B</v>
          </cell>
          <cell r="M489" t="str">
            <v>A</v>
          </cell>
          <cell r="N489" t="str">
            <v>C</v>
          </cell>
          <cell r="O489" t="str">
            <v>A</v>
          </cell>
          <cell r="P489" t="str">
            <v>B</v>
          </cell>
          <cell r="Q489" t="str">
            <v>B</v>
          </cell>
          <cell r="R489" t="str">
            <v>C</v>
          </cell>
          <cell r="X489">
            <v>38</v>
          </cell>
        </row>
        <row r="490">
          <cell r="C490">
            <v>39196410</v>
          </cell>
          <cell r="D490" t="str">
            <v>ТОВ"АПТЕКА ДОБРОГО ДНЯ"</v>
          </cell>
          <cell r="E490">
            <v>45674.788399999998</v>
          </cell>
          <cell r="F490">
            <v>45566</v>
          </cell>
          <cell r="G490" t="str">
            <v>B</v>
          </cell>
          <cell r="H490" t="str">
            <v>A</v>
          </cell>
          <cell r="I490" t="str">
            <v>B</v>
          </cell>
          <cell r="J490" t="str">
            <v>B</v>
          </cell>
          <cell r="K490" t="str">
            <v>C</v>
          </cell>
          <cell r="L490" t="str">
            <v>A</v>
          </cell>
          <cell r="M490" t="str">
            <v>A</v>
          </cell>
          <cell r="N490" t="str">
            <v>A</v>
          </cell>
          <cell r="O490" t="str">
            <v>B</v>
          </cell>
          <cell r="P490" t="str">
            <v>C</v>
          </cell>
          <cell r="Q490" t="str">
            <v>B</v>
          </cell>
          <cell r="R490" t="str">
            <v>B</v>
          </cell>
          <cell r="X490">
            <v>65</v>
          </cell>
        </row>
        <row r="491">
          <cell r="C491">
            <v>39198972</v>
          </cell>
          <cell r="D491" t="str">
            <v>ТОВ "ТЕХНОПОЛЬ АГРО"</v>
          </cell>
          <cell r="E491">
            <v>45949.937700000002</v>
          </cell>
          <cell r="F491">
            <v>45658</v>
          </cell>
          <cell r="G491" t="str">
            <v>D</v>
          </cell>
          <cell r="H491" t="str">
            <v>B</v>
          </cell>
          <cell r="I491" t="str">
            <v>B</v>
          </cell>
          <cell r="J491" t="str">
            <v>B</v>
          </cell>
          <cell r="K491" t="str">
            <v>B</v>
          </cell>
          <cell r="L491" t="str">
            <v>A</v>
          </cell>
          <cell r="M491" t="str">
            <v>A</v>
          </cell>
          <cell r="N491" t="str">
            <v>B</v>
          </cell>
          <cell r="O491" t="str">
            <v>A</v>
          </cell>
          <cell r="P491" t="str">
            <v>A</v>
          </cell>
          <cell r="Q491" t="str">
            <v>B</v>
          </cell>
          <cell r="R491" t="str">
            <v>A</v>
          </cell>
          <cell r="X491">
            <v>67.100000000000009</v>
          </cell>
        </row>
        <row r="492">
          <cell r="C492">
            <v>39200703</v>
          </cell>
          <cell r="D492" t="str">
            <v>ТОВ "СЕРВІС ПРО"</v>
          </cell>
          <cell r="E492">
            <v>45835.374100000001</v>
          </cell>
          <cell r="F492">
            <v>45658</v>
          </cell>
          <cell r="G492" t="str">
            <v>C</v>
          </cell>
          <cell r="H492" t="str">
            <v>C</v>
          </cell>
          <cell r="I492" t="str">
            <v>D</v>
          </cell>
          <cell r="J492" t="str">
            <v>A</v>
          </cell>
          <cell r="K492" t="str">
            <v>A</v>
          </cell>
          <cell r="L492" t="str">
            <v>A</v>
          </cell>
          <cell r="M492" t="str">
            <v>A</v>
          </cell>
          <cell r="N492" t="str">
            <v>A</v>
          </cell>
          <cell r="O492" t="str">
            <v>A</v>
          </cell>
          <cell r="P492" t="str">
            <v>C</v>
          </cell>
          <cell r="Q492" t="str">
            <v>B</v>
          </cell>
          <cell r="R492" t="str">
            <v>A</v>
          </cell>
          <cell r="X492">
            <v>56.6</v>
          </cell>
        </row>
        <row r="493">
          <cell r="C493">
            <v>39200881</v>
          </cell>
          <cell r="D493" t="str">
            <v>ТЗОВ "РЕГНО ІТАЛІЯ УА"</v>
          </cell>
          <cell r="E493">
            <v>45672.693700000003</v>
          </cell>
          <cell r="F493">
            <v>45566</v>
          </cell>
          <cell r="G493" t="str">
            <v>E</v>
          </cell>
          <cell r="H493" t="str">
            <v>B</v>
          </cell>
          <cell r="I493" t="str">
            <v>B</v>
          </cell>
          <cell r="J493" t="str">
            <v>A</v>
          </cell>
          <cell r="K493" t="str">
            <v>C</v>
          </cell>
          <cell r="L493" t="str">
            <v>B</v>
          </cell>
          <cell r="M493" t="str">
            <v>A</v>
          </cell>
          <cell r="N493" t="str">
            <v>A</v>
          </cell>
          <cell r="O493" t="str">
            <v>A</v>
          </cell>
          <cell r="P493" t="str">
            <v>C</v>
          </cell>
          <cell r="Q493" t="str">
            <v>B</v>
          </cell>
          <cell r="R493" t="str">
            <v>C</v>
          </cell>
          <cell r="X493">
            <v>48.199999999999996</v>
          </cell>
        </row>
        <row r="494">
          <cell r="C494">
            <v>39204954</v>
          </cell>
          <cell r="D494" t="str">
            <v>ТОВ "ЗДОРОВЕ МАЙБУТНЄ"</v>
          </cell>
          <cell r="E494">
            <v>45681.486799999999</v>
          </cell>
          <cell r="F494">
            <v>45566</v>
          </cell>
          <cell r="G494" t="str">
            <v>E</v>
          </cell>
          <cell r="H494" t="str">
            <v>B</v>
          </cell>
          <cell r="I494" t="str">
            <v>C</v>
          </cell>
          <cell r="J494" t="str">
            <v>B</v>
          </cell>
          <cell r="K494" t="str">
            <v>D</v>
          </cell>
          <cell r="L494" t="str">
            <v>B</v>
          </cell>
          <cell r="M494" t="str">
            <v>A</v>
          </cell>
          <cell r="N494" t="str">
            <v>B</v>
          </cell>
          <cell r="O494" t="str">
            <v>A</v>
          </cell>
          <cell r="P494" t="str">
            <v>C</v>
          </cell>
          <cell r="Q494" t="str">
            <v>B</v>
          </cell>
          <cell r="R494" t="str">
            <v>A</v>
          </cell>
          <cell r="X494">
            <v>42.9</v>
          </cell>
        </row>
        <row r="495">
          <cell r="C495">
            <v>39216802</v>
          </cell>
          <cell r="D495" t="str">
            <v>ТОВ "ЕФЕ БЕТОН"</v>
          </cell>
          <cell r="E495">
            <v>45954.508699999998</v>
          </cell>
          <cell r="F495">
            <v>45839</v>
          </cell>
          <cell r="G495" t="str">
            <v>C</v>
          </cell>
          <cell r="H495" t="str">
            <v>B</v>
          </cell>
          <cell r="I495" t="str">
            <v>B</v>
          </cell>
          <cell r="J495" t="str">
            <v>B</v>
          </cell>
          <cell r="K495" t="str">
            <v>C</v>
          </cell>
          <cell r="L495" t="str">
            <v>A</v>
          </cell>
          <cell r="M495" t="str">
            <v>A</v>
          </cell>
          <cell r="N495" t="str">
            <v>A</v>
          </cell>
          <cell r="O495" t="str">
            <v>A</v>
          </cell>
          <cell r="P495" t="str">
            <v>D</v>
          </cell>
          <cell r="Q495" t="str">
            <v>B</v>
          </cell>
          <cell r="R495" t="str">
            <v>B</v>
          </cell>
          <cell r="X495">
            <v>60.400000000000006</v>
          </cell>
        </row>
        <row r="496">
          <cell r="C496">
            <v>39225623</v>
          </cell>
          <cell r="D496" t="str">
            <v>ТОВ "КАМ'ЯНСЬКЕ АГРО"</v>
          </cell>
          <cell r="E496">
            <v>45727.906499999997</v>
          </cell>
          <cell r="F496">
            <v>45658</v>
          </cell>
          <cell r="G496" t="str">
            <v>E</v>
          </cell>
          <cell r="H496" t="str">
            <v>B</v>
          </cell>
          <cell r="I496" t="str">
            <v>A</v>
          </cell>
          <cell r="J496" t="str">
            <v>B</v>
          </cell>
          <cell r="K496" t="str">
            <v>D</v>
          </cell>
          <cell r="L496" t="str">
            <v>B</v>
          </cell>
          <cell r="M496" t="str">
            <v>B</v>
          </cell>
          <cell r="N496" t="str">
            <v>C</v>
          </cell>
          <cell r="O496" t="str">
            <v>A</v>
          </cell>
          <cell r="P496" t="str">
            <v>C</v>
          </cell>
          <cell r="Q496" t="str">
            <v>B</v>
          </cell>
          <cell r="R496" t="str">
            <v>B</v>
          </cell>
          <cell r="X496">
            <v>35</v>
          </cell>
        </row>
        <row r="497">
          <cell r="C497">
            <v>39243307</v>
          </cell>
          <cell r="D497" t="str">
            <v>ТОВ  "ХАРКІВСЬКИЙ ЗАВОД ЗАСОБІВ ІНДИВІДУАЛЬНОГО ЗАХИСТУ"</v>
          </cell>
          <cell r="E497">
            <v>45754.414100000002</v>
          </cell>
          <cell r="F497">
            <v>45658</v>
          </cell>
          <cell r="G497" t="str">
            <v>E</v>
          </cell>
          <cell r="H497" t="str">
            <v>B</v>
          </cell>
          <cell r="I497" t="str">
            <v>B</v>
          </cell>
          <cell r="J497" t="str">
            <v>A</v>
          </cell>
          <cell r="K497" t="str">
            <v>D</v>
          </cell>
          <cell r="L497" t="str">
            <v>A</v>
          </cell>
          <cell r="M497" t="str">
            <v>A</v>
          </cell>
          <cell r="N497" t="str">
            <v>A</v>
          </cell>
          <cell r="O497" t="str">
            <v>A</v>
          </cell>
          <cell r="P497" t="str">
            <v>C</v>
          </cell>
          <cell r="Q497" t="str">
            <v>B</v>
          </cell>
          <cell r="R497" t="str">
            <v>A</v>
          </cell>
          <cell r="X497">
            <v>56.199999999999996</v>
          </cell>
        </row>
        <row r="498">
          <cell r="C498">
            <v>39245131</v>
          </cell>
          <cell r="D498" t="str">
            <v>ТОВ "КІЧЕНЛАЙН"</v>
          </cell>
          <cell r="E498">
            <v>45854.771399999998</v>
          </cell>
          <cell r="F498">
            <v>45658</v>
          </cell>
          <cell r="G498" t="str">
            <v>E</v>
          </cell>
          <cell r="H498" t="str">
            <v>C</v>
          </cell>
          <cell r="I498" t="str">
            <v>B</v>
          </cell>
          <cell r="J498" t="str">
            <v>D</v>
          </cell>
          <cell r="K498" t="str">
            <v>D</v>
          </cell>
          <cell r="L498" t="str">
            <v>B</v>
          </cell>
          <cell r="M498" t="str">
            <v>A</v>
          </cell>
          <cell r="N498" t="str">
            <v>A</v>
          </cell>
          <cell r="O498" t="str">
            <v>A</v>
          </cell>
          <cell r="P498" t="str">
            <v>C</v>
          </cell>
          <cell r="Q498" t="str">
            <v>C</v>
          </cell>
          <cell r="R498" t="str">
            <v>A</v>
          </cell>
          <cell r="X498">
            <v>55.999999999999993</v>
          </cell>
        </row>
        <row r="499">
          <cell r="C499">
            <v>39263391</v>
          </cell>
          <cell r="D499" t="str">
            <v>ТОВ "ОККО-ПОСТАЧ"</v>
          </cell>
          <cell r="E499">
            <v>45653.631099999999</v>
          </cell>
          <cell r="F499">
            <v>45474</v>
          </cell>
          <cell r="G499" t="str">
            <v>C</v>
          </cell>
          <cell r="H499" t="str">
            <v>C</v>
          </cell>
          <cell r="I499" t="str">
            <v>B</v>
          </cell>
          <cell r="J499" t="str">
            <v>C</v>
          </cell>
          <cell r="K499" t="str">
            <v>D</v>
          </cell>
          <cell r="L499" t="str">
            <v>A</v>
          </cell>
          <cell r="M499" t="str">
            <v>A</v>
          </cell>
          <cell r="N499" t="str">
            <v>A</v>
          </cell>
          <cell r="O499" t="str">
            <v>B</v>
          </cell>
          <cell r="P499" t="str">
            <v>C</v>
          </cell>
          <cell r="Q499" t="str">
            <v>B</v>
          </cell>
          <cell r="R499" t="str">
            <v>A</v>
          </cell>
          <cell r="X499">
            <v>60.599999999999994</v>
          </cell>
        </row>
        <row r="500">
          <cell r="C500">
            <v>39266874</v>
          </cell>
          <cell r="D500" t="str">
            <v>ТОВ "К-АГРОІНВЕСТ ТРЕЙД"</v>
          </cell>
          <cell r="E500">
            <v>45993.396999999997</v>
          </cell>
          <cell r="F500">
            <v>45931</v>
          </cell>
          <cell r="G500" t="str">
            <v>E</v>
          </cell>
          <cell r="H500" t="str">
            <v>A</v>
          </cell>
          <cell r="I500" t="str">
            <v>D</v>
          </cell>
          <cell r="J500" t="str">
            <v>A</v>
          </cell>
          <cell r="K500" t="str">
            <v>B</v>
          </cell>
          <cell r="L500" t="str">
            <v>A</v>
          </cell>
          <cell r="M500" t="str">
            <v>A</v>
          </cell>
          <cell r="N500" t="str">
            <v>B</v>
          </cell>
          <cell r="O500" t="str">
            <v>A</v>
          </cell>
          <cell r="P500" t="str">
            <v>A</v>
          </cell>
          <cell r="Q500" t="str">
            <v>B</v>
          </cell>
          <cell r="R500" t="str">
            <v>A</v>
          </cell>
          <cell r="X500">
            <v>56.300000000000004</v>
          </cell>
        </row>
        <row r="501">
          <cell r="C501">
            <v>39274120</v>
          </cell>
          <cell r="D501" t="str">
            <v>ТОВ "БАЛІСТИКА"</v>
          </cell>
          <cell r="E501">
            <v>45758.608399999997</v>
          </cell>
          <cell r="F501">
            <v>45658</v>
          </cell>
          <cell r="G501" t="str">
            <v>E</v>
          </cell>
          <cell r="H501" t="str">
            <v>B</v>
          </cell>
          <cell r="I501" t="str">
            <v>A</v>
          </cell>
          <cell r="J501" t="str">
            <v>A</v>
          </cell>
          <cell r="K501" t="str">
            <v>A</v>
          </cell>
          <cell r="L501" t="str">
            <v>A</v>
          </cell>
          <cell r="M501" t="str">
            <v>A</v>
          </cell>
          <cell r="N501" t="str">
            <v>B</v>
          </cell>
          <cell r="O501" t="str">
            <v>A</v>
          </cell>
          <cell r="P501" t="str">
            <v>C</v>
          </cell>
          <cell r="Q501" t="str">
            <v>B</v>
          </cell>
          <cell r="R501" t="str">
            <v>A</v>
          </cell>
          <cell r="X501">
            <v>53.300000000000004</v>
          </cell>
        </row>
        <row r="502">
          <cell r="C502">
            <v>39274508</v>
          </cell>
          <cell r="D502" t="str">
            <v>ТОВ "УКРАВТОІМПОРТ"</v>
          </cell>
          <cell r="E502">
            <v>45649.642899999999</v>
          </cell>
          <cell r="F502">
            <v>45566</v>
          </cell>
          <cell r="G502" t="str">
            <v>E</v>
          </cell>
          <cell r="H502" t="str">
            <v>C</v>
          </cell>
          <cell r="I502" t="str">
            <v>B</v>
          </cell>
          <cell r="J502" t="str">
            <v>A</v>
          </cell>
          <cell r="K502" t="str">
            <v>D</v>
          </cell>
          <cell r="L502" t="str">
            <v>A</v>
          </cell>
          <cell r="M502" t="str">
            <v>A</v>
          </cell>
          <cell r="N502" t="str">
            <v>B</v>
          </cell>
          <cell r="O502" t="str">
            <v>A</v>
          </cell>
          <cell r="P502" t="str">
            <v>C</v>
          </cell>
          <cell r="Q502" t="str">
            <v>B</v>
          </cell>
          <cell r="R502" t="str">
            <v>A</v>
          </cell>
          <cell r="X502">
            <v>51.3</v>
          </cell>
        </row>
        <row r="503">
          <cell r="C503">
            <v>39281405</v>
          </cell>
          <cell r="D503" t="str">
            <v>ТОВ "АГРО ТРЕЙДІНГ"</v>
          </cell>
          <cell r="E503">
            <v>45929.534299999999</v>
          </cell>
          <cell r="F503">
            <v>45748</v>
          </cell>
          <cell r="G503" t="str">
            <v>E</v>
          </cell>
          <cell r="H503" t="str">
            <v>B</v>
          </cell>
          <cell r="I503" t="str">
            <v>A</v>
          </cell>
          <cell r="J503" t="str">
            <v>D</v>
          </cell>
          <cell r="K503" t="str">
            <v>D</v>
          </cell>
          <cell r="L503" t="str">
            <v>A</v>
          </cell>
          <cell r="M503" t="str">
            <v>A</v>
          </cell>
          <cell r="N503" t="str">
            <v>A</v>
          </cell>
          <cell r="O503" t="str">
            <v>A</v>
          </cell>
          <cell r="P503" t="str">
            <v>C</v>
          </cell>
          <cell r="Q503" t="str">
            <v>B</v>
          </cell>
          <cell r="R503" t="str">
            <v>A</v>
          </cell>
          <cell r="X503">
            <v>59.800000000000004</v>
          </cell>
        </row>
        <row r="504">
          <cell r="C504">
            <v>39291937</v>
          </cell>
          <cell r="D504" t="str">
            <v>ТОВ"ХІМАГРОСТЕП"</v>
          </cell>
          <cell r="E504">
            <v>45666</v>
          </cell>
          <cell r="F504">
            <v>45474</v>
          </cell>
          <cell r="G504" t="str">
            <v>E</v>
          </cell>
          <cell r="H504" t="str">
            <v>C</v>
          </cell>
          <cell r="I504" t="str">
            <v>B</v>
          </cell>
          <cell r="J504" t="str">
            <v>B</v>
          </cell>
          <cell r="K504" t="str">
            <v>E</v>
          </cell>
          <cell r="L504" t="str">
            <v>B</v>
          </cell>
          <cell r="M504" t="str">
            <v>B</v>
          </cell>
          <cell r="N504" t="str">
            <v>B</v>
          </cell>
          <cell r="O504" t="str">
            <v>A</v>
          </cell>
          <cell r="P504" t="str">
            <v>C</v>
          </cell>
          <cell r="Q504" t="str">
            <v>C</v>
          </cell>
          <cell r="R504" t="str">
            <v>A</v>
          </cell>
          <cell r="X504">
            <v>39.9</v>
          </cell>
        </row>
        <row r="505">
          <cell r="C505">
            <v>39322540</v>
          </cell>
          <cell r="D505" t="str">
            <v>ТОВ "КАРБОНІС"</v>
          </cell>
          <cell r="E505">
            <v>45692.506399999998</v>
          </cell>
          <cell r="F505">
            <v>45566</v>
          </cell>
          <cell r="G505" t="str">
            <v>E</v>
          </cell>
          <cell r="H505" t="str">
            <v>B</v>
          </cell>
          <cell r="I505" t="str">
            <v>B</v>
          </cell>
          <cell r="J505" t="str">
            <v>A</v>
          </cell>
          <cell r="K505" t="str">
            <v>D</v>
          </cell>
          <cell r="L505" t="str">
            <v>A</v>
          </cell>
          <cell r="M505" t="str">
            <v>A</v>
          </cell>
          <cell r="N505" t="str">
            <v>B</v>
          </cell>
          <cell r="O505" t="str">
            <v>A</v>
          </cell>
          <cell r="P505" t="str">
            <v>C</v>
          </cell>
          <cell r="Q505" t="str">
            <v>B</v>
          </cell>
          <cell r="R505" t="str">
            <v>A</v>
          </cell>
          <cell r="X505">
            <v>52.9</v>
          </cell>
        </row>
        <row r="506">
          <cell r="C506">
            <v>39362269</v>
          </cell>
          <cell r="D506" t="str">
            <v>ТОВ"ХАРКІВЕЦЬКЕ"</v>
          </cell>
          <cell r="E506">
            <v>45693.443700000003</v>
          </cell>
          <cell r="F506">
            <v>45474</v>
          </cell>
          <cell r="G506" t="str">
            <v>E</v>
          </cell>
          <cell r="H506" t="str">
            <v>B</v>
          </cell>
          <cell r="I506" t="str">
            <v>C</v>
          </cell>
          <cell r="J506" t="str">
            <v>C</v>
          </cell>
          <cell r="K506" t="str">
            <v>D</v>
          </cell>
          <cell r="L506" t="str">
            <v>A</v>
          </cell>
          <cell r="M506" t="str">
            <v>A</v>
          </cell>
          <cell r="N506" t="str">
            <v>B</v>
          </cell>
          <cell r="O506" t="str">
            <v>A</v>
          </cell>
          <cell r="P506" t="str">
            <v>B</v>
          </cell>
          <cell r="Q506" t="str">
            <v>B</v>
          </cell>
          <cell r="R506" t="str">
            <v>C</v>
          </cell>
          <cell r="X506">
            <v>46.300000000000004</v>
          </cell>
        </row>
        <row r="507">
          <cell r="C507">
            <v>39369112</v>
          </cell>
          <cell r="D507" t="str">
            <v>ТОВ "ФЛАГМАН СІФУД"</v>
          </cell>
          <cell r="E507">
            <v>45888.456299999998</v>
          </cell>
          <cell r="F507">
            <v>45748</v>
          </cell>
          <cell r="G507" t="str">
            <v>D</v>
          </cell>
          <cell r="H507" t="str">
            <v>C</v>
          </cell>
          <cell r="I507" t="str">
            <v>A</v>
          </cell>
          <cell r="J507" t="str">
            <v>D</v>
          </cell>
          <cell r="K507" t="str">
            <v>D</v>
          </cell>
          <cell r="L507" t="str">
            <v>B</v>
          </cell>
          <cell r="M507" t="str">
            <v>A</v>
          </cell>
          <cell r="N507" t="str">
            <v>B</v>
          </cell>
          <cell r="O507" t="str">
            <v>A</v>
          </cell>
          <cell r="P507" t="str">
            <v>C</v>
          </cell>
          <cell r="Q507" t="str">
            <v>C</v>
          </cell>
          <cell r="R507" t="str">
            <v>B</v>
          </cell>
          <cell r="X507">
            <v>48.29999999999999</v>
          </cell>
        </row>
        <row r="508">
          <cell r="C508">
            <v>39433664</v>
          </cell>
          <cell r="D508" t="str">
            <v>ТОВ «МЕТІПОЛ 1»</v>
          </cell>
          <cell r="E508">
            <v>45679.428999999996</v>
          </cell>
          <cell r="F508">
            <v>45566</v>
          </cell>
          <cell r="G508" t="str">
            <v>D</v>
          </cell>
          <cell r="H508" t="str">
            <v>C</v>
          </cell>
          <cell r="I508" t="str">
            <v>D</v>
          </cell>
          <cell r="J508" t="str">
            <v>B</v>
          </cell>
          <cell r="K508" t="str">
            <v>D</v>
          </cell>
          <cell r="L508" t="str">
            <v>B</v>
          </cell>
          <cell r="M508" t="str">
            <v>B</v>
          </cell>
          <cell r="N508" t="str">
            <v>C</v>
          </cell>
          <cell r="O508" t="str">
            <v>A</v>
          </cell>
          <cell r="P508" t="str">
            <v>B</v>
          </cell>
          <cell r="Q508" t="str">
            <v>B</v>
          </cell>
          <cell r="R508" t="str">
            <v>A</v>
          </cell>
          <cell r="X508">
            <v>40</v>
          </cell>
        </row>
        <row r="509">
          <cell r="C509">
            <v>39518480</v>
          </cell>
          <cell r="D509" t="str">
            <v>ТОВ "БЕМБІКС"</v>
          </cell>
          <cell r="E509">
            <v>45938.906499999997</v>
          </cell>
          <cell r="F509">
            <v>45748</v>
          </cell>
          <cell r="G509" t="str">
            <v>C</v>
          </cell>
          <cell r="H509" t="str">
            <v>B</v>
          </cell>
          <cell r="I509" t="str">
            <v>B</v>
          </cell>
          <cell r="J509" t="str">
            <v>D</v>
          </cell>
          <cell r="K509" t="str">
            <v>B</v>
          </cell>
          <cell r="L509" t="str">
            <v>B</v>
          </cell>
          <cell r="M509" t="str">
            <v>B</v>
          </cell>
          <cell r="N509" t="str">
            <v>A</v>
          </cell>
          <cell r="O509" t="str">
            <v>A</v>
          </cell>
          <cell r="P509" t="str">
            <v>C</v>
          </cell>
          <cell r="Q509" t="str">
            <v>B</v>
          </cell>
          <cell r="R509" t="str">
            <v>B</v>
          </cell>
          <cell r="X509">
            <v>57</v>
          </cell>
        </row>
        <row r="510">
          <cell r="C510">
            <v>39534633</v>
          </cell>
          <cell r="D510" t="str">
            <v>ТОВ "ЧОРНУХИНСЬКИЙ КРАЙ"</v>
          </cell>
          <cell r="E510">
            <v>45693.443700000003</v>
          </cell>
          <cell r="F510">
            <v>45474</v>
          </cell>
          <cell r="G510" t="str">
            <v>E</v>
          </cell>
          <cell r="H510" t="str">
            <v>B</v>
          </cell>
          <cell r="I510" t="str">
            <v>C</v>
          </cell>
          <cell r="J510" t="str">
            <v>C</v>
          </cell>
          <cell r="K510" t="str">
            <v>D</v>
          </cell>
          <cell r="L510" t="str">
            <v>A</v>
          </cell>
          <cell r="M510" t="str">
            <v>A</v>
          </cell>
          <cell r="N510" t="str">
            <v>B</v>
          </cell>
          <cell r="O510" t="str">
            <v>A</v>
          </cell>
          <cell r="P510" t="str">
            <v>B</v>
          </cell>
          <cell r="Q510" t="str">
            <v>B</v>
          </cell>
          <cell r="R510" t="str">
            <v>C</v>
          </cell>
          <cell r="X510">
            <v>46.300000000000004</v>
          </cell>
        </row>
        <row r="511">
          <cell r="C511">
            <v>39543889</v>
          </cell>
          <cell r="D511" t="str">
            <v>ТОВ "ЄВРОПАН"</v>
          </cell>
          <cell r="E511">
            <v>45901.486400000002</v>
          </cell>
          <cell r="F511">
            <v>45839</v>
          </cell>
          <cell r="G511" t="str">
            <v>E</v>
          </cell>
          <cell r="H511" t="str">
            <v>B</v>
          </cell>
          <cell r="I511" t="str">
            <v>B</v>
          </cell>
          <cell r="J511" t="str">
            <v>B</v>
          </cell>
          <cell r="K511" t="str">
            <v>C</v>
          </cell>
          <cell r="L511" t="str">
            <v>B</v>
          </cell>
          <cell r="M511" t="str">
            <v>A</v>
          </cell>
          <cell r="N511" t="str">
            <v>B</v>
          </cell>
          <cell r="O511" t="str">
            <v>A</v>
          </cell>
          <cell r="P511" t="str">
            <v>C</v>
          </cell>
          <cell r="Q511" t="str">
            <v>B</v>
          </cell>
          <cell r="R511" t="str">
            <v>A</v>
          </cell>
          <cell r="X511">
            <v>53.7</v>
          </cell>
        </row>
        <row r="512">
          <cell r="C512">
            <v>39544128</v>
          </cell>
          <cell r="D512" t="str">
            <v>ТОВ "РБО Україна"</v>
          </cell>
          <cell r="E512">
            <v>45868.527800000003</v>
          </cell>
          <cell r="F512">
            <v>45748</v>
          </cell>
          <cell r="G512" t="str">
            <v>E</v>
          </cell>
          <cell r="H512" t="str">
            <v>A</v>
          </cell>
          <cell r="I512" t="str">
            <v>B</v>
          </cell>
          <cell r="J512" t="str">
            <v>C</v>
          </cell>
          <cell r="K512" t="str">
            <v>D</v>
          </cell>
          <cell r="L512" t="str">
            <v>A</v>
          </cell>
          <cell r="M512" t="str">
            <v>A</v>
          </cell>
          <cell r="N512" t="str">
            <v>A</v>
          </cell>
          <cell r="O512" t="str">
            <v>A</v>
          </cell>
          <cell r="P512" t="str">
            <v>D</v>
          </cell>
          <cell r="Q512" t="str">
            <v>B</v>
          </cell>
          <cell r="R512" t="str">
            <v>A</v>
          </cell>
          <cell r="X512">
            <v>62.4</v>
          </cell>
        </row>
        <row r="513">
          <cell r="C513">
            <v>39555868</v>
          </cell>
          <cell r="D513" t="str">
            <v>ТОВ "ПЛАСТХІМ УКРАЇНА"</v>
          </cell>
          <cell r="E513">
            <v>45916.8724</v>
          </cell>
          <cell r="F513">
            <v>45839</v>
          </cell>
          <cell r="G513" t="str">
            <v>C</v>
          </cell>
          <cell r="H513" t="str">
            <v>D</v>
          </cell>
          <cell r="I513" t="str">
            <v>B</v>
          </cell>
          <cell r="J513" t="str">
            <v>B</v>
          </cell>
          <cell r="K513" t="str">
            <v>D</v>
          </cell>
          <cell r="L513" t="str">
            <v>A</v>
          </cell>
          <cell r="M513" t="str">
            <v>B</v>
          </cell>
          <cell r="N513" t="str">
            <v>A</v>
          </cell>
          <cell r="O513" t="str">
            <v>A</v>
          </cell>
          <cell r="P513" t="str">
            <v>A</v>
          </cell>
          <cell r="Q513" t="str">
            <v>A</v>
          </cell>
          <cell r="R513" t="str">
            <v>C</v>
          </cell>
          <cell r="X513">
            <v>51.6</v>
          </cell>
        </row>
        <row r="514">
          <cell r="C514">
            <v>39562922</v>
          </cell>
          <cell r="D514" t="str">
            <v>ТОВ "УКРСПЕЦСИСТЕМС"</v>
          </cell>
          <cell r="E514">
            <v>45924.4637</v>
          </cell>
          <cell r="F514">
            <v>45839</v>
          </cell>
          <cell r="G514" t="str">
            <v>D</v>
          </cell>
          <cell r="H514" t="str">
            <v>C</v>
          </cell>
          <cell r="I514" t="str">
            <v>B</v>
          </cell>
          <cell r="J514" t="str">
            <v>A</v>
          </cell>
          <cell r="K514" t="str">
            <v>B</v>
          </cell>
          <cell r="L514" t="str">
            <v>A</v>
          </cell>
          <cell r="M514" t="str">
            <v>A</v>
          </cell>
          <cell r="N514" t="str">
            <v>B</v>
          </cell>
          <cell r="O514" t="str">
            <v>A</v>
          </cell>
          <cell r="P514" t="str">
            <v>C</v>
          </cell>
          <cell r="Q514" t="str">
            <v>B</v>
          </cell>
          <cell r="R514" t="str">
            <v>A</v>
          </cell>
          <cell r="X514">
            <v>58.5</v>
          </cell>
        </row>
        <row r="515">
          <cell r="C515">
            <v>39571104</v>
          </cell>
          <cell r="D515" t="str">
            <v>ТОВ "!ФКМ"</v>
          </cell>
          <cell r="E515">
            <v>45779.666799999999</v>
          </cell>
          <cell r="F515">
            <v>45566</v>
          </cell>
          <cell r="G515" t="str">
            <v>E</v>
          </cell>
          <cell r="H515" t="str">
            <v>B</v>
          </cell>
          <cell r="I515" t="str">
            <v>B</v>
          </cell>
          <cell r="J515" t="str">
            <v>A</v>
          </cell>
          <cell r="K515" t="str">
            <v>B</v>
          </cell>
          <cell r="L515" t="str">
            <v>B</v>
          </cell>
          <cell r="M515" t="str">
            <v>A</v>
          </cell>
          <cell r="N515" t="str">
            <v>B</v>
          </cell>
          <cell r="O515" t="str">
            <v>A</v>
          </cell>
          <cell r="P515" t="str">
            <v>B</v>
          </cell>
          <cell r="Q515" t="str">
            <v>C</v>
          </cell>
          <cell r="R515" t="str">
            <v>C</v>
          </cell>
          <cell r="X515">
            <v>45.7</v>
          </cell>
        </row>
        <row r="516">
          <cell r="C516">
            <v>39583984</v>
          </cell>
          <cell r="D516" t="str">
            <v>ТОВ "НІКСПЕЦТРАНС"</v>
          </cell>
          <cell r="E516">
            <v>45684.484100000001</v>
          </cell>
          <cell r="F516">
            <v>45566</v>
          </cell>
          <cell r="G516" t="str">
            <v>E</v>
          </cell>
          <cell r="H516" t="str">
            <v>B</v>
          </cell>
          <cell r="I516" t="str">
            <v>D</v>
          </cell>
          <cell r="J516" t="str">
            <v>A</v>
          </cell>
          <cell r="K516" t="str">
            <v>E</v>
          </cell>
          <cell r="L516" t="str">
            <v>B</v>
          </cell>
          <cell r="M516" t="str">
            <v>A</v>
          </cell>
          <cell r="N516" t="str">
            <v>B</v>
          </cell>
          <cell r="O516" t="str">
            <v>A</v>
          </cell>
          <cell r="P516" t="str">
            <v>B</v>
          </cell>
          <cell r="Q516" t="str">
            <v>C</v>
          </cell>
          <cell r="R516" t="str">
            <v>A</v>
          </cell>
          <cell r="X516">
            <v>40.099999999999994</v>
          </cell>
        </row>
        <row r="517">
          <cell r="C517">
            <v>39589064</v>
          </cell>
          <cell r="D517" t="str">
            <v>ТОВ "Торгова компанія "Вітагро"</v>
          </cell>
          <cell r="E517">
            <v>45944</v>
          </cell>
          <cell r="F517">
            <v>45658</v>
          </cell>
          <cell r="G517" t="str">
            <v>D</v>
          </cell>
          <cell r="H517" t="str">
            <v>B</v>
          </cell>
          <cell r="I517" t="str">
            <v>C</v>
          </cell>
          <cell r="J517" t="str">
            <v>C</v>
          </cell>
          <cell r="K517" t="str">
            <v>D</v>
          </cell>
          <cell r="L517" t="str">
            <v>A</v>
          </cell>
          <cell r="M517" t="str">
            <v>A</v>
          </cell>
          <cell r="N517" t="str">
            <v>B</v>
          </cell>
          <cell r="O517" t="str">
            <v>B</v>
          </cell>
          <cell r="P517" t="str">
            <v>C</v>
          </cell>
          <cell r="Q517" t="str">
            <v>B</v>
          </cell>
          <cell r="R517" t="str">
            <v>A</v>
          </cell>
          <cell r="X517">
            <v>50.5</v>
          </cell>
        </row>
        <row r="518">
          <cell r="C518">
            <v>39602928</v>
          </cell>
          <cell r="D518" t="str">
            <v>ТОВ "ДТ-1 ГРУП"</v>
          </cell>
          <cell r="E518">
            <v>45632.718999999997</v>
          </cell>
          <cell r="F518">
            <v>45566</v>
          </cell>
          <cell r="G518" t="str">
            <v>E</v>
          </cell>
          <cell r="H518" t="str">
            <v>B</v>
          </cell>
          <cell r="I518" t="str">
            <v>C</v>
          </cell>
          <cell r="J518" t="str">
            <v>A</v>
          </cell>
          <cell r="K518" t="str">
            <v>B</v>
          </cell>
          <cell r="L518" t="str">
            <v>A</v>
          </cell>
          <cell r="M518" t="str">
            <v>A</v>
          </cell>
          <cell r="N518" t="str">
            <v>C</v>
          </cell>
          <cell r="O518" t="str">
            <v>A</v>
          </cell>
          <cell r="P518" t="str">
            <v>B</v>
          </cell>
          <cell r="Q518" t="str">
            <v>B</v>
          </cell>
          <cell r="R518" t="str">
            <v>A</v>
          </cell>
          <cell r="X518">
            <v>48.8</v>
          </cell>
        </row>
        <row r="519">
          <cell r="C519">
            <v>39606519</v>
          </cell>
          <cell r="D519" t="str">
            <v>ТОВ "ГЛОБАЛ ДАЙНЕМІКС"</v>
          </cell>
          <cell r="E519">
            <v>45931.499100000001</v>
          </cell>
          <cell r="F519">
            <v>45839</v>
          </cell>
          <cell r="G519" t="str">
            <v>E</v>
          </cell>
          <cell r="H519" t="str">
            <v>B</v>
          </cell>
          <cell r="I519" t="str">
            <v>B</v>
          </cell>
          <cell r="J519" t="str">
            <v>A</v>
          </cell>
          <cell r="K519" t="str">
            <v>B</v>
          </cell>
          <cell r="L519" t="str">
            <v>A</v>
          </cell>
          <cell r="M519" t="str">
            <v>A</v>
          </cell>
          <cell r="N519" t="str">
            <v>B</v>
          </cell>
          <cell r="O519" t="str">
            <v>A</v>
          </cell>
          <cell r="P519" t="str">
            <v>B</v>
          </cell>
          <cell r="Q519" t="str">
            <v>B</v>
          </cell>
          <cell r="R519" t="str">
            <v>A</v>
          </cell>
          <cell r="X519">
            <v>58.300000000000011</v>
          </cell>
        </row>
        <row r="520">
          <cell r="C520">
            <v>39659560</v>
          </cell>
          <cell r="D520" t="str">
            <v>ТОВ "ПРОТОРІЯ"</v>
          </cell>
          <cell r="E520">
            <v>45981</v>
          </cell>
          <cell r="F520">
            <v>45839</v>
          </cell>
          <cell r="G520" t="str">
            <v>D</v>
          </cell>
          <cell r="H520" t="str">
            <v>B</v>
          </cell>
          <cell r="I520" t="str">
            <v>B</v>
          </cell>
          <cell r="J520" t="str">
            <v>B</v>
          </cell>
          <cell r="K520" t="str">
            <v>C</v>
          </cell>
          <cell r="L520" t="str">
            <v>A</v>
          </cell>
          <cell r="M520" t="str">
            <v>A</v>
          </cell>
          <cell r="N520" t="str">
            <v>A</v>
          </cell>
          <cell r="O520" t="str">
            <v>A</v>
          </cell>
          <cell r="P520" t="str">
            <v>B</v>
          </cell>
          <cell r="Q520" t="str">
            <v>B</v>
          </cell>
          <cell r="R520" t="str">
            <v>A</v>
          </cell>
          <cell r="X520">
            <v>67.2</v>
          </cell>
        </row>
        <row r="521">
          <cell r="C521">
            <v>39672199</v>
          </cell>
          <cell r="D521" t="str">
            <v>ТОВ "ПОКРОВСЬКЕ 1"</v>
          </cell>
          <cell r="E521">
            <v>45796.986799999999</v>
          </cell>
          <cell r="F521">
            <v>45658</v>
          </cell>
          <cell r="G521" t="str">
            <v>E</v>
          </cell>
          <cell r="H521" t="str">
            <v>B</v>
          </cell>
          <cell r="I521" t="str">
            <v>B</v>
          </cell>
          <cell r="J521" t="str">
            <v>A</v>
          </cell>
          <cell r="K521" t="str">
            <v>B</v>
          </cell>
          <cell r="L521" t="str">
            <v>A</v>
          </cell>
          <cell r="M521" t="str">
            <v>A</v>
          </cell>
          <cell r="N521" t="str">
            <v>B</v>
          </cell>
          <cell r="O521" t="str">
            <v>A</v>
          </cell>
          <cell r="P521" t="str">
            <v>C</v>
          </cell>
          <cell r="Q521" t="str">
            <v>B</v>
          </cell>
          <cell r="R521" t="str">
            <v>A</v>
          </cell>
          <cell r="X521">
            <v>56.500000000000007</v>
          </cell>
        </row>
        <row r="522">
          <cell r="C522">
            <v>39685847</v>
          </cell>
          <cell r="D522" t="str">
            <v>ТОВ "ГУДГРЕЙНОІЛ"</v>
          </cell>
          <cell r="E522">
            <v>45939.481699999997</v>
          </cell>
          <cell r="F522">
            <v>45839</v>
          </cell>
          <cell r="G522" t="str">
            <v>E</v>
          </cell>
          <cell r="H522" t="str">
            <v>A</v>
          </cell>
          <cell r="I522" t="str">
            <v>A</v>
          </cell>
          <cell r="J522" t="str">
            <v>A</v>
          </cell>
          <cell r="K522" t="str">
            <v>C</v>
          </cell>
          <cell r="L522" t="str">
            <v>A</v>
          </cell>
          <cell r="M522" t="str">
            <v>A</v>
          </cell>
          <cell r="N522" t="str">
            <v>A</v>
          </cell>
          <cell r="O522" t="str">
            <v>A</v>
          </cell>
          <cell r="P522" t="str">
            <v>C</v>
          </cell>
          <cell r="Q522" t="str">
            <v>B</v>
          </cell>
          <cell r="R522" t="str">
            <v>A</v>
          </cell>
          <cell r="X522">
            <v>57</v>
          </cell>
        </row>
        <row r="523">
          <cell r="C523">
            <v>39699294</v>
          </cell>
          <cell r="D523" t="str">
            <v>ТОВ "ОРТО-ЛАЙФ"</v>
          </cell>
          <cell r="E523">
            <v>45544.663099999998</v>
          </cell>
          <cell r="F523">
            <v>45474</v>
          </cell>
          <cell r="G523" t="str">
            <v>E</v>
          </cell>
          <cell r="H523" t="str">
            <v>C</v>
          </cell>
          <cell r="I523" t="str">
            <v>A</v>
          </cell>
          <cell r="J523" t="str">
            <v>A</v>
          </cell>
          <cell r="K523" t="str">
            <v>D</v>
          </cell>
          <cell r="L523" t="str">
            <v>A</v>
          </cell>
          <cell r="M523" t="str">
            <v>A</v>
          </cell>
          <cell r="N523" t="str">
            <v>B</v>
          </cell>
          <cell r="O523" t="str">
            <v>A</v>
          </cell>
          <cell r="P523" t="str">
            <v>C</v>
          </cell>
          <cell r="Q523" t="str">
            <v>B</v>
          </cell>
          <cell r="R523" t="str">
            <v>A</v>
          </cell>
          <cell r="X523">
            <v>46.9</v>
          </cell>
        </row>
        <row r="524">
          <cell r="C524">
            <v>39738364</v>
          </cell>
          <cell r="D524" t="str">
            <v>ТОВ "1-А ІКОРНА КОМПАНІЯ"</v>
          </cell>
          <cell r="E524">
            <v>45769.696000000004</v>
          </cell>
          <cell r="F524">
            <v>45658</v>
          </cell>
          <cell r="G524" t="str">
            <v>C</v>
          </cell>
          <cell r="H524" t="str">
            <v>C</v>
          </cell>
          <cell r="I524" t="str">
            <v>A</v>
          </cell>
          <cell r="J524" t="str">
            <v>B</v>
          </cell>
          <cell r="K524" t="str">
            <v>D</v>
          </cell>
          <cell r="L524" t="str">
            <v>B</v>
          </cell>
          <cell r="M524" t="str">
            <v>A</v>
          </cell>
          <cell r="N524" t="str">
            <v>A</v>
          </cell>
          <cell r="O524" t="str">
            <v>A</v>
          </cell>
          <cell r="P524" t="str">
            <v>C</v>
          </cell>
          <cell r="Q524" t="str">
            <v>C</v>
          </cell>
          <cell r="R524" t="str">
            <v>C</v>
          </cell>
          <cell r="X524">
            <v>44.399999999999991</v>
          </cell>
        </row>
        <row r="525">
          <cell r="C525">
            <v>39748644</v>
          </cell>
          <cell r="D525" t="str">
            <v>ТОВ "ФОРЕСТ ТЕХНОЛОДЖІ"</v>
          </cell>
          <cell r="E525">
            <v>45688.664299999997</v>
          </cell>
          <cell r="F525">
            <v>45566</v>
          </cell>
          <cell r="G525" t="str">
            <v>E</v>
          </cell>
          <cell r="H525" t="str">
            <v>B</v>
          </cell>
          <cell r="I525" t="str">
            <v>A</v>
          </cell>
          <cell r="J525" t="str">
            <v>C</v>
          </cell>
          <cell r="K525" t="str">
            <v>E</v>
          </cell>
          <cell r="L525" t="str">
            <v>B</v>
          </cell>
          <cell r="M525" t="str">
            <v>C</v>
          </cell>
          <cell r="N525" t="str">
            <v>B</v>
          </cell>
          <cell r="O525" t="str">
            <v>B</v>
          </cell>
          <cell r="P525" t="str">
            <v>C</v>
          </cell>
          <cell r="Q525" t="str">
            <v>C</v>
          </cell>
          <cell r="R525" t="str">
            <v>B</v>
          </cell>
          <cell r="X525">
            <v>31.499999999999996</v>
          </cell>
        </row>
        <row r="526">
          <cell r="C526">
            <v>39770806</v>
          </cell>
          <cell r="D526" t="str">
            <v>ТОВ "ІННОВАЦІЙНІ ОБЛІКОВІ СИСТЕМИ"</v>
          </cell>
          <cell r="E526">
            <v>45852.507299999997</v>
          </cell>
          <cell r="F526">
            <v>45748</v>
          </cell>
          <cell r="G526" t="str">
            <v>D</v>
          </cell>
          <cell r="H526" t="str">
            <v>A</v>
          </cell>
          <cell r="I526" t="str">
            <v>B</v>
          </cell>
          <cell r="J526" t="str">
            <v>C</v>
          </cell>
          <cell r="K526" t="str">
            <v>D</v>
          </cell>
          <cell r="L526" t="str">
            <v>B</v>
          </cell>
          <cell r="M526" t="str">
            <v>B</v>
          </cell>
          <cell r="N526" t="str">
            <v>B</v>
          </cell>
          <cell r="O526" t="str">
            <v>A</v>
          </cell>
          <cell r="P526" t="str">
            <v>A</v>
          </cell>
          <cell r="Q526" t="str">
            <v>C</v>
          </cell>
          <cell r="R526" t="str">
            <v>C</v>
          </cell>
          <cell r="X526">
            <v>49.7</v>
          </cell>
        </row>
        <row r="527">
          <cell r="C527">
            <v>39790927</v>
          </cell>
          <cell r="D527" t="str">
            <v>ТОВ "АНВ - АГРО"</v>
          </cell>
          <cell r="E527">
            <v>45848.534299999999</v>
          </cell>
          <cell r="F527">
            <v>45658</v>
          </cell>
          <cell r="G527" t="str">
            <v>E</v>
          </cell>
          <cell r="H527" t="str">
            <v>C</v>
          </cell>
          <cell r="I527" t="str">
            <v>C</v>
          </cell>
          <cell r="J527" t="str">
            <v>A</v>
          </cell>
          <cell r="K527" t="str">
            <v>D</v>
          </cell>
          <cell r="L527" t="str">
            <v>B</v>
          </cell>
          <cell r="M527" t="str">
            <v>A</v>
          </cell>
          <cell r="N527" t="str">
            <v>B</v>
          </cell>
          <cell r="O527" t="str">
            <v>B</v>
          </cell>
          <cell r="P527" t="str">
            <v>A</v>
          </cell>
          <cell r="Q527" t="str">
            <v>C</v>
          </cell>
          <cell r="R527" t="str">
            <v>C</v>
          </cell>
          <cell r="X527">
            <v>31.299999999999997</v>
          </cell>
        </row>
        <row r="528">
          <cell r="C528">
            <v>39802853</v>
          </cell>
          <cell r="D528" t="str">
            <v>ТОВ "ДИСТРЕКО"</v>
          </cell>
          <cell r="E528">
            <v>45902.58</v>
          </cell>
          <cell r="F528">
            <v>45839</v>
          </cell>
          <cell r="G528" t="str">
            <v>E</v>
          </cell>
          <cell r="H528" t="str">
            <v>B</v>
          </cell>
          <cell r="I528" t="str">
            <v>A</v>
          </cell>
          <cell r="J528" t="str">
            <v>A</v>
          </cell>
          <cell r="K528" t="str">
            <v>D</v>
          </cell>
          <cell r="L528" t="str">
            <v>A</v>
          </cell>
          <cell r="M528" t="str">
            <v>A</v>
          </cell>
          <cell r="N528" t="str">
            <v>B</v>
          </cell>
          <cell r="O528" t="str">
            <v>B</v>
          </cell>
          <cell r="P528" t="str">
            <v>C</v>
          </cell>
          <cell r="Q528" t="str">
            <v>B</v>
          </cell>
          <cell r="R528" t="str">
            <v>A</v>
          </cell>
          <cell r="X528">
            <v>44.9</v>
          </cell>
        </row>
        <row r="529">
          <cell r="C529">
            <v>39820081</v>
          </cell>
          <cell r="D529" t="str">
            <v>ТОВ "ТБ "НОВААГРО"</v>
          </cell>
          <cell r="E529">
            <v>45904</v>
          </cell>
          <cell r="F529">
            <v>45658</v>
          </cell>
          <cell r="G529" t="str">
            <v>E</v>
          </cell>
          <cell r="H529" t="str">
            <v>B</v>
          </cell>
          <cell r="I529" t="str">
            <v>C</v>
          </cell>
          <cell r="J529" t="str">
            <v>D</v>
          </cell>
          <cell r="K529" t="str">
            <v>D</v>
          </cell>
          <cell r="L529" t="str">
            <v>B</v>
          </cell>
          <cell r="M529" t="str">
            <v>B</v>
          </cell>
          <cell r="N529" t="str">
            <v>B</v>
          </cell>
          <cell r="O529" t="str">
            <v>B</v>
          </cell>
          <cell r="P529" t="str">
            <v>C</v>
          </cell>
          <cell r="Q529" t="str">
            <v>B</v>
          </cell>
          <cell r="R529" t="str">
            <v>A</v>
          </cell>
          <cell r="X529">
            <v>38.1</v>
          </cell>
        </row>
        <row r="530">
          <cell r="C530">
            <v>39825870</v>
          </cell>
          <cell r="D530" t="str">
            <v>ТОВ "ПОРТТРАНСБУД"</v>
          </cell>
          <cell r="E530">
            <v>45902.750800000002</v>
          </cell>
          <cell r="F530">
            <v>45658</v>
          </cell>
          <cell r="G530" t="str">
            <v>D</v>
          </cell>
          <cell r="H530" t="str">
            <v>B</v>
          </cell>
          <cell r="I530" t="str">
            <v>B</v>
          </cell>
          <cell r="J530" t="str">
            <v>C</v>
          </cell>
          <cell r="K530" t="str">
            <v>E</v>
          </cell>
          <cell r="L530" t="str">
            <v>B</v>
          </cell>
          <cell r="M530" t="str">
            <v>B</v>
          </cell>
          <cell r="N530" t="str">
            <v>D</v>
          </cell>
          <cell r="O530" t="str">
            <v>B</v>
          </cell>
          <cell r="P530" t="str">
            <v>C</v>
          </cell>
          <cell r="Q530" t="str">
            <v>C</v>
          </cell>
          <cell r="R530" t="str">
            <v>A</v>
          </cell>
          <cell r="X530">
            <v>41.6</v>
          </cell>
        </row>
        <row r="531">
          <cell r="C531">
            <v>39864747</v>
          </cell>
          <cell r="D531" t="str">
            <v>ТОВ "ЗАВОД ПОЛІМЕРНИХ ВИРОБІВ "ФАРУТТІ"</v>
          </cell>
          <cell r="E531">
            <v>45876.708599999998</v>
          </cell>
          <cell r="F531">
            <v>45748</v>
          </cell>
          <cell r="G531" t="str">
            <v>E</v>
          </cell>
          <cell r="H531" t="str">
            <v>A</v>
          </cell>
          <cell r="I531" t="str">
            <v>B</v>
          </cell>
          <cell r="J531" t="str">
            <v>A</v>
          </cell>
          <cell r="K531" t="str">
            <v>D</v>
          </cell>
          <cell r="L531" t="str">
            <v>B</v>
          </cell>
          <cell r="M531" t="str">
            <v>A</v>
          </cell>
          <cell r="N531" t="str">
            <v>B</v>
          </cell>
          <cell r="O531" t="str">
            <v>A</v>
          </cell>
          <cell r="P531" t="str">
            <v>C</v>
          </cell>
          <cell r="Q531" t="str">
            <v>C</v>
          </cell>
          <cell r="R531" t="str">
            <v>A</v>
          </cell>
          <cell r="X531">
            <v>48.699999999999996</v>
          </cell>
        </row>
        <row r="532">
          <cell r="C532">
            <v>39880947</v>
          </cell>
          <cell r="D532" t="str">
            <v>ТОВ "СЕРВІС ПРОФІ ПЛЮС"</v>
          </cell>
          <cell r="E532">
            <v>45852.507299999997</v>
          </cell>
          <cell r="F532">
            <v>45748</v>
          </cell>
          <cell r="G532" t="str">
            <v>D</v>
          </cell>
          <cell r="H532" t="str">
            <v>A</v>
          </cell>
          <cell r="I532" t="str">
            <v>B</v>
          </cell>
          <cell r="J532" t="str">
            <v>C</v>
          </cell>
          <cell r="K532" t="str">
            <v>D</v>
          </cell>
          <cell r="L532" t="str">
            <v>B</v>
          </cell>
          <cell r="M532" t="str">
            <v>B</v>
          </cell>
          <cell r="N532" t="str">
            <v>B</v>
          </cell>
          <cell r="O532" t="str">
            <v>A</v>
          </cell>
          <cell r="P532" t="str">
            <v>A</v>
          </cell>
          <cell r="Q532" t="str">
            <v>C</v>
          </cell>
          <cell r="R532" t="str">
            <v>C</v>
          </cell>
          <cell r="X532">
            <v>49.7</v>
          </cell>
        </row>
        <row r="533">
          <cell r="C533">
            <v>39895178</v>
          </cell>
          <cell r="D533" t="str">
            <v>ТОВ "КРОКУС-АГРО ГРУП"</v>
          </cell>
          <cell r="E533">
            <v>45763.569499999998</v>
          </cell>
          <cell r="F533">
            <v>45658</v>
          </cell>
          <cell r="G533" t="str">
            <v>E</v>
          </cell>
          <cell r="H533" t="str">
            <v>B</v>
          </cell>
          <cell r="I533" t="str">
            <v>B</v>
          </cell>
          <cell r="J533" t="str">
            <v>A</v>
          </cell>
          <cell r="K533" t="str">
            <v>B</v>
          </cell>
          <cell r="L533" t="str">
            <v>B</v>
          </cell>
          <cell r="M533" t="str">
            <v>A</v>
          </cell>
          <cell r="N533" t="str">
            <v>C</v>
          </cell>
          <cell r="O533" t="str">
            <v>B</v>
          </cell>
          <cell r="P533" t="str">
            <v>D</v>
          </cell>
          <cell r="Q533" t="str">
            <v>C</v>
          </cell>
          <cell r="R533" t="str">
            <v>A</v>
          </cell>
          <cell r="X533">
            <v>43</v>
          </cell>
        </row>
        <row r="534">
          <cell r="C534">
            <v>39910709</v>
          </cell>
          <cell r="D534" t="str">
            <v>ТОВ "ЛУЦЬКА АГРАРНА КОМПАНІЯ"</v>
          </cell>
          <cell r="E534">
            <v>45685.544800000003</v>
          </cell>
          <cell r="F534">
            <v>45566</v>
          </cell>
          <cell r="G534" t="str">
            <v>D</v>
          </cell>
          <cell r="H534" t="str">
            <v>C</v>
          </cell>
          <cell r="I534" t="str">
            <v>D</v>
          </cell>
          <cell r="J534" t="str">
            <v>A</v>
          </cell>
          <cell r="K534" t="str">
            <v>C</v>
          </cell>
          <cell r="L534" t="str">
            <v>A</v>
          </cell>
          <cell r="M534" t="str">
            <v>A</v>
          </cell>
          <cell r="N534" t="str">
            <v>C</v>
          </cell>
          <cell r="O534" t="str">
            <v>A</v>
          </cell>
          <cell r="P534" t="str">
            <v>C</v>
          </cell>
          <cell r="Q534" t="str">
            <v>B</v>
          </cell>
          <cell r="R534" t="str">
            <v>B</v>
          </cell>
          <cell r="X534">
            <v>45.8</v>
          </cell>
        </row>
        <row r="535">
          <cell r="C535">
            <v>39935896</v>
          </cell>
          <cell r="D535" t="str">
            <v>ПП "КОНТИНЕНТ 15"</v>
          </cell>
          <cell r="E535">
            <v>45854.771399999998</v>
          </cell>
          <cell r="F535">
            <v>45658</v>
          </cell>
          <cell r="G535" t="str">
            <v>E</v>
          </cell>
          <cell r="H535" t="str">
            <v>C</v>
          </cell>
          <cell r="I535" t="str">
            <v>B</v>
          </cell>
          <cell r="J535" t="str">
            <v>D</v>
          </cell>
          <cell r="K535" t="str">
            <v>D</v>
          </cell>
          <cell r="L535" t="str">
            <v>B</v>
          </cell>
          <cell r="M535" t="str">
            <v>A</v>
          </cell>
          <cell r="N535" t="str">
            <v>A</v>
          </cell>
          <cell r="O535" t="str">
            <v>A</v>
          </cell>
          <cell r="P535" t="str">
            <v>C</v>
          </cell>
          <cell r="Q535" t="str">
            <v>C</v>
          </cell>
          <cell r="R535" t="str">
            <v>A</v>
          </cell>
          <cell r="X535">
            <v>55.999999999999993</v>
          </cell>
        </row>
        <row r="536">
          <cell r="C536">
            <v>39946871</v>
          </cell>
          <cell r="D536" t="str">
            <v>ТОВ "ЕФІ-АГРО"</v>
          </cell>
          <cell r="E536">
            <v>45639.601300000002</v>
          </cell>
          <cell r="F536">
            <v>45566</v>
          </cell>
          <cell r="G536" t="str">
            <v>E</v>
          </cell>
          <cell r="H536" t="str">
            <v>A</v>
          </cell>
          <cell r="I536" t="str">
            <v>B</v>
          </cell>
          <cell r="J536" t="str">
            <v>C</v>
          </cell>
          <cell r="K536" t="str">
            <v>C</v>
          </cell>
          <cell r="L536" t="str">
            <v>B</v>
          </cell>
          <cell r="M536" t="str">
            <v>A</v>
          </cell>
          <cell r="N536" t="str">
            <v>B</v>
          </cell>
          <cell r="O536" t="str">
            <v>A</v>
          </cell>
          <cell r="P536" t="str">
            <v>B</v>
          </cell>
          <cell r="Q536" t="str">
            <v>B</v>
          </cell>
          <cell r="R536" t="str">
            <v>B</v>
          </cell>
          <cell r="X536">
            <v>57.1</v>
          </cell>
        </row>
        <row r="537">
          <cell r="C537">
            <v>39968434</v>
          </cell>
          <cell r="D537" t="str">
            <v xml:space="preserve">ТОВ "ТК ГЕНЕРАЦІЯ" </v>
          </cell>
          <cell r="E537">
            <v>45730.731500000002</v>
          </cell>
          <cell r="F537">
            <v>45474</v>
          </cell>
          <cell r="G537" t="str">
            <v>E</v>
          </cell>
          <cell r="H537" t="str">
            <v>C</v>
          </cell>
          <cell r="I537" t="str">
            <v>B</v>
          </cell>
          <cell r="J537" t="str">
            <v>A</v>
          </cell>
          <cell r="K537" t="str">
            <v>D</v>
          </cell>
          <cell r="L537" t="str">
            <v>A</v>
          </cell>
          <cell r="M537" t="str">
            <v>A</v>
          </cell>
          <cell r="N537" t="str">
            <v>B</v>
          </cell>
          <cell r="O537" t="str">
            <v>A</v>
          </cell>
          <cell r="P537" t="str">
            <v>C</v>
          </cell>
          <cell r="Q537" t="str">
            <v>B</v>
          </cell>
          <cell r="R537" t="str">
            <v>A</v>
          </cell>
          <cell r="X537">
            <v>51.3</v>
          </cell>
        </row>
        <row r="538">
          <cell r="C538">
            <v>39977229</v>
          </cell>
          <cell r="D538" t="str">
            <v>ТОВ "ТАГО ТРЕЙД"</v>
          </cell>
          <cell r="E538">
            <v>45534.444499999998</v>
          </cell>
          <cell r="F538">
            <v>45474</v>
          </cell>
          <cell r="G538" t="str">
            <v>E</v>
          </cell>
          <cell r="H538" t="str">
            <v>B</v>
          </cell>
          <cell r="I538" t="str">
            <v>B</v>
          </cell>
          <cell r="J538" t="str">
            <v>A</v>
          </cell>
          <cell r="K538" t="str">
            <v>E</v>
          </cell>
          <cell r="L538" t="str">
            <v>B</v>
          </cell>
          <cell r="M538" t="str">
            <v>A</v>
          </cell>
          <cell r="N538" t="str">
            <v>B</v>
          </cell>
          <cell r="O538" t="str">
            <v>A</v>
          </cell>
          <cell r="P538" t="str">
            <v>C</v>
          </cell>
          <cell r="Q538" t="str">
            <v>B</v>
          </cell>
          <cell r="R538" t="str">
            <v>B</v>
          </cell>
          <cell r="X538">
            <v>43.3</v>
          </cell>
        </row>
        <row r="539">
          <cell r="C539">
            <v>39988885</v>
          </cell>
          <cell r="D539" t="str">
            <v>ТОВ "ЗЕРНОПРОМ АГРО"</v>
          </cell>
          <cell r="E539">
            <v>45902.750800000002</v>
          </cell>
          <cell r="F539">
            <v>45658</v>
          </cell>
          <cell r="G539" t="str">
            <v>D</v>
          </cell>
          <cell r="H539" t="str">
            <v>B</v>
          </cell>
          <cell r="I539" t="str">
            <v>B</v>
          </cell>
          <cell r="J539" t="str">
            <v>C</v>
          </cell>
          <cell r="K539" t="str">
            <v>E</v>
          </cell>
          <cell r="L539" t="str">
            <v>B</v>
          </cell>
          <cell r="M539" t="str">
            <v>B</v>
          </cell>
          <cell r="N539" t="str">
            <v>D</v>
          </cell>
          <cell r="O539" t="str">
            <v>B</v>
          </cell>
          <cell r="P539" t="str">
            <v>C</v>
          </cell>
          <cell r="Q539" t="str">
            <v>C</v>
          </cell>
          <cell r="R539" t="str">
            <v>A</v>
          </cell>
          <cell r="X539">
            <v>41.6</v>
          </cell>
        </row>
        <row r="540">
          <cell r="C540">
            <v>39994946</v>
          </cell>
          <cell r="D540" t="str">
            <v>ТОВ "-АГРО СЕРВІС-"</v>
          </cell>
          <cell r="E540">
            <v>45902.750800000002</v>
          </cell>
          <cell r="F540">
            <v>45658</v>
          </cell>
          <cell r="G540" t="str">
            <v>D</v>
          </cell>
          <cell r="H540" t="str">
            <v>B</v>
          </cell>
          <cell r="I540" t="str">
            <v>B</v>
          </cell>
          <cell r="J540" t="str">
            <v>C</v>
          </cell>
          <cell r="K540" t="str">
            <v>E</v>
          </cell>
          <cell r="L540" t="str">
            <v>B</v>
          </cell>
          <cell r="M540" t="str">
            <v>B</v>
          </cell>
          <cell r="N540" t="str">
            <v>D</v>
          </cell>
          <cell r="O540" t="str">
            <v>B</v>
          </cell>
          <cell r="P540" t="str">
            <v>C</v>
          </cell>
          <cell r="Q540" t="str">
            <v>C</v>
          </cell>
          <cell r="R540" t="str">
            <v>A</v>
          </cell>
          <cell r="X540">
            <v>41.6</v>
          </cell>
        </row>
        <row r="541">
          <cell r="C541">
            <v>39995206</v>
          </cell>
          <cell r="D541" t="str">
            <v>ТОВ "Дистрибуційна компанія Агротех"</v>
          </cell>
          <cell r="E541">
            <v>45902.750800000002</v>
          </cell>
          <cell r="F541">
            <v>45658</v>
          </cell>
          <cell r="G541" t="str">
            <v>D</v>
          </cell>
          <cell r="H541" t="str">
            <v>B</v>
          </cell>
          <cell r="I541" t="str">
            <v>B</v>
          </cell>
          <cell r="J541" t="str">
            <v>C</v>
          </cell>
          <cell r="K541" t="str">
            <v>E</v>
          </cell>
          <cell r="L541" t="str">
            <v>B</v>
          </cell>
          <cell r="M541" t="str">
            <v>B</v>
          </cell>
          <cell r="N541" t="str">
            <v>D</v>
          </cell>
          <cell r="O541" t="str">
            <v>B</v>
          </cell>
          <cell r="P541" t="str">
            <v>C</v>
          </cell>
          <cell r="Q541" t="str">
            <v>C</v>
          </cell>
          <cell r="R541" t="str">
            <v>A</v>
          </cell>
          <cell r="X541">
            <v>41.6</v>
          </cell>
        </row>
        <row r="542">
          <cell r="C542">
            <v>40011416</v>
          </cell>
          <cell r="D542" t="str">
            <v>ТОВ "АНТЕЙ."</v>
          </cell>
          <cell r="E542">
            <v>45940.321499999998</v>
          </cell>
          <cell r="F542">
            <v>45839</v>
          </cell>
          <cell r="G542" t="str">
            <v>E</v>
          </cell>
          <cell r="H542" t="str">
            <v>D</v>
          </cell>
          <cell r="I542" t="str">
            <v>B</v>
          </cell>
          <cell r="J542" t="str">
            <v>A</v>
          </cell>
          <cell r="K542" t="str">
            <v>D</v>
          </cell>
          <cell r="L542" t="str">
            <v>B</v>
          </cell>
          <cell r="M542" t="str">
            <v>A</v>
          </cell>
          <cell r="N542" t="str">
            <v>B</v>
          </cell>
          <cell r="O542" t="str">
            <v>B</v>
          </cell>
          <cell r="P542" t="str">
            <v>B</v>
          </cell>
          <cell r="Q542" t="str">
            <v>C</v>
          </cell>
          <cell r="R542" t="str">
            <v>B</v>
          </cell>
          <cell r="X542">
            <v>35.29999999999999</v>
          </cell>
        </row>
        <row r="543">
          <cell r="C543">
            <v>40042088</v>
          </cell>
          <cell r="D543" t="str">
            <v>ТОВ "МАРТІН ТРЕЙД"</v>
          </cell>
          <cell r="E543">
            <v>45709</v>
          </cell>
          <cell r="F543">
            <v>45566</v>
          </cell>
          <cell r="G543" t="str">
            <v>D</v>
          </cell>
          <cell r="H543" t="str">
            <v>B</v>
          </cell>
          <cell r="I543" t="str">
            <v>A</v>
          </cell>
          <cell r="J543" t="str">
            <v>C</v>
          </cell>
          <cell r="K543" t="str">
            <v>B</v>
          </cell>
          <cell r="L543" t="str">
            <v>A</v>
          </cell>
          <cell r="M543" t="str">
            <v>A</v>
          </cell>
          <cell r="N543" t="str">
            <v>B</v>
          </cell>
          <cell r="O543" t="str">
            <v>A</v>
          </cell>
          <cell r="P543" t="str">
            <v>A</v>
          </cell>
          <cell r="Q543" t="str">
            <v>B</v>
          </cell>
          <cell r="R543" t="str">
            <v>B</v>
          </cell>
          <cell r="X543">
            <v>61.900000000000006</v>
          </cell>
        </row>
        <row r="544">
          <cell r="C544">
            <v>40055034</v>
          </cell>
          <cell r="D544" t="str">
            <v>ТОВ "НоваПей Кредит"</v>
          </cell>
          <cell r="E544">
            <v>45909.691200000001</v>
          </cell>
          <cell r="F544">
            <v>45658</v>
          </cell>
          <cell r="G544" t="str">
            <v>A</v>
          </cell>
          <cell r="H544" t="str">
            <v>B</v>
          </cell>
          <cell r="I544" t="str">
            <v>B</v>
          </cell>
          <cell r="J544" t="str">
            <v>B</v>
          </cell>
          <cell r="K544" t="str">
            <v>A</v>
          </cell>
          <cell r="L544" t="str">
            <v>A</v>
          </cell>
          <cell r="M544" t="str">
            <v>A</v>
          </cell>
          <cell r="N544" t="str">
            <v>A</v>
          </cell>
          <cell r="O544" t="str">
            <v>A</v>
          </cell>
          <cell r="P544" t="str">
            <v>C</v>
          </cell>
          <cell r="Q544" t="str">
            <v>B</v>
          </cell>
          <cell r="R544" t="str">
            <v>A</v>
          </cell>
          <cell r="X544">
            <v>70.199999999999989</v>
          </cell>
        </row>
        <row r="545">
          <cell r="C545">
            <v>40056284</v>
          </cell>
          <cell r="D545" t="str">
            <v>ТОВ "ЮТК"</v>
          </cell>
          <cell r="E545">
            <v>45538</v>
          </cell>
          <cell r="F545">
            <v>45474</v>
          </cell>
          <cell r="G545" t="str">
            <v>E</v>
          </cell>
          <cell r="H545" t="str">
            <v>B</v>
          </cell>
          <cell r="I545" t="str">
            <v>A</v>
          </cell>
          <cell r="J545" t="str">
            <v>A</v>
          </cell>
          <cell r="K545" t="str">
            <v>D</v>
          </cell>
          <cell r="L545" t="str">
            <v>A</v>
          </cell>
          <cell r="M545" t="str">
            <v>A</v>
          </cell>
          <cell r="N545" t="str">
            <v>B</v>
          </cell>
          <cell r="O545" t="str">
            <v>A</v>
          </cell>
          <cell r="P545" t="str">
            <v>C</v>
          </cell>
          <cell r="Q545" t="str">
            <v>B</v>
          </cell>
          <cell r="R545" t="str">
            <v>A</v>
          </cell>
          <cell r="X545">
            <v>48.5</v>
          </cell>
        </row>
        <row r="546">
          <cell r="C546">
            <v>40069665</v>
          </cell>
          <cell r="D546" t="str">
            <v>ТОВ "Фрателлі Консорціум"</v>
          </cell>
          <cell r="E546">
            <v>45548.633800000003</v>
          </cell>
          <cell r="F546">
            <v>45474</v>
          </cell>
          <cell r="G546" t="str">
            <v>E</v>
          </cell>
          <cell r="H546" t="str">
            <v>A</v>
          </cell>
          <cell r="I546" t="str">
            <v>B</v>
          </cell>
          <cell r="J546" t="str">
            <v>A</v>
          </cell>
          <cell r="K546" t="str">
            <v>B</v>
          </cell>
          <cell r="L546" t="str">
            <v>A</v>
          </cell>
          <cell r="M546" t="str">
            <v>A</v>
          </cell>
          <cell r="N546" t="str">
            <v>B</v>
          </cell>
          <cell r="O546" t="str">
            <v>A</v>
          </cell>
          <cell r="P546" t="str">
            <v>C</v>
          </cell>
          <cell r="Q546" t="str">
            <v>C</v>
          </cell>
          <cell r="R546" t="str">
            <v>A</v>
          </cell>
          <cell r="X546">
            <v>57.099999999999994</v>
          </cell>
        </row>
        <row r="547">
          <cell r="C547">
            <v>40106324</v>
          </cell>
          <cell r="D547" t="str">
            <v>ТОВ "СВОЇ ВІТАМІНИ"</v>
          </cell>
          <cell r="E547">
            <v>45953.698700000001</v>
          </cell>
          <cell r="F547">
            <v>45839</v>
          </cell>
          <cell r="G547" t="str">
            <v>E</v>
          </cell>
          <cell r="H547" t="str">
            <v>B</v>
          </cell>
          <cell r="I547" t="str">
            <v>B</v>
          </cell>
          <cell r="J547" t="str">
            <v>A</v>
          </cell>
          <cell r="K547" t="str">
            <v>E</v>
          </cell>
          <cell r="L547" t="str">
            <v>A</v>
          </cell>
          <cell r="M547" t="str">
            <v>A</v>
          </cell>
          <cell r="N547" t="str">
            <v>B</v>
          </cell>
          <cell r="O547" t="str">
            <v>A</v>
          </cell>
          <cell r="P547" t="str">
            <v>C</v>
          </cell>
          <cell r="Q547" t="str">
            <v>B</v>
          </cell>
          <cell r="R547" t="str">
            <v>B</v>
          </cell>
          <cell r="X547">
            <v>48.1</v>
          </cell>
        </row>
        <row r="548">
          <cell r="C548">
            <v>40124047</v>
          </cell>
          <cell r="D548" t="str">
            <v>ТОВ "ЯСНО ЕНЕРГОЕФЕКТИВНІСТЬ"</v>
          </cell>
          <cell r="E548">
            <v>45885</v>
          </cell>
          <cell r="F548">
            <v>45658</v>
          </cell>
          <cell r="G548" t="str">
            <v>D</v>
          </cell>
          <cell r="H548" t="str">
            <v>A</v>
          </cell>
          <cell r="I548" t="str">
            <v>B</v>
          </cell>
          <cell r="J548" t="str">
            <v>C</v>
          </cell>
          <cell r="K548" t="str">
            <v>D</v>
          </cell>
          <cell r="L548" t="str">
            <v>A</v>
          </cell>
          <cell r="M548" t="str">
            <v>A</v>
          </cell>
          <cell r="N548" t="str">
            <v>A</v>
          </cell>
          <cell r="O548" t="str">
            <v>A</v>
          </cell>
          <cell r="P548" t="str">
            <v>B</v>
          </cell>
          <cell r="Q548" t="str">
            <v>B</v>
          </cell>
          <cell r="R548" t="str">
            <v>A</v>
          </cell>
          <cell r="X548">
            <v>69.600000000000009</v>
          </cell>
        </row>
        <row r="549">
          <cell r="C549">
            <v>40152779</v>
          </cell>
          <cell r="D549" t="str">
            <v>ТОВ "АЙСБЕРГ-ГРУП"</v>
          </cell>
          <cell r="E549">
            <v>45555.732900000003</v>
          </cell>
          <cell r="F549">
            <v>45474</v>
          </cell>
          <cell r="G549" t="str">
            <v>D</v>
          </cell>
          <cell r="H549" t="str">
            <v>C</v>
          </cell>
          <cell r="I549" t="str">
            <v>B</v>
          </cell>
          <cell r="J549" t="str">
            <v>A</v>
          </cell>
          <cell r="K549" t="str">
            <v>B</v>
          </cell>
          <cell r="L549" t="str">
            <v>B</v>
          </cell>
          <cell r="M549" t="str">
            <v>A</v>
          </cell>
          <cell r="N549" t="str">
            <v>A</v>
          </cell>
          <cell r="O549" t="str">
            <v>A</v>
          </cell>
          <cell r="P549" t="str">
            <v>C</v>
          </cell>
          <cell r="Q549" t="str">
            <v>B</v>
          </cell>
          <cell r="R549" t="str">
            <v>C</v>
          </cell>
          <cell r="X549">
            <v>50.999999999999993</v>
          </cell>
        </row>
        <row r="550">
          <cell r="C550">
            <v>40183037</v>
          </cell>
          <cell r="D550" t="str">
            <v>ТОВ "МАХАОН-ІНВЕСТ"</v>
          </cell>
          <cell r="E550">
            <v>45854.645900000003</v>
          </cell>
          <cell r="F550">
            <v>45748</v>
          </cell>
          <cell r="G550" t="str">
            <v>E</v>
          </cell>
          <cell r="H550" t="str">
            <v>B</v>
          </cell>
          <cell r="I550" t="str">
            <v>B</v>
          </cell>
          <cell r="J550" t="str">
            <v>B</v>
          </cell>
          <cell r="K550" t="str">
            <v>D</v>
          </cell>
          <cell r="L550" t="str">
            <v>B</v>
          </cell>
          <cell r="M550" t="str">
            <v>A</v>
          </cell>
          <cell r="N550" t="str">
            <v>B</v>
          </cell>
          <cell r="O550" t="str">
            <v>A</v>
          </cell>
          <cell r="P550" t="str">
            <v>C</v>
          </cell>
          <cell r="Q550" t="str">
            <v>B</v>
          </cell>
          <cell r="R550" t="str">
            <v>B</v>
          </cell>
          <cell r="X550">
            <v>47.3</v>
          </cell>
        </row>
        <row r="551">
          <cell r="C551">
            <v>40211006</v>
          </cell>
          <cell r="D551" t="str">
            <v>ТОВ"ФУДЕКСПРЕС"</v>
          </cell>
          <cell r="E551">
            <v>45736.537700000001</v>
          </cell>
          <cell r="F551">
            <v>45658</v>
          </cell>
          <cell r="G551" t="str">
            <v>E</v>
          </cell>
          <cell r="H551" t="str">
            <v>C</v>
          </cell>
          <cell r="I551" t="str">
            <v>B</v>
          </cell>
          <cell r="J551" t="str">
            <v>A</v>
          </cell>
          <cell r="K551" t="str">
            <v>D</v>
          </cell>
          <cell r="L551" t="str">
            <v>A</v>
          </cell>
          <cell r="M551" t="str">
            <v>A</v>
          </cell>
          <cell r="N551" t="str">
            <v>B</v>
          </cell>
          <cell r="O551" t="str">
            <v>A</v>
          </cell>
          <cell r="P551" t="str">
            <v>C</v>
          </cell>
          <cell r="Q551" t="str">
            <v>B</v>
          </cell>
          <cell r="R551" t="str">
            <v>A</v>
          </cell>
          <cell r="X551">
            <v>51.3</v>
          </cell>
        </row>
        <row r="552">
          <cell r="C552">
            <v>40225789</v>
          </cell>
          <cell r="D552" t="str">
            <v>ТОВ "КОНДИТЕРСЬКА МАГІЯ"</v>
          </cell>
          <cell r="E552">
            <v>45939.7232</v>
          </cell>
          <cell r="F552">
            <v>45839</v>
          </cell>
          <cell r="G552" t="str">
            <v>E</v>
          </cell>
          <cell r="H552" t="str">
            <v>B</v>
          </cell>
          <cell r="I552" t="str">
            <v>B</v>
          </cell>
          <cell r="J552" t="str">
            <v>A</v>
          </cell>
          <cell r="K552" t="str">
            <v>B</v>
          </cell>
          <cell r="L552" t="str">
            <v>A</v>
          </cell>
          <cell r="M552" t="str">
            <v>A</v>
          </cell>
          <cell r="N552" t="str">
            <v>A</v>
          </cell>
          <cell r="O552" t="str">
            <v>A</v>
          </cell>
          <cell r="P552" t="str">
            <v>C</v>
          </cell>
          <cell r="Q552" t="str">
            <v>B</v>
          </cell>
          <cell r="R552" t="str">
            <v>A</v>
          </cell>
          <cell r="X552">
            <v>59.800000000000004</v>
          </cell>
        </row>
        <row r="553">
          <cell r="C553">
            <v>40242097</v>
          </cell>
          <cell r="D553" t="str">
            <v>ТОВ "АЛЬФА ГРУП КИЇВ"</v>
          </cell>
          <cell r="E553">
            <v>45770.491300000002</v>
          </cell>
          <cell r="F553">
            <v>45658</v>
          </cell>
          <cell r="G553" t="str">
            <v>E</v>
          </cell>
          <cell r="H553" t="str">
            <v>A</v>
          </cell>
          <cell r="I553" t="str">
            <v>B</v>
          </cell>
          <cell r="J553" t="str">
            <v>C</v>
          </cell>
          <cell r="K553" t="str">
            <v>F</v>
          </cell>
          <cell r="L553" t="str">
            <v>A</v>
          </cell>
          <cell r="M553" t="str">
            <v>B</v>
          </cell>
          <cell r="N553" t="str">
            <v>C</v>
          </cell>
          <cell r="O553" t="str">
            <v>A</v>
          </cell>
          <cell r="P553" t="str">
            <v>C</v>
          </cell>
          <cell r="Q553" t="str">
            <v>C</v>
          </cell>
          <cell r="R553" t="str">
            <v>C</v>
          </cell>
          <cell r="X553">
            <v>42</v>
          </cell>
        </row>
        <row r="554">
          <cell r="C554">
            <v>40247818</v>
          </cell>
          <cell r="D554" t="str">
            <v>ТОВ "АЛЬТЕРРА ГРУП"</v>
          </cell>
          <cell r="E554">
            <v>45881.411899999999</v>
          </cell>
          <cell r="F554">
            <v>45658</v>
          </cell>
          <cell r="G554" t="str">
            <v>E</v>
          </cell>
          <cell r="H554" t="str">
            <v>B</v>
          </cell>
          <cell r="I554" t="str">
            <v>B</v>
          </cell>
          <cell r="J554" t="str">
            <v>A</v>
          </cell>
          <cell r="K554" t="str">
            <v>C</v>
          </cell>
          <cell r="L554" t="str">
            <v>B</v>
          </cell>
          <cell r="M554" t="str">
            <v>A</v>
          </cell>
          <cell r="N554" t="str">
            <v>A</v>
          </cell>
          <cell r="O554" t="str">
            <v>B</v>
          </cell>
          <cell r="P554" t="str">
            <v>B</v>
          </cell>
          <cell r="Q554" t="str">
            <v>B</v>
          </cell>
          <cell r="R554" t="str">
            <v>C</v>
          </cell>
          <cell r="X554">
            <v>46.4</v>
          </cell>
        </row>
        <row r="555">
          <cell r="C555">
            <v>40256576</v>
          </cell>
          <cell r="D555" t="str">
            <v>ТОВ "РЕЗОН ТРЕЙД"</v>
          </cell>
          <cell r="E555">
            <v>45758.446100000001</v>
          </cell>
          <cell r="F555">
            <v>45658</v>
          </cell>
          <cell r="G555" t="str">
            <v>E</v>
          </cell>
          <cell r="H555" t="str">
            <v>C</v>
          </cell>
          <cell r="I555" t="str">
            <v>B</v>
          </cell>
          <cell r="J555" t="str">
            <v>C</v>
          </cell>
          <cell r="K555" t="str">
            <v>D</v>
          </cell>
          <cell r="L555" t="str">
            <v>A</v>
          </cell>
          <cell r="M555" t="str">
            <v>B</v>
          </cell>
          <cell r="N555" t="str">
            <v>B</v>
          </cell>
          <cell r="O555" t="str">
            <v>B</v>
          </cell>
          <cell r="P555" t="str">
            <v>B</v>
          </cell>
          <cell r="Q555" t="str">
            <v>B</v>
          </cell>
          <cell r="R555" t="str">
            <v>C</v>
          </cell>
          <cell r="X555">
            <v>42.7</v>
          </cell>
        </row>
        <row r="556">
          <cell r="C556">
            <v>40265219</v>
          </cell>
          <cell r="D556" t="str">
            <v>ТОВ "КАЛЬХЕОН"</v>
          </cell>
          <cell r="E556">
            <v>45673.796600000001</v>
          </cell>
          <cell r="F556">
            <v>45566</v>
          </cell>
          <cell r="G556" t="str">
            <v>E</v>
          </cell>
          <cell r="H556" t="str">
            <v>B</v>
          </cell>
          <cell r="I556" t="str">
            <v>A</v>
          </cell>
          <cell r="J556" t="str">
            <v>A</v>
          </cell>
          <cell r="K556" t="str">
            <v>A</v>
          </cell>
          <cell r="L556" t="str">
            <v>A</v>
          </cell>
          <cell r="M556" t="str">
            <v>A</v>
          </cell>
          <cell r="N556" t="str">
            <v>A</v>
          </cell>
          <cell r="O556" t="str">
            <v>A</v>
          </cell>
          <cell r="P556" t="str">
            <v>B</v>
          </cell>
          <cell r="Q556" t="str">
            <v>B</v>
          </cell>
          <cell r="R556" t="str">
            <v>C</v>
          </cell>
          <cell r="X556">
            <v>52.400000000000006</v>
          </cell>
        </row>
        <row r="557">
          <cell r="C557">
            <v>40266212</v>
          </cell>
          <cell r="D557" t="str">
            <v>ПП "ТД АГРО"</v>
          </cell>
          <cell r="E557">
            <v>45958.760799999996</v>
          </cell>
          <cell r="F557">
            <v>45658</v>
          </cell>
          <cell r="G557" t="str">
            <v>E</v>
          </cell>
          <cell r="H557" t="str">
            <v>A</v>
          </cell>
          <cell r="I557" t="str">
            <v>B</v>
          </cell>
          <cell r="J557" t="str">
            <v>B</v>
          </cell>
          <cell r="K557" t="str">
            <v>D</v>
          </cell>
          <cell r="L557" t="str">
            <v>A</v>
          </cell>
          <cell r="M557" t="str">
            <v>A</v>
          </cell>
          <cell r="N557" t="str">
            <v>B</v>
          </cell>
          <cell r="O557" t="str">
            <v>A</v>
          </cell>
          <cell r="P557" t="str">
            <v>C</v>
          </cell>
          <cell r="Q557" t="str">
            <v>B</v>
          </cell>
          <cell r="R557" t="str">
            <v>A</v>
          </cell>
          <cell r="X557">
            <v>58.1</v>
          </cell>
        </row>
        <row r="558">
          <cell r="C558">
            <v>40292090</v>
          </cell>
          <cell r="D558" t="str">
            <v>ТОВ "ЮГФУД"</v>
          </cell>
          <cell r="E558">
            <v>45933.5193</v>
          </cell>
          <cell r="F558">
            <v>45839</v>
          </cell>
          <cell r="G558" t="str">
            <v>E</v>
          </cell>
          <cell r="H558" t="str">
            <v>C</v>
          </cell>
          <cell r="I558" t="str">
            <v>B</v>
          </cell>
          <cell r="J558" t="str">
            <v>A</v>
          </cell>
          <cell r="K558" t="str">
            <v>D</v>
          </cell>
          <cell r="L558" t="str">
            <v>A</v>
          </cell>
          <cell r="M558" t="str">
            <v>A</v>
          </cell>
          <cell r="N558" t="str">
            <v>B</v>
          </cell>
          <cell r="O558" t="str">
            <v>A</v>
          </cell>
          <cell r="P558" t="str">
            <v>A</v>
          </cell>
          <cell r="Q558" t="str">
            <v>B</v>
          </cell>
          <cell r="R558" t="str">
            <v>A</v>
          </cell>
          <cell r="X558">
            <v>55.5</v>
          </cell>
        </row>
        <row r="559">
          <cell r="C559">
            <v>40334203</v>
          </cell>
          <cell r="D559" t="str">
            <v>ТОВ "ВІННЕР ЛІЗИНГ"</v>
          </cell>
          <cell r="E559">
            <v>45595.714899999999</v>
          </cell>
          <cell r="F559">
            <v>45474</v>
          </cell>
          <cell r="G559" t="str">
            <v>D</v>
          </cell>
          <cell r="H559" t="str">
            <v>B</v>
          </cell>
          <cell r="I559" t="str">
            <v>A</v>
          </cell>
          <cell r="J559" t="str">
            <v>A</v>
          </cell>
          <cell r="K559" t="str">
            <v>A</v>
          </cell>
          <cell r="L559" t="str">
            <v>A</v>
          </cell>
          <cell r="M559" t="str">
            <v>A</v>
          </cell>
          <cell r="N559" t="str">
            <v>A</v>
          </cell>
          <cell r="O559" t="str">
            <v>A</v>
          </cell>
          <cell r="P559" t="str">
            <v>A</v>
          </cell>
          <cell r="Q559" t="str">
            <v>A</v>
          </cell>
          <cell r="R559" t="str">
            <v>C</v>
          </cell>
          <cell r="X559">
            <v>60.8</v>
          </cell>
        </row>
        <row r="560">
          <cell r="C560">
            <v>40383893</v>
          </cell>
          <cell r="D560" t="str">
            <v>ТОВ "БРУКЛАНД"</v>
          </cell>
          <cell r="E560">
            <v>45948.830699999999</v>
          </cell>
          <cell r="F560">
            <v>45658</v>
          </cell>
          <cell r="G560" t="str">
            <v>E</v>
          </cell>
          <cell r="H560" t="str">
            <v>B</v>
          </cell>
          <cell r="I560" t="str">
            <v>B</v>
          </cell>
          <cell r="J560" t="str">
            <v>A</v>
          </cell>
          <cell r="K560" t="str">
            <v>D</v>
          </cell>
          <cell r="L560" t="str">
            <v>B</v>
          </cell>
          <cell r="M560" t="str">
            <v>B</v>
          </cell>
          <cell r="N560" t="str">
            <v>B</v>
          </cell>
          <cell r="O560" t="str">
            <v>A</v>
          </cell>
          <cell r="P560" t="str">
            <v>C</v>
          </cell>
          <cell r="Q560" t="str">
            <v>B</v>
          </cell>
          <cell r="R560" t="str">
            <v>A</v>
          </cell>
          <cell r="X560">
            <v>41.7</v>
          </cell>
        </row>
        <row r="561">
          <cell r="C561">
            <v>40427343</v>
          </cell>
          <cell r="D561" t="str">
            <v>ТОВ «ІСЛА СЕРВІС»</v>
          </cell>
          <cell r="E561">
            <v>45840.4689</v>
          </cell>
          <cell r="F561">
            <v>45748</v>
          </cell>
          <cell r="G561" t="str">
            <v>E</v>
          </cell>
          <cell r="H561" t="str">
            <v>C</v>
          </cell>
          <cell r="I561" t="str">
            <v>A</v>
          </cell>
          <cell r="J561" t="str">
            <v>A</v>
          </cell>
          <cell r="K561" t="str">
            <v>D</v>
          </cell>
          <cell r="L561" t="str">
            <v>B</v>
          </cell>
          <cell r="M561" t="str">
            <v>A</v>
          </cell>
          <cell r="N561" t="str">
            <v>B</v>
          </cell>
          <cell r="O561" t="str">
            <v>A</v>
          </cell>
          <cell r="P561" t="str">
            <v>D</v>
          </cell>
          <cell r="Q561" t="str">
            <v>B</v>
          </cell>
          <cell r="R561" t="str">
            <v>A</v>
          </cell>
          <cell r="X561">
            <v>40.299999999999997</v>
          </cell>
        </row>
        <row r="562">
          <cell r="C562">
            <v>40428872</v>
          </cell>
          <cell r="D562" t="str">
            <v>ТОВ "УКРАГРОПРОТЕКТ"</v>
          </cell>
          <cell r="E562">
            <v>45951.531300000002</v>
          </cell>
          <cell r="F562">
            <v>45839</v>
          </cell>
          <cell r="G562" t="str">
            <v>C</v>
          </cell>
          <cell r="H562" t="str">
            <v>B</v>
          </cell>
          <cell r="I562" t="str">
            <v>B</v>
          </cell>
          <cell r="J562" t="str">
            <v>A</v>
          </cell>
          <cell r="K562" t="str">
            <v>E</v>
          </cell>
          <cell r="L562" t="str">
            <v>A</v>
          </cell>
          <cell r="M562" t="str">
            <v>A</v>
          </cell>
          <cell r="N562" t="str">
            <v>B</v>
          </cell>
          <cell r="O562" t="str">
            <v>A</v>
          </cell>
          <cell r="P562" t="str">
            <v>C</v>
          </cell>
          <cell r="Q562" t="str">
            <v>B</v>
          </cell>
          <cell r="R562" t="str">
            <v>A</v>
          </cell>
          <cell r="X562">
            <v>55.7</v>
          </cell>
        </row>
        <row r="563">
          <cell r="C563">
            <v>40434268</v>
          </cell>
          <cell r="D563" t="str">
            <v>ТОВ "СП ДОВІРА"</v>
          </cell>
          <cell r="E563">
            <v>45951.869899999998</v>
          </cell>
          <cell r="F563">
            <v>45839</v>
          </cell>
          <cell r="G563" t="str">
            <v>E</v>
          </cell>
          <cell r="H563" t="str">
            <v>B</v>
          </cell>
          <cell r="I563" t="str">
            <v>B</v>
          </cell>
          <cell r="J563" t="str">
            <v>A</v>
          </cell>
          <cell r="K563" t="str">
            <v>D</v>
          </cell>
          <cell r="L563" t="str">
            <v>B</v>
          </cell>
          <cell r="M563" t="str">
            <v>C</v>
          </cell>
          <cell r="N563" t="str">
            <v>B</v>
          </cell>
          <cell r="O563" t="str">
            <v>A</v>
          </cell>
          <cell r="P563" t="str">
            <v>C</v>
          </cell>
          <cell r="Q563" t="str">
            <v>C</v>
          </cell>
          <cell r="R563" t="str">
            <v>A</v>
          </cell>
          <cell r="X563">
            <v>38.699999999999996</v>
          </cell>
        </row>
        <row r="564">
          <cell r="C564">
            <v>40469416</v>
          </cell>
          <cell r="D564" t="str">
            <v>ТОВ "СКІФ"</v>
          </cell>
          <cell r="E564">
            <v>45736.444600000003</v>
          </cell>
          <cell r="F564">
            <v>45566</v>
          </cell>
          <cell r="G564" t="str">
            <v>D</v>
          </cell>
          <cell r="H564" t="str">
            <v>C</v>
          </cell>
          <cell r="I564" t="str">
            <v>D</v>
          </cell>
          <cell r="J564" t="str">
            <v>D</v>
          </cell>
          <cell r="K564" t="str">
            <v>D</v>
          </cell>
          <cell r="L564" t="str">
            <v>A</v>
          </cell>
          <cell r="M564" t="str">
            <v>C</v>
          </cell>
          <cell r="N564" t="str">
            <v>B</v>
          </cell>
          <cell r="O564" t="str">
            <v>B</v>
          </cell>
          <cell r="P564" t="str">
            <v>C</v>
          </cell>
          <cell r="Q564" t="str">
            <v>C</v>
          </cell>
          <cell r="R564" t="str">
            <v>A</v>
          </cell>
          <cell r="X564">
            <v>43.099999999999987</v>
          </cell>
        </row>
        <row r="565">
          <cell r="C565">
            <v>40535483</v>
          </cell>
          <cell r="D565" t="str">
            <v>ТОВ "ВІМЕКСІМ ТРЕЙД"</v>
          </cell>
          <cell r="E565">
            <v>45828.481200000002</v>
          </cell>
          <cell r="F565">
            <v>45658</v>
          </cell>
          <cell r="G565" t="str">
            <v>E</v>
          </cell>
          <cell r="H565" t="str">
            <v>C</v>
          </cell>
          <cell r="I565" t="str">
            <v>A</v>
          </cell>
          <cell r="J565" t="str">
            <v>A</v>
          </cell>
          <cell r="K565" t="str">
            <v>D</v>
          </cell>
          <cell r="L565" t="str">
            <v>B</v>
          </cell>
          <cell r="M565" t="str">
            <v>A</v>
          </cell>
          <cell r="N565" t="str">
            <v>B</v>
          </cell>
          <cell r="O565" t="str">
            <v>A</v>
          </cell>
          <cell r="P565" t="str">
            <v>B</v>
          </cell>
          <cell r="Q565" t="str">
            <v>B</v>
          </cell>
          <cell r="R565" t="str">
            <v>B</v>
          </cell>
          <cell r="X565">
            <v>40.299999999999997</v>
          </cell>
        </row>
        <row r="566">
          <cell r="C566">
            <v>40709221</v>
          </cell>
          <cell r="D566" t="str">
            <v>ТОВ "КОМПАНІЯ ІНТЕР-ЛІС"</v>
          </cell>
          <cell r="E566">
            <v>45915.628199999999</v>
          </cell>
          <cell r="F566">
            <v>45839</v>
          </cell>
          <cell r="G566" t="str">
            <v>E</v>
          </cell>
          <cell r="H566" t="str">
            <v>C</v>
          </cell>
          <cell r="I566" t="str">
            <v>B</v>
          </cell>
          <cell r="J566" t="str">
            <v>A</v>
          </cell>
          <cell r="K566" t="str">
            <v>D</v>
          </cell>
          <cell r="L566" t="str">
            <v>B</v>
          </cell>
          <cell r="M566" t="str">
            <v>A</v>
          </cell>
          <cell r="N566" t="str">
            <v>B</v>
          </cell>
          <cell r="O566" t="str">
            <v>A</v>
          </cell>
          <cell r="P566" t="str">
            <v>C</v>
          </cell>
          <cell r="Q566" t="str">
            <v>C</v>
          </cell>
          <cell r="R566" t="str">
            <v>C</v>
          </cell>
          <cell r="X566">
            <v>38.699999999999989</v>
          </cell>
        </row>
        <row r="567">
          <cell r="C567">
            <v>40720198</v>
          </cell>
          <cell r="D567" t="str">
            <v>ТОВ "СІЛЬПО-ФУД"</v>
          </cell>
          <cell r="E567">
            <v>45840.463900000002</v>
          </cell>
          <cell r="F567">
            <v>45658</v>
          </cell>
          <cell r="G567" t="str">
            <v>C</v>
          </cell>
          <cell r="H567" t="str">
            <v>D</v>
          </cell>
          <cell r="I567" t="str">
            <v>D</v>
          </cell>
          <cell r="J567" t="str">
            <v>D</v>
          </cell>
          <cell r="K567" t="str">
            <v>C</v>
          </cell>
          <cell r="L567" t="str">
            <v>A</v>
          </cell>
          <cell r="M567" t="str">
            <v>B</v>
          </cell>
          <cell r="N567" t="str">
            <v>A</v>
          </cell>
          <cell r="O567" t="str">
            <v>A</v>
          </cell>
          <cell r="P567" t="str">
            <v>A</v>
          </cell>
          <cell r="Q567" t="str">
            <v>B</v>
          </cell>
          <cell r="R567" t="str">
            <v>A</v>
          </cell>
          <cell r="X567">
            <v>56.4</v>
          </cell>
        </row>
        <row r="568">
          <cell r="C568">
            <v>40779917</v>
          </cell>
          <cell r="D568" t="str">
            <v>ТОВ "ЮА-ФАРМ"</v>
          </cell>
          <cell r="E568">
            <v>45700.668400000002</v>
          </cell>
          <cell r="F568">
            <v>45566</v>
          </cell>
          <cell r="G568" t="str">
            <v>E</v>
          </cell>
          <cell r="H568" t="str">
            <v>B</v>
          </cell>
          <cell r="I568" t="str">
            <v>B</v>
          </cell>
          <cell r="J568" t="str">
            <v>A</v>
          </cell>
          <cell r="K568" t="str">
            <v>B</v>
          </cell>
          <cell r="L568" t="str">
            <v>A</v>
          </cell>
          <cell r="M568" t="str">
            <v>A</v>
          </cell>
          <cell r="N568" t="str">
            <v>B</v>
          </cell>
          <cell r="O568" t="str">
            <v>A</v>
          </cell>
          <cell r="P568" t="str">
            <v>C</v>
          </cell>
          <cell r="Q568" t="str">
            <v>B</v>
          </cell>
          <cell r="R568" t="str">
            <v>A</v>
          </cell>
          <cell r="X568">
            <v>56.500000000000007</v>
          </cell>
        </row>
        <row r="569">
          <cell r="C569">
            <v>40822312</v>
          </cell>
          <cell r="D569" t="str">
            <v>ТзОВ "ПОДОРОЖНИК СТАНІСЛАВ"</v>
          </cell>
          <cell r="E569">
            <v>45812</v>
          </cell>
          <cell r="F569">
            <v>45658</v>
          </cell>
          <cell r="G569" t="str">
            <v>B</v>
          </cell>
          <cell r="H569" t="str">
            <v>B</v>
          </cell>
          <cell r="I569" t="str">
            <v>B</v>
          </cell>
          <cell r="J569" t="str">
            <v>A</v>
          </cell>
          <cell r="K569" t="str">
            <v>A</v>
          </cell>
          <cell r="L569" t="str">
            <v>A</v>
          </cell>
          <cell r="M569" t="str">
            <v>A</v>
          </cell>
          <cell r="N569" t="str">
            <v>A</v>
          </cell>
          <cell r="O569" t="str">
            <v>A</v>
          </cell>
          <cell r="P569" t="str">
            <v>A</v>
          </cell>
          <cell r="Q569" t="str">
            <v>A</v>
          </cell>
          <cell r="R569" t="str">
            <v>C</v>
          </cell>
          <cell r="X569">
            <v>69.599999999999994</v>
          </cell>
        </row>
        <row r="570">
          <cell r="C570">
            <v>40828948</v>
          </cell>
          <cell r="D570" t="str">
            <v>ТОВ "НАШ ПАПІР ПЛЮС"</v>
          </cell>
          <cell r="E570">
            <v>45776.485999999997</v>
          </cell>
          <cell r="F570">
            <v>45658</v>
          </cell>
          <cell r="G570" t="str">
            <v>E</v>
          </cell>
          <cell r="H570" t="str">
            <v>A</v>
          </cell>
          <cell r="I570" t="str">
            <v>B</v>
          </cell>
          <cell r="J570" t="str">
            <v>A</v>
          </cell>
          <cell r="K570" t="str">
            <v>C</v>
          </cell>
          <cell r="L570" t="str">
            <v>A</v>
          </cell>
          <cell r="M570" t="str">
            <v>A</v>
          </cell>
          <cell r="N570" t="str">
            <v>B</v>
          </cell>
          <cell r="O570" t="str">
            <v>A</v>
          </cell>
          <cell r="P570" t="str">
            <v>C</v>
          </cell>
          <cell r="Q570" t="str">
            <v>B</v>
          </cell>
          <cell r="R570" t="str">
            <v>A</v>
          </cell>
          <cell r="X570">
            <v>58.1</v>
          </cell>
        </row>
        <row r="571">
          <cell r="C571">
            <v>40849224</v>
          </cell>
          <cell r="D571" t="str">
            <v>ТОВ "ІЗМАЇЛ-ТРАНСБАЛКТЕРМІНАЛ"</v>
          </cell>
          <cell r="E571">
            <v>45880.410499999998</v>
          </cell>
          <cell r="F571">
            <v>45748</v>
          </cell>
          <cell r="G571" t="str">
            <v>E</v>
          </cell>
          <cell r="H571" t="str">
            <v>B</v>
          </cell>
          <cell r="I571" t="str">
            <v>B</v>
          </cell>
          <cell r="J571" t="str">
            <v>D</v>
          </cell>
          <cell r="K571" t="str">
            <v>D</v>
          </cell>
          <cell r="L571" t="str">
            <v>B</v>
          </cell>
          <cell r="M571" t="str">
            <v>A</v>
          </cell>
          <cell r="N571" t="str">
            <v>B</v>
          </cell>
          <cell r="O571" t="str">
            <v>B</v>
          </cell>
          <cell r="P571" t="str">
            <v>B</v>
          </cell>
          <cell r="Q571" t="str">
            <v>B</v>
          </cell>
          <cell r="R571" t="str">
            <v>C</v>
          </cell>
          <cell r="X571">
            <v>48.300000000000004</v>
          </cell>
        </row>
        <row r="572">
          <cell r="C572">
            <v>40853644</v>
          </cell>
          <cell r="D572" t="str">
            <v>ТОВ "ВСМК-ТРЕЙД"</v>
          </cell>
          <cell r="E572">
            <v>45707.530100000004</v>
          </cell>
          <cell r="F572">
            <v>45566</v>
          </cell>
          <cell r="G572" t="str">
            <v>C</v>
          </cell>
          <cell r="H572" t="str">
            <v>C</v>
          </cell>
          <cell r="I572" t="str">
            <v>B</v>
          </cell>
          <cell r="J572" t="str">
            <v>C</v>
          </cell>
          <cell r="K572" t="str">
            <v>D</v>
          </cell>
          <cell r="L572" t="str">
            <v>B</v>
          </cell>
          <cell r="M572" t="str">
            <v>B</v>
          </cell>
          <cell r="N572" t="str">
            <v>B</v>
          </cell>
          <cell r="O572" t="str">
            <v>B</v>
          </cell>
          <cell r="P572" t="str">
            <v>C</v>
          </cell>
          <cell r="Q572" t="str">
            <v>C</v>
          </cell>
          <cell r="R572" t="str">
            <v>B</v>
          </cell>
          <cell r="X572">
            <v>40.699999999999996</v>
          </cell>
        </row>
        <row r="573">
          <cell r="C573">
            <v>40856467</v>
          </cell>
          <cell r="D573" t="str">
            <v>ТОВ "КУБЛИЧ ГРЕЙН"</v>
          </cell>
          <cell r="E573">
            <v>45853</v>
          </cell>
          <cell r="F573">
            <v>45658</v>
          </cell>
          <cell r="G573" t="str">
            <v>E</v>
          </cell>
          <cell r="H573" t="str">
            <v>B</v>
          </cell>
          <cell r="I573" t="str">
            <v>B</v>
          </cell>
          <cell r="J573" t="str">
            <v>B</v>
          </cell>
          <cell r="K573" t="str">
            <v>D</v>
          </cell>
          <cell r="L573" t="str">
            <v>B</v>
          </cell>
          <cell r="M573" t="str">
            <v>A</v>
          </cell>
          <cell r="N573" t="str">
            <v>B</v>
          </cell>
          <cell r="O573" t="str">
            <v>A</v>
          </cell>
          <cell r="P573" t="str">
            <v>B</v>
          </cell>
          <cell r="Q573" t="str">
            <v>B</v>
          </cell>
          <cell r="R573" t="str">
            <v>C</v>
          </cell>
          <cell r="X573">
            <v>46.7</v>
          </cell>
        </row>
        <row r="574">
          <cell r="C574">
            <v>40866700</v>
          </cell>
          <cell r="D574" t="str">
            <v>ТОВ "АМІКУМ ФАРМА"</v>
          </cell>
          <cell r="E574">
            <v>45681.486799999999</v>
          </cell>
          <cell r="F574">
            <v>45566</v>
          </cell>
          <cell r="G574" t="str">
            <v>E</v>
          </cell>
          <cell r="H574" t="str">
            <v>B</v>
          </cell>
          <cell r="I574" t="str">
            <v>C</v>
          </cell>
          <cell r="J574" t="str">
            <v>B</v>
          </cell>
          <cell r="K574" t="str">
            <v>D</v>
          </cell>
          <cell r="L574" t="str">
            <v>B</v>
          </cell>
          <cell r="M574" t="str">
            <v>A</v>
          </cell>
          <cell r="N574" t="str">
            <v>B</v>
          </cell>
          <cell r="O574" t="str">
            <v>A</v>
          </cell>
          <cell r="P574" t="str">
            <v>C</v>
          </cell>
          <cell r="Q574" t="str">
            <v>B</v>
          </cell>
          <cell r="R574" t="str">
            <v>A</v>
          </cell>
          <cell r="X574">
            <v>42.9</v>
          </cell>
        </row>
        <row r="575">
          <cell r="C575">
            <v>40890272</v>
          </cell>
          <cell r="D575" t="str">
            <v>ТОВ "Олмас"</v>
          </cell>
          <cell r="E575">
            <v>45949.937700000002</v>
          </cell>
          <cell r="F575">
            <v>45658</v>
          </cell>
          <cell r="G575" t="str">
            <v>D</v>
          </cell>
          <cell r="H575" t="str">
            <v>B</v>
          </cell>
          <cell r="I575" t="str">
            <v>B</v>
          </cell>
          <cell r="J575" t="str">
            <v>B</v>
          </cell>
          <cell r="K575" t="str">
            <v>B</v>
          </cell>
          <cell r="L575" t="str">
            <v>A</v>
          </cell>
          <cell r="M575" t="str">
            <v>A</v>
          </cell>
          <cell r="N575" t="str">
            <v>B</v>
          </cell>
          <cell r="O575" t="str">
            <v>A</v>
          </cell>
          <cell r="P575" t="str">
            <v>A</v>
          </cell>
          <cell r="Q575" t="str">
            <v>B</v>
          </cell>
          <cell r="R575" t="str">
            <v>A</v>
          </cell>
          <cell r="X575">
            <v>67.100000000000009</v>
          </cell>
        </row>
        <row r="576">
          <cell r="C576">
            <v>40902628</v>
          </cell>
          <cell r="D576" t="str">
            <v>ТОВ "КІЦМАНСЬКА СЕС"</v>
          </cell>
          <cell r="E576">
            <v>45596.7359</v>
          </cell>
          <cell r="F576">
            <v>45474</v>
          </cell>
          <cell r="G576" t="str">
            <v>E</v>
          </cell>
          <cell r="H576" t="str">
            <v>C</v>
          </cell>
          <cell r="I576" t="str">
            <v>B</v>
          </cell>
          <cell r="J576" t="str">
            <v>B</v>
          </cell>
          <cell r="K576" t="str">
            <v>A</v>
          </cell>
          <cell r="L576" t="str">
            <v>A</v>
          </cell>
          <cell r="M576" t="str">
            <v>A</v>
          </cell>
          <cell r="N576" t="str">
            <v>A</v>
          </cell>
          <cell r="O576" t="str">
            <v>A</v>
          </cell>
          <cell r="P576" t="str">
            <v>D</v>
          </cell>
          <cell r="Q576" t="str">
            <v>B</v>
          </cell>
          <cell r="R576" t="str">
            <v>C</v>
          </cell>
          <cell r="X576">
            <v>54.4</v>
          </cell>
        </row>
        <row r="577">
          <cell r="C577">
            <v>40916284</v>
          </cell>
          <cell r="D577" t="str">
            <v>ТОВ "ЮГ-ТРАНСПОРТ ЛТД"</v>
          </cell>
          <cell r="E577">
            <v>45561.710299999999</v>
          </cell>
          <cell r="F577">
            <v>45474</v>
          </cell>
          <cell r="G577" t="str">
            <v>E</v>
          </cell>
          <cell r="H577" t="str">
            <v>B</v>
          </cell>
          <cell r="I577" t="str">
            <v>D</v>
          </cell>
          <cell r="J577" t="str">
            <v>A</v>
          </cell>
          <cell r="K577" t="str">
            <v>D</v>
          </cell>
          <cell r="L577" t="str">
            <v>B</v>
          </cell>
          <cell r="M577" t="str">
            <v>A</v>
          </cell>
          <cell r="N577" t="str">
            <v>B</v>
          </cell>
          <cell r="O577" t="str">
            <v>A</v>
          </cell>
          <cell r="P577" t="str">
            <v>C</v>
          </cell>
          <cell r="Q577" t="str">
            <v>C</v>
          </cell>
          <cell r="R577" t="str">
            <v>B</v>
          </cell>
          <cell r="X577">
            <v>35.9</v>
          </cell>
        </row>
        <row r="578">
          <cell r="C578">
            <v>40933551</v>
          </cell>
          <cell r="D578" t="str">
            <v>ТзОВ "Імпері Моторз"</v>
          </cell>
          <cell r="E578">
            <v>45832.630499999999</v>
          </cell>
          <cell r="F578">
            <v>45748</v>
          </cell>
          <cell r="G578" t="str">
            <v>E</v>
          </cell>
          <cell r="H578" t="str">
            <v>B</v>
          </cell>
          <cell r="I578" t="str">
            <v>B</v>
          </cell>
          <cell r="J578" t="str">
            <v>B</v>
          </cell>
          <cell r="K578" t="str">
            <v>D</v>
          </cell>
          <cell r="L578" t="str">
            <v>A</v>
          </cell>
          <cell r="M578" t="str">
            <v>B</v>
          </cell>
          <cell r="N578" t="str">
            <v>B</v>
          </cell>
          <cell r="O578" t="str">
            <v>A</v>
          </cell>
          <cell r="P578" t="str">
            <v>C</v>
          </cell>
          <cell r="Q578" t="str">
            <v>B</v>
          </cell>
          <cell r="R578" t="str">
            <v>A</v>
          </cell>
          <cell r="X578">
            <v>49.300000000000004</v>
          </cell>
        </row>
        <row r="579">
          <cell r="C579">
            <v>40950713</v>
          </cell>
          <cell r="D579" t="str">
            <v>ТОВ "ТЕРМАСТІЛ ЛСТК"</v>
          </cell>
          <cell r="E579">
            <v>45800.503100000002</v>
          </cell>
          <cell r="F579">
            <v>45566</v>
          </cell>
          <cell r="G579" t="str">
            <v>E</v>
          </cell>
          <cell r="H579" t="str">
            <v>B</v>
          </cell>
          <cell r="I579" t="str">
            <v>B</v>
          </cell>
          <cell r="J579" t="str">
            <v>B</v>
          </cell>
          <cell r="K579" t="str">
            <v>D</v>
          </cell>
          <cell r="L579" t="str">
            <v>B</v>
          </cell>
          <cell r="M579" t="str">
            <v>A</v>
          </cell>
          <cell r="N579" t="str">
            <v>B</v>
          </cell>
          <cell r="O579" t="str">
            <v>A</v>
          </cell>
          <cell r="P579" t="str">
            <v>C</v>
          </cell>
          <cell r="Q579" t="str">
            <v>C</v>
          </cell>
          <cell r="R579" t="str">
            <v>B</v>
          </cell>
          <cell r="X579">
            <v>45.499999999999993</v>
          </cell>
        </row>
        <row r="580">
          <cell r="C580">
            <v>40951041</v>
          </cell>
          <cell r="D580" t="str">
            <v>ТОВ "ТЕРМАСТІЛ ПРОФІЛЬ"</v>
          </cell>
          <cell r="E580">
            <v>45800.503100000002</v>
          </cell>
          <cell r="F580">
            <v>45566</v>
          </cell>
          <cell r="G580" t="str">
            <v>E</v>
          </cell>
          <cell r="H580" t="str">
            <v>B</v>
          </cell>
          <cell r="I580" t="str">
            <v>B</v>
          </cell>
          <cell r="J580" t="str">
            <v>B</v>
          </cell>
          <cell r="K580" t="str">
            <v>D</v>
          </cell>
          <cell r="L580" t="str">
            <v>B</v>
          </cell>
          <cell r="M580" t="str">
            <v>A</v>
          </cell>
          <cell r="N580" t="str">
            <v>B</v>
          </cell>
          <cell r="O580" t="str">
            <v>A</v>
          </cell>
          <cell r="P580" t="str">
            <v>C</v>
          </cell>
          <cell r="Q580" t="str">
            <v>C</v>
          </cell>
          <cell r="R580" t="str">
            <v>B</v>
          </cell>
          <cell r="X580">
            <v>45.499999999999993</v>
          </cell>
        </row>
        <row r="581">
          <cell r="C581">
            <v>40968046</v>
          </cell>
          <cell r="D581" t="str">
            <v>ТОВ "КРОНАС-ТРЕЙД"</v>
          </cell>
          <cell r="E581">
            <v>45860.739300000001</v>
          </cell>
          <cell r="F581">
            <v>45748</v>
          </cell>
          <cell r="G581" t="str">
            <v>E</v>
          </cell>
          <cell r="H581" t="str">
            <v>C</v>
          </cell>
          <cell r="I581" t="str">
            <v>B</v>
          </cell>
          <cell r="J581" t="str">
            <v>D</v>
          </cell>
          <cell r="K581" t="str">
            <v>D</v>
          </cell>
          <cell r="L581" t="str">
            <v>A</v>
          </cell>
          <cell r="M581" t="str">
            <v>A</v>
          </cell>
          <cell r="N581" t="str">
            <v>B</v>
          </cell>
          <cell r="O581" t="str">
            <v>A</v>
          </cell>
          <cell r="P581" t="str">
            <v>C</v>
          </cell>
          <cell r="Q581" t="str">
            <v>B</v>
          </cell>
          <cell r="R581" t="str">
            <v>B</v>
          </cell>
          <cell r="X581">
            <v>55.7</v>
          </cell>
        </row>
        <row r="582">
          <cell r="C582">
            <v>40969787</v>
          </cell>
          <cell r="D582" t="str">
            <v>ТОВ "Алма Фасіліті Груп"</v>
          </cell>
          <cell r="E582">
            <v>45792.5386</v>
          </cell>
          <cell r="F582">
            <v>45658</v>
          </cell>
          <cell r="G582" t="str">
            <v>E</v>
          </cell>
          <cell r="H582" t="str">
            <v>C</v>
          </cell>
          <cell r="I582" t="str">
            <v>B</v>
          </cell>
          <cell r="J582" t="str">
            <v>A</v>
          </cell>
          <cell r="K582" t="str">
            <v>D</v>
          </cell>
          <cell r="L582" t="str">
            <v>A</v>
          </cell>
          <cell r="M582" t="str">
            <v>A</v>
          </cell>
          <cell r="N582" t="str">
            <v>B</v>
          </cell>
          <cell r="O582" t="str">
            <v>A</v>
          </cell>
          <cell r="P582" t="str">
            <v>C</v>
          </cell>
          <cell r="Q582" t="str">
            <v>B</v>
          </cell>
          <cell r="R582" t="str">
            <v>A</v>
          </cell>
          <cell r="X582">
            <v>51.3</v>
          </cell>
        </row>
        <row r="583">
          <cell r="C583">
            <v>40995492</v>
          </cell>
          <cell r="D583" t="str">
            <v>ТОВ  "СВІТ СТАР"</v>
          </cell>
          <cell r="E583">
            <v>45581</v>
          </cell>
          <cell r="F583">
            <v>45474</v>
          </cell>
          <cell r="G583" t="str">
            <v>E</v>
          </cell>
          <cell r="H583" t="str">
            <v>A</v>
          </cell>
          <cell r="I583" t="str">
            <v>B</v>
          </cell>
          <cell r="J583" t="str">
            <v>C</v>
          </cell>
          <cell r="K583" t="str">
            <v>B</v>
          </cell>
          <cell r="L583" t="str">
            <v>A</v>
          </cell>
          <cell r="M583" t="str">
            <v>A</v>
          </cell>
          <cell r="N583" t="str">
            <v>B</v>
          </cell>
          <cell r="O583" t="str">
            <v>A</v>
          </cell>
          <cell r="P583" t="str">
            <v>C</v>
          </cell>
          <cell r="Q583" t="str">
            <v>B</v>
          </cell>
          <cell r="R583" t="str">
            <v>A</v>
          </cell>
          <cell r="X583">
            <v>64.5</v>
          </cell>
        </row>
        <row r="584">
          <cell r="C584">
            <v>41003486</v>
          </cell>
          <cell r="D584" t="str">
            <v>ТОВ "ІТ-ДЕВЕЛОПМЕНТ"</v>
          </cell>
          <cell r="E584">
            <v>45660.003700000001</v>
          </cell>
          <cell r="F584">
            <v>45566</v>
          </cell>
          <cell r="G584" t="str">
            <v>E</v>
          </cell>
          <cell r="H584" t="str">
            <v>A</v>
          </cell>
          <cell r="I584" t="str">
            <v>B</v>
          </cell>
          <cell r="J584" t="str">
            <v>B</v>
          </cell>
          <cell r="K584" t="str">
            <v>D</v>
          </cell>
          <cell r="L584" t="str">
            <v>A</v>
          </cell>
          <cell r="M584" t="str">
            <v>A</v>
          </cell>
          <cell r="N584" t="str">
            <v>B</v>
          </cell>
          <cell r="O584" t="str">
            <v>A</v>
          </cell>
          <cell r="P584" t="str">
            <v>B</v>
          </cell>
          <cell r="Q584" t="str">
            <v>B</v>
          </cell>
          <cell r="R584" t="str">
            <v>A</v>
          </cell>
          <cell r="X584">
            <v>59.900000000000006</v>
          </cell>
        </row>
        <row r="585">
          <cell r="C585">
            <v>41030906</v>
          </cell>
          <cell r="D585" t="str">
            <v>ТОВ "АРТ-ЛЕКС ЛТД"</v>
          </cell>
          <cell r="E585">
            <v>45785.753100000002</v>
          </cell>
          <cell r="F585">
            <v>45658</v>
          </cell>
          <cell r="G585" t="str">
            <v>E</v>
          </cell>
          <cell r="H585" t="str">
            <v>B</v>
          </cell>
          <cell r="I585" t="str">
            <v>B</v>
          </cell>
          <cell r="J585" t="str">
            <v>A</v>
          </cell>
          <cell r="K585" t="str">
            <v>D</v>
          </cell>
          <cell r="L585" t="str">
            <v>B</v>
          </cell>
          <cell r="M585" t="str">
            <v>A</v>
          </cell>
          <cell r="N585" t="str">
            <v>C</v>
          </cell>
          <cell r="O585" t="str">
            <v>A</v>
          </cell>
          <cell r="P585" t="str">
            <v>C</v>
          </cell>
          <cell r="Q585" t="str">
            <v>B</v>
          </cell>
          <cell r="R585" t="str">
            <v>C</v>
          </cell>
          <cell r="X585">
            <v>40.6</v>
          </cell>
        </row>
        <row r="586">
          <cell r="C586">
            <v>41051402</v>
          </cell>
          <cell r="D586" t="str">
            <v>ТОВ "ВСЕСВІТ-ОЙЛ-ГРУП "</v>
          </cell>
          <cell r="E586">
            <v>45594.640299999999</v>
          </cell>
          <cell r="F586">
            <v>45474</v>
          </cell>
          <cell r="G586" t="str">
            <v>E</v>
          </cell>
          <cell r="H586" t="str">
            <v>B</v>
          </cell>
          <cell r="I586" t="str">
            <v>B</v>
          </cell>
          <cell r="J586" t="str">
            <v>B</v>
          </cell>
          <cell r="K586" t="str">
            <v>E</v>
          </cell>
          <cell r="L586" t="str">
            <v>B</v>
          </cell>
          <cell r="M586" t="str">
            <v>A</v>
          </cell>
          <cell r="N586" t="str">
            <v>B</v>
          </cell>
          <cell r="O586" t="str">
            <v>A</v>
          </cell>
          <cell r="P586" t="str">
            <v>C</v>
          </cell>
          <cell r="Q586" t="str">
            <v>B</v>
          </cell>
          <cell r="R586" t="str">
            <v>C</v>
          </cell>
          <cell r="X586">
            <v>43.7</v>
          </cell>
        </row>
        <row r="587">
          <cell r="C587">
            <v>41065242</v>
          </cell>
          <cell r="D587" t="str">
            <v>ТОВ "АГРІКОН-ПІВДЕНЬ"</v>
          </cell>
          <cell r="E587">
            <v>45912.671999999999</v>
          </cell>
          <cell r="F587">
            <v>45839</v>
          </cell>
          <cell r="G587" t="str">
            <v>E</v>
          </cell>
          <cell r="H587" t="str">
            <v>A</v>
          </cell>
          <cell r="I587" t="str">
            <v>B</v>
          </cell>
          <cell r="J587" t="str">
            <v>A</v>
          </cell>
          <cell r="K587" t="str">
            <v>C</v>
          </cell>
          <cell r="L587" t="str">
            <v>A</v>
          </cell>
          <cell r="M587" t="str">
            <v>A</v>
          </cell>
          <cell r="N587" t="str">
            <v>B</v>
          </cell>
          <cell r="O587" t="str">
            <v>A</v>
          </cell>
          <cell r="P587" t="str">
            <v>C</v>
          </cell>
          <cell r="Q587" t="str">
            <v>B</v>
          </cell>
          <cell r="R587" t="str">
            <v>A</v>
          </cell>
          <cell r="X587">
            <v>58.1</v>
          </cell>
        </row>
        <row r="588">
          <cell r="C588">
            <v>41071408</v>
          </cell>
          <cell r="D588" t="str">
            <v>ТОВ "ГРЕЙН-ТРАНСШИПМЕНТ"</v>
          </cell>
          <cell r="E588">
            <v>45940.369500000001</v>
          </cell>
          <cell r="F588">
            <v>45839</v>
          </cell>
          <cell r="G588" t="str">
            <v>E</v>
          </cell>
          <cell r="H588" t="str">
            <v>B</v>
          </cell>
          <cell r="I588" t="str">
            <v>A</v>
          </cell>
          <cell r="J588" t="str">
            <v>C</v>
          </cell>
          <cell r="K588" t="str">
            <v>F</v>
          </cell>
          <cell r="L588" t="str">
            <v>B</v>
          </cell>
          <cell r="M588" t="str">
            <v>A</v>
          </cell>
          <cell r="N588" t="str">
            <v>B</v>
          </cell>
          <cell r="O588" t="str">
            <v>A</v>
          </cell>
          <cell r="P588" t="str">
            <v>C</v>
          </cell>
          <cell r="Q588" t="str">
            <v>C</v>
          </cell>
          <cell r="R588" t="str">
            <v>B</v>
          </cell>
          <cell r="X588">
            <v>40.699999999999996</v>
          </cell>
        </row>
        <row r="589">
          <cell r="C589">
            <v>41072621</v>
          </cell>
          <cell r="D589" t="str">
            <v>ТОВ "ТД "Егрітек"</v>
          </cell>
          <cell r="E589">
            <v>45825</v>
          </cell>
          <cell r="F589">
            <v>45658</v>
          </cell>
          <cell r="G589" t="str">
            <v>B</v>
          </cell>
          <cell r="H589" t="str">
            <v>B</v>
          </cell>
          <cell r="I589" t="str">
            <v>B</v>
          </cell>
          <cell r="J589" t="str">
            <v>C</v>
          </cell>
          <cell r="K589" t="str">
            <v>D</v>
          </cell>
          <cell r="L589" t="str">
            <v>A</v>
          </cell>
          <cell r="M589" t="str">
            <v>C</v>
          </cell>
          <cell r="N589" t="str">
            <v>A</v>
          </cell>
          <cell r="O589" t="str">
            <v>A</v>
          </cell>
          <cell r="P589" t="str">
            <v>C</v>
          </cell>
          <cell r="Q589" t="str">
            <v>B</v>
          </cell>
          <cell r="R589" t="str">
            <v>A</v>
          </cell>
          <cell r="X589">
            <v>62.2</v>
          </cell>
        </row>
        <row r="590">
          <cell r="C590">
            <v>41091712</v>
          </cell>
          <cell r="D590" t="str">
            <v>ТОВ "АГРО-СОНЦЕ"</v>
          </cell>
          <cell r="E590">
            <v>45666</v>
          </cell>
          <cell r="F590">
            <v>45474</v>
          </cell>
          <cell r="G590" t="str">
            <v>E</v>
          </cell>
          <cell r="H590" t="str">
            <v>C</v>
          </cell>
          <cell r="I590" t="str">
            <v>B</v>
          </cell>
          <cell r="J590" t="str">
            <v>B</v>
          </cell>
          <cell r="K590" t="str">
            <v>E</v>
          </cell>
          <cell r="L590" t="str">
            <v>B</v>
          </cell>
          <cell r="M590" t="str">
            <v>B</v>
          </cell>
          <cell r="N590" t="str">
            <v>B</v>
          </cell>
          <cell r="O590" t="str">
            <v>A</v>
          </cell>
          <cell r="P590" t="str">
            <v>C</v>
          </cell>
          <cell r="Q590" t="str">
            <v>C</v>
          </cell>
          <cell r="R590" t="str">
            <v>A</v>
          </cell>
          <cell r="X590">
            <v>39.9</v>
          </cell>
        </row>
        <row r="591">
          <cell r="C591">
            <v>41099127</v>
          </cell>
          <cell r="D591" t="str">
            <v>ТОВ "ЗАХІДНА АГРОВИРОБНИЧА КОМПАНІЯ"</v>
          </cell>
          <cell r="E591">
            <v>45902.750800000002</v>
          </cell>
          <cell r="F591">
            <v>45658</v>
          </cell>
          <cell r="G591" t="str">
            <v>D</v>
          </cell>
          <cell r="H591" t="str">
            <v>B</v>
          </cell>
          <cell r="I591" t="str">
            <v>B</v>
          </cell>
          <cell r="J591" t="str">
            <v>C</v>
          </cell>
          <cell r="K591" t="str">
            <v>E</v>
          </cell>
          <cell r="L591" t="str">
            <v>B</v>
          </cell>
          <cell r="M591" t="str">
            <v>B</v>
          </cell>
          <cell r="N591" t="str">
            <v>D</v>
          </cell>
          <cell r="O591" t="str">
            <v>B</v>
          </cell>
          <cell r="P591" t="str">
            <v>C</v>
          </cell>
          <cell r="Q591" t="str">
            <v>C</v>
          </cell>
          <cell r="R591" t="str">
            <v>A</v>
          </cell>
          <cell r="X591">
            <v>41.6</v>
          </cell>
        </row>
        <row r="592">
          <cell r="C592">
            <v>41102844</v>
          </cell>
          <cell r="D592" t="str">
            <v>ТОВ "ВП "ПОЛІССЯ"</v>
          </cell>
          <cell r="E592">
            <v>45902.750800000002</v>
          </cell>
          <cell r="F592">
            <v>45658</v>
          </cell>
          <cell r="G592" t="str">
            <v>D</v>
          </cell>
          <cell r="H592" t="str">
            <v>B</v>
          </cell>
          <cell r="I592" t="str">
            <v>B</v>
          </cell>
          <cell r="J592" t="str">
            <v>C</v>
          </cell>
          <cell r="K592" t="str">
            <v>E</v>
          </cell>
          <cell r="L592" t="str">
            <v>B</v>
          </cell>
          <cell r="M592" t="str">
            <v>B</v>
          </cell>
          <cell r="N592" t="str">
            <v>D</v>
          </cell>
          <cell r="O592" t="str">
            <v>B</v>
          </cell>
          <cell r="P592" t="str">
            <v>C</v>
          </cell>
          <cell r="Q592" t="str">
            <v>C</v>
          </cell>
          <cell r="R592" t="str">
            <v>A</v>
          </cell>
          <cell r="X592">
            <v>41.6</v>
          </cell>
        </row>
        <row r="593">
          <cell r="C593">
            <v>41103827</v>
          </cell>
          <cell r="D593" t="str">
            <v>ТОВ "АГРО-КРАЙ"</v>
          </cell>
          <cell r="E593">
            <v>45902.750800000002</v>
          </cell>
          <cell r="F593">
            <v>45658</v>
          </cell>
          <cell r="G593" t="str">
            <v>D</v>
          </cell>
          <cell r="H593" t="str">
            <v>B</v>
          </cell>
          <cell r="I593" t="str">
            <v>B</v>
          </cell>
          <cell r="J593" t="str">
            <v>C</v>
          </cell>
          <cell r="K593" t="str">
            <v>E</v>
          </cell>
          <cell r="L593" t="str">
            <v>B</v>
          </cell>
          <cell r="M593" t="str">
            <v>B</v>
          </cell>
          <cell r="N593" t="str">
            <v>D</v>
          </cell>
          <cell r="O593" t="str">
            <v>B</v>
          </cell>
          <cell r="P593" t="str">
            <v>C</v>
          </cell>
          <cell r="Q593" t="str">
            <v>C</v>
          </cell>
          <cell r="R593" t="str">
            <v>A</v>
          </cell>
          <cell r="X593">
            <v>41.6</v>
          </cell>
        </row>
        <row r="594">
          <cell r="C594">
            <v>41104731</v>
          </cell>
          <cell r="D594" t="str">
            <v>ТОВ "РАЙЗ-СХІД"</v>
          </cell>
          <cell r="E594">
            <v>45902.750800000002</v>
          </cell>
          <cell r="F594">
            <v>45658</v>
          </cell>
          <cell r="G594" t="str">
            <v>D</v>
          </cell>
          <cell r="H594" t="str">
            <v>B</v>
          </cell>
          <cell r="I594" t="str">
            <v>B</v>
          </cell>
          <cell r="J594" t="str">
            <v>C</v>
          </cell>
          <cell r="K594" t="str">
            <v>E</v>
          </cell>
          <cell r="L594" t="str">
            <v>B</v>
          </cell>
          <cell r="M594" t="str">
            <v>B</v>
          </cell>
          <cell r="N594" t="str">
            <v>D</v>
          </cell>
          <cell r="O594" t="str">
            <v>B</v>
          </cell>
          <cell r="P594" t="str">
            <v>C</v>
          </cell>
          <cell r="Q594" t="str">
            <v>C</v>
          </cell>
          <cell r="R594" t="str">
            <v>A</v>
          </cell>
          <cell r="X594">
            <v>41.6</v>
          </cell>
        </row>
        <row r="595">
          <cell r="C595">
            <v>41104967</v>
          </cell>
          <cell r="D595" t="str">
            <v>ТОВ "ПОДІЛЛЯ АГРОПРОДУКТ"</v>
          </cell>
          <cell r="E595">
            <v>45902.750800000002</v>
          </cell>
          <cell r="F595">
            <v>45658</v>
          </cell>
          <cell r="G595" t="str">
            <v>D</v>
          </cell>
          <cell r="H595" t="str">
            <v>B</v>
          </cell>
          <cell r="I595" t="str">
            <v>B</v>
          </cell>
          <cell r="J595" t="str">
            <v>C</v>
          </cell>
          <cell r="K595" t="str">
            <v>E</v>
          </cell>
          <cell r="L595" t="str">
            <v>B</v>
          </cell>
          <cell r="M595" t="str">
            <v>B</v>
          </cell>
          <cell r="N595" t="str">
            <v>D</v>
          </cell>
          <cell r="O595" t="str">
            <v>B</v>
          </cell>
          <cell r="P595" t="str">
            <v>C</v>
          </cell>
          <cell r="Q595" t="str">
            <v>C</v>
          </cell>
          <cell r="R595" t="str">
            <v>A</v>
          </cell>
          <cell r="X595">
            <v>41.6</v>
          </cell>
        </row>
        <row r="596">
          <cell r="C596">
            <v>41119376</v>
          </cell>
          <cell r="D596" t="str">
            <v>ТОВ "ЕС ДЖЕЙ ПРОФІЛЬ УКРАЇНА"</v>
          </cell>
          <cell r="E596">
            <v>45742.4493</v>
          </cell>
          <cell r="F596">
            <v>45566</v>
          </cell>
          <cell r="G596" t="str">
            <v>E</v>
          </cell>
          <cell r="H596" t="str">
            <v>C</v>
          </cell>
          <cell r="I596" t="str">
            <v>B</v>
          </cell>
          <cell r="J596" t="str">
            <v>B</v>
          </cell>
          <cell r="K596" t="str">
            <v>D</v>
          </cell>
          <cell r="L596" t="str">
            <v>B</v>
          </cell>
          <cell r="M596" t="str">
            <v>A</v>
          </cell>
          <cell r="N596" t="str">
            <v>A</v>
          </cell>
          <cell r="O596" t="str">
            <v>A</v>
          </cell>
          <cell r="P596" t="str">
            <v>C</v>
          </cell>
          <cell r="Q596" t="str">
            <v>B</v>
          </cell>
          <cell r="R596" t="str">
            <v>B</v>
          </cell>
          <cell r="X596">
            <v>49</v>
          </cell>
        </row>
        <row r="597">
          <cell r="C597">
            <v>41133867</v>
          </cell>
          <cell r="D597" t="str">
            <v>ТОВ "АГРО КОНТИНЕНТАЛЬ"</v>
          </cell>
          <cell r="E597">
            <v>45960.427199999998</v>
          </cell>
          <cell r="F597">
            <v>45839</v>
          </cell>
          <cell r="G597" t="str">
            <v>E</v>
          </cell>
          <cell r="H597" t="str">
            <v>A</v>
          </cell>
          <cell r="I597" t="str">
            <v>B</v>
          </cell>
          <cell r="J597" t="str">
            <v>A</v>
          </cell>
          <cell r="K597" t="str">
            <v>D</v>
          </cell>
          <cell r="L597" t="str">
            <v>B</v>
          </cell>
          <cell r="M597" t="str">
            <v>A</v>
          </cell>
          <cell r="N597" t="str">
            <v>B</v>
          </cell>
          <cell r="O597" t="str">
            <v>A</v>
          </cell>
          <cell r="P597" t="str">
            <v>C</v>
          </cell>
          <cell r="Q597" t="str">
            <v>C</v>
          </cell>
          <cell r="R597" t="str">
            <v>A</v>
          </cell>
          <cell r="X597">
            <v>48.699999999999996</v>
          </cell>
        </row>
        <row r="598">
          <cell r="C598">
            <v>41141616</v>
          </cell>
          <cell r="D598" t="str">
            <v>ПП "СМАК-ЛЮКС-Т"</v>
          </cell>
          <cell r="E598">
            <v>45932.666899999997</v>
          </cell>
          <cell r="F598">
            <v>45839</v>
          </cell>
          <cell r="G598" t="str">
            <v>E</v>
          </cell>
          <cell r="H598" t="str">
            <v>A</v>
          </cell>
          <cell r="I598" t="str">
            <v>B</v>
          </cell>
          <cell r="J598" t="str">
            <v>A</v>
          </cell>
          <cell r="K598" t="str">
            <v>D</v>
          </cell>
          <cell r="L598" t="str">
            <v>A</v>
          </cell>
          <cell r="M598" t="str">
            <v>A</v>
          </cell>
          <cell r="N598" t="str">
            <v>B</v>
          </cell>
          <cell r="O598" t="str">
            <v>A</v>
          </cell>
          <cell r="P598" t="str">
            <v>C</v>
          </cell>
          <cell r="Q598" t="str">
            <v>B</v>
          </cell>
          <cell r="R598" t="str">
            <v>A</v>
          </cell>
          <cell r="X598">
            <v>55.300000000000004</v>
          </cell>
        </row>
        <row r="599">
          <cell r="C599">
            <v>41160377</v>
          </cell>
          <cell r="D599" t="str">
            <v>ТОВ "ОРАНЖ ЕЛ ПІ ДЖІ"</v>
          </cell>
          <cell r="E599">
            <v>45777.461000000003</v>
          </cell>
          <cell r="F599">
            <v>45658</v>
          </cell>
          <cell r="G599" t="str">
            <v>E</v>
          </cell>
          <cell r="H599" t="str">
            <v>D</v>
          </cell>
          <cell r="I599" t="str">
            <v>B</v>
          </cell>
          <cell r="J599" t="str">
            <v>A</v>
          </cell>
          <cell r="K599" t="str">
            <v>D</v>
          </cell>
          <cell r="L599" t="str">
            <v>A</v>
          </cell>
          <cell r="M599" t="str">
            <v>A</v>
          </cell>
          <cell r="N599" t="str">
            <v>C</v>
          </cell>
          <cell r="O599" t="str">
            <v>A</v>
          </cell>
          <cell r="P599" t="str">
            <v>C</v>
          </cell>
          <cell r="Q599" t="str">
            <v>B</v>
          </cell>
          <cell r="R599" t="str">
            <v>A</v>
          </cell>
          <cell r="X599">
            <v>45.8</v>
          </cell>
        </row>
        <row r="600">
          <cell r="C600">
            <v>41199650</v>
          </cell>
          <cell r="D600" t="str">
            <v>ТЗОВ "ПОДОРОЖНИК КИЇВ"</v>
          </cell>
          <cell r="E600">
            <v>45812</v>
          </cell>
          <cell r="F600">
            <v>45658</v>
          </cell>
          <cell r="G600" t="str">
            <v>B</v>
          </cell>
          <cell r="H600" t="str">
            <v>B</v>
          </cell>
          <cell r="I600" t="str">
            <v>B</v>
          </cell>
          <cell r="J600" t="str">
            <v>A</v>
          </cell>
          <cell r="K600" t="str">
            <v>A</v>
          </cell>
          <cell r="L600" t="str">
            <v>A</v>
          </cell>
          <cell r="M600" t="str">
            <v>A</v>
          </cell>
          <cell r="N600" t="str">
            <v>A</v>
          </cell>
          <cell r="O600" t="str">
            <v>A</v>
          </cell>
          <cell r="P600" t="str">
            <v>A</v>
          </cell>
          <cell r="Q600" t="str">
            <v>A</v>
          </cell>
          <cell r="R600" t="str">
            <v>C</v>
          </cell>
          <cell r="X600">
            <v>69.599999999999994</v>
          </cell>
        </row>
        <row r="601">
          <cell r="C601">
            <v>41240043</v>
          </cell>
          <cell r="D601" t="str">
            <v>ТОВ "МУСТАНГ МОТОРС"</v>
          </cell>
          <cell r="E601">
            <v>45777.672400000003</v>
          </cell>
          <cell r="F601">
            <v>45658</v>
          </cell>
          <cell r="G601" t="str">
            <v>E</v>
          </cell>
          <cell r="H601" t="str">
            <v>A</v>
          </cell>
          <cell r="I601" t="str">
            <v>C</v>
          </cell>
          <cell r="J601" t="str">
            <v>C</v>
          </cell>
          <cell r="K601" t="str">
            <v>A</v>
          </cell>
          <cell r="L601" t="str">
            <v>A</v>
          </cell>
          <cell r="M601" t="str">
            <v>A</v>
          </cell>
          <cell r="N601" t="str">
            <v>A</v>
          </cell>
          <cell r="O601" t="str">
            <v>A</v>
          </cell>
          <cell r="P601" t="str">
            <v>C</v>
          </cell>
          <cell r="Q601" t="str">
            <v>B</v>
          </cell>
          <cell r="R601" t="str">
            <v>A</v>
          </cell>
          <cell r="X601">
            <v>61</v>
          </cell>
        </row>
        <row r="602">
          <cell r="C602">
            <v>41243442</v>
          </cell>
          <cell r="D602" t="str">
            <v>ТОВ "С-ГРЕЙН УКРАЇНА"</v>
          </cell>
          <cell r="E602">
            <v>45951.869899999998</v>
          </cell>
          <cell r="F602">
            <v>45839</v>
          </cell>
          <cell r="G602" t="str">
            <v>E</v>
          </cell>
          <cell r="H602" t="str">
            <v>B</v>
          </cell>
          <cell r="I602" t="str">
            <v>B</v>
          </cell>
          <cell r="J602" t="str">
            <v>A</v>
          </cell>
          <cell r="K602" t="str">
            <v>D</v>
          </cell>
          <cell r="L602" t="str">
            <v>B</v>
          </cell>
          <cell r="M602" t="str">
            <v>C</v>
          </cell>
          <cell r="N602" t="str">
            <v>B</v>
          </cell>
          <cell r="O602" t="str">
            <v>A</v>
          </cell>
          <cell r="P602" t="str">
            <v>C</v>
          </cell>
          <cell r="Q602" t="str">
            <v>C</v>
          </cell>
          <cell r="R602" t="str">
            <v>A</v>
          </cell>
          <cell r="X602">
            <v>38.699999999999996</v>
          </cell>
        </row>
        <row r="603">
          <cell r="C603">
            <v>41261498</v>
          </cell>
          <cell r="D603" t="str">
            <v>ТОВ "МФК АГРО"</v>
          </cell>
          <cell r="E603">
            <v>45705.498099999997</v>
          </cell>
          <cell r="F603">
            <v>45566</v>
          </cell>
          <cell r="G603" t="str">
            <v>E</v>
          </cell>
          <cell r="H603" t="str">
            <v>C</v>
          </cell>
          <cell r="I603" t="str">
            <v>B</v>
          </cell>
          <cell r="J603" t="str">
            <v>C</v>
          </cell>
          <cell r="K603" t="str">
            <v>D</v>
          </cell>
          <cell r="L603" t="str">
            <v>B</v>
          </cell>
          <cell r="M603" t="str">
            <v>B</v>
          </cell>
          <cell r="N603" t="str">
            <v>C</v>
          </cell>
          <cell r="O603" t="str">
            <v>A</v>
          </cell>
          <cell r="P603" t="str">
            <v>C</v>
          </cell>
          <cell r="Q603" t="str">
            <v>C</v>
          </cell>
          <cell r="R603" t="str">
            <v>C</v>
          </cell>
          <cell r="X603">
            <v>36.399999999999991</v>
          </cell>
        </row>
        <row r="604">
          <cell r="C604">
            <v>41277885</v>
          </cell>
          <cell r="D604" t="str">
            <v>ТОВ "ТЕГРА ЛОДЖИСТІКС"</v>
          </cell>
          <cell r="E604">
            <v>45730.524599999997</v>
          </cell>
          <cell r="F604">
            <v>45566</v>
          </cell>
          <cell r="G604" t="str">
            <v>E</v>
          </cell>
          <cell r="H604" t="str">
            <v>B</v>
          </cell>
          <cell r="I604" t="str">
            <v>C</v>
          </cell>
          <cell r="J604" t="str">
            <v>C</v>
          </cell>
          <cell r="K604" t="str">
            <v>E</v>
          </cell>
          <cell r="L604" t="str">
            <v>C</v>
          </cell>
          <cell r="M604" t="str">
            <v>B</v>
          </cell>
          <cell r="N604" t="str">
            <v>B</v>
          </cell>
          <cell r="O604" t="str">
            <v>A</v>
          </cell>
          <cell r="P604" t="str">
            <v>C</v>
          </cell>
          <cell r="Q604" t="str">
            <v>B</v>
          </cell>
          <cell r="R604" t="str">
            <v>B</v>
          </cell>
          <cell r="X604">
            <v>33.700000000000003</v>
          </cell>
        </row>
        <row r="605">
          <cell r="C605">
            <v>41280201</v>
          </cell>
          <cell r="D605" t="str">
            <v>ТОВ "ТЕХНІКС СЕЙЛС"</v>
          </cell>
          <cell r="E605">
            <v>45618.6999</v>
          </cell>
          <cell r="F605">
            <v>45474</v>
          </cell>
          <cell r="G605" t="str">
            <v>E</v>
          </cell>
          <cell r="H605" t="str">
            <v>B</v>
          </cell>
          <cell r="I605" t="str">
            <v>B</v>
          </cell>
          <cell r="J605" t="str">
            <v>B</v>
          </cell>
          <cell r="K605" t="str">
            <v>C</v>
          </cell>
          <cell r="L605" t="str">
            <v>A</v>
          </cell>
          <cell r="M605" t="str">
            <v>B</v>
          </cell>
          <cell r="N605" t="str">
            <v>B</v>
          </cell>
          <cell r="O605" t="str">
            <v>A</v>
          </cell>
          <cell r="P605" t="str">
            <v>C</v>
          </cell>
          <cell r="Q605" t="str">
            <v>C</v>
          </cell>
          <cell r="R605" t="str">
            <v>A</v>
          </cell>
          <cell r="X605">
            <v>50.3</v>
          </cell>
        </row>
        <row r="606">
          <cell r="C606">
            <v>41310873</v>
          </cell>
          <cell r="D606" t="str">
            <v>ТОВ "АВТОДІМ АТЛАНТ"</v>
          </cell>
          <cell r="E606">
            <v>45946.6394</v>
          </cell>
          <cell r="F606">
            <v>45658</v>
          </cell>
          <cell r="G606" t="str">
            <v>D</v>
          </cell>
          <cell r="H606" t="str">
            <v>C</v>
          </cell>
          <cell r="I606" t="str">
            <v>B</v>
          </cell>
          <cell r="J606" t="str">
            <v>D</v>
          </cell>
          <cell r="K606" t="str">
            <v>D</v>
          </cell>
          <cell r="L606" t="str">
            <v>A</v>
          </cell>
          <cell r="M606" t="str">
            <v>A</v>
          </cell>
          <cell r="N606" t="str">
            <v>B</v>
          </cell>
          <cell r="O606" t="str">
            <v>A</v>
          </cell>
          <cell r="P606" t="str">
            <v>C</v>
          </cell>
          <cell r="Q606" t="str">
            <v>B</v>
          </cell>
          <cell r="R606" t="str">
            <v>C</v>
          </cell>
          <cell r="X606">
            <v>56.9</v>
          </cell>
        </row>
        <row r="607">
          <cell r="C607">
            <v>41335022</v>
          </cell>
          <cell r="D607" t="str">
            <v>ТОВ "ЗАЙДЕКС УА"</v>
          </cell>
          <cell r="E607">
            <v>45765.688199999997</v>
          </cell>
          <cell r="F607">
            <v>45658</v>
          </cell>
          <cell r="G607" t="str">
            <v>E</v>
          </cell>
          <cell r="H607" t="str">
            <v>C</v>
          </cell>
          <cell r="I607" t="str">
            <v>A</v>
          </cell>
          <cell r="J607" t="str">
            <v>A</v>
          </cell>
          <cell r="K607" t="str">
            <v>D</v>
          </cell>
          <cell r="L607" t="str">
            <v>A</v>
          </cell>
          <cell r="M607" t="str">
            <v>A</v>
          </cell>
          <cell r="N607" t="str">
            <v>B</v>
          </cell>
          <cell r="O607" t="str">
            <v>A</v>
          </cell>
          <cell r="P607" t="str">
            <v>C</v>
          </cell>
          <cell r="Q607" t="str">
            <v>C</v>
          </cell>
          <cell r="R607" t="str">
            <v>A</v>
          </cell>
          <cell r="X607">
            <v>45.099999999999994</v>
          </cell>
        </row>
        <row r="608">
          <cell r="C608">
            <v>41377761</v>
          </cell>
          <cell r="D608" t="str">
            <v>ТОВ "КОДИМА ЕНЕРДЖИ"</v>
          </cell>
          <cell r="E608">
            <v>45831.7336</v>
          </cell>
          <cell r="F608">
            <v>45748</v>
          </cell>
          <cell r="G608" t="str">
            <v>E</v>
          </cell>
          <cell r="H608" t="str">
            <v>B</v>
          </cell>
          <cell r="I608" t="str">
            <v>A</v>
          </cell>
          <cell r="J608" t="str">
            <v>C</v>
          </cell>
          <cell r="K608" t="str">
            <v>D</v>
          </cell>
          <cell r="L608" t="str">
            <v>A</v>
          </cell>
          <cell r="M608" t="str">
            <v>C</v>
          </cell>
          <cell r="N608" t="str">
            <v>A</v>
          </cell>
          <cell r="O608" t="str">
            <v>A</v>
          </cell>
          <cell r="P608" t="str">
            <v>B</v>
          </cell>
          <cell r="Q608" t="str">
            <v>B</v>
          </cell>
          <cell r="R608" t="str">
            <v>B</v>
          </cell>
          <cell r="X608">
            <v>48</v>
          </cell>
        </row>
        <row r="609">
          <cell r="C609">
            <v>41437757</v>
          </cell>
          <cell r="D609" t="str">
            <v>ТОВ "РІСТОН ОЙЛ"</v>
          </cell>
          <cell r="E609">
            <v>45743.484499999999</v>
          </cell>
          <cell r="F609">
            <v>45474</v>
          </cell>
          <cell r="G609" t="str">
            <v>D</v>
          </cell>
          <cell r="H609" t="str">
            <v>B</v>
          </cell>
          <cell r="I609" t="str">
            <v>B</v>
          </cell>
          <cell r="J609" t="str">
            <v>C</v>
          </cell>
          <cell r="K609" t="str">
            <v>A</v>
          </cell>
          <cell r="L609" t="str">
            <v>A</v>
          </cell>
          <cell r="M609" t="str">
            <v>A</v>
          </cell>
          <cell r="N609" t="str">
            <v>A</v>
          </cell>
          <cell r="O609" t="str">
            <v>A</v>
          </cell>
          <cell r="P609" t="str">
            <v>A</v>
          </cell>
          <cell r="Q609" t="str">
            <v>A</v>
          </cell>
          <cell r="R609" t="str">
            <v>B</v>
          </cell>
          <cell r="X609">
            <v>73.200000000000017</v>
          </cell>
        </row>
        <row r="610">
          <cell r="C610">
            <v>41442306</v>
          </cell>
          <cell r="D610" t="str">
            <v>ТОВ "СОЛАР ФАРМ - 4"</v>
          </cell>
          <cell r="E610">
            <v>45939.542600000001</v>
          </cell>
          <cell r="F610">
            <v>45658</v>
          </cell>
          <cell r="G610" t="str">
            <v>C</v>
          </cell>
          <cell r="H610" t="str">
            <v>D</v>
          </cell>
          <cell r="I610" t="str">
            <v>D</v>
          </cell>
          <cell r="J610" t="str">
            <v>A</v>
          </cell>
          <cell r="K610" t="str">
            <v>D</v>
          </cell>
          <cell r="L610" t="str">
            <v>A</v>
          </cell>
          <cell r="M610" t="str">
            <v>A</v>
          </cell>
          <cell r="N610" t="str">
            <v>A</v>
          </cell>
          <cell r="O610" t="str">
            <v>A</v>
          </cell>
          <cell r="P610" t="str">
            <v>C</v>
          </cell>
          <cell r="Q610" t="str">
            <v>A</v>
          </cell>
          <cell r="R610" t="str">
            <v>A</v>
          </cell>
          <cell r="X610">
            <v>50.199999999999996</v>
          </cell>
        </row>
        <row r="611">
          <cell r="C611">
            <v>41468654</v>
          </cell>
          <cell r="D611" t="str">
            <v>ТОВ "ФПК "РЕСУРСГРУП"</v>
          </cell>
          <cell r="E611">
            <v>45890.640099999997</v>
          </cell>
          <cell r="F611">
            <v>45839</v>
          </cell>
          <cell r="G611" t="str">
            <v>E</v>
          </cell>
          <cell r="H611" t="str">
            <v>A</v>
          </cell>
          <cell r="I611" t="str">
            <v>B</v>
          </cell>
          <cell r="J611" t="str">
            <v>A</v>
          </cell>
          <cell r="K611" t="str">
            <v>D</v>
          </cell>
          <cell r="L611" t="str">
            <v>A</v>
          </cell>
          <cell r="M611" t="str">
            <v>A</v>
          </cell>
          <cell r="N611" t="str">
            <v>B</v>
          </cell>
          <cell r="O611" t="str">
            <v>A</v>
          </cell>
          <cell r="P611" t="str">
            <v>C</v>
          </cell>
          <cell r="Q611" t="str">
            <v>B</v>
          </cell>
          <cell r="R611" t="str">
            <v>A</v>
          </cell>
          <cell r="X611">
            <v>55.300000000000004</v>
          </cell>
        </row>
        <row r="612">
          <cell r="C612">
            <v>41481188</v>
          </cell>
          <cell r="D612" t="str">
            <v>ТОВ "АГРОКОМПАНІЯ ПРИКАРПАТТЯ"</v>
          </cell>
          <cell r="E612">
            <v>45902.750800000002</v>
          </cell>
          <cell r="F612">
            <v>45658</v>
          </cell>
          <cell r="G612" t="str">
            <v>D</v>
          </cell>
          <cell r="H612" t="str">
            <v>B</v>
          </cell>
          <cell r="I612" t="str">
            <v>B</v>
          </cell>
          <cell r="J612" t="str">
            <v>C</v>
          </cell>
          <cell r="K612" t="str">
            <v>E</v>
          </cell>
          <cell r="L612" t="str">
            <v>B</v>
          </cell>
          <cell r="M612" t="str">
            <v>B</v>
          </cell>
          <cell r="N612" t="str">
            <v>D</v>
          </cell>
          <cell r="O612" t="str">
            <v>B</v>
          </cell>
          <cell r="P612" t="str">
            <v>C</v>
          </cell>
          <cell r="Q612" t="str">
            <v>C</v>
          </cell>
          <cell r="R612" t="str">
            <v>A</v>
          </cell>
          <cell r="X612">
            <v>41.6</v>
          </cell>
        </row>
        <row r="613">
          <cell r="C613">
            <v>41481738</v>
          </cell>
          <cell r="D613" t="str">
            <v>ТОВ "ІНКОМПАС"</v>
          </cell>
          <cell r="E613">
            <v>45713.586900000002</v>
          </cell>
          <cell r="F613">
            <v>45566</v>
          </cell>
          <cell r="G613" t="str">
            <v>D</v>
          </cell>
          <cell r="H613" t="str">
            <v>B</v>
          </cell>
          <cell r="I613" t="str">
            <v>B</v>
          </cell>
          <cell r="J613" t="str">
            <v>A</v>
          </cell>
          <cell r="K613" t="str">
            <v>C</v>
          </cell>
          <cell r="L613" t="str">
            <v>A</v>
          </cell>
          <cell r="M613" t="str">
            <v>A</v>
          </cell>
          <cell r="N613" t="str">
            <v>B</v>
          </cell>
          <cell r="O613" t="str">
            <v>A</v>
          </cell>
          <cell r="P613" t="str">
            <v>C</v>
          </cell>
          <cell r="Q613" t="str">
            <v>B</v>
          </cell>
          <cell r="R613" t="str">
            <v>B</v>
          </cell>
          <cell r="X613">
            <v>55.7</v>
          </cell>
        </row>
        <row r="614">
          <cell r="C614">
            <v>41489796</v>
          </cell>
          <cell r="D614" t="str">
            <v>ТОВ "СГВП "ОЧАКІВСЬКЕ"</v>
          </cell>
          <cell r="E614">
            <v>45965.373500000002</v>
          </cell>
          <cell r="F614">
            <v>45839</v>
          </cell>
          <cell r="G614" t="str">
            <v>D</v>
          </cell>
          <cell r="H614" t="str">
            <v>B</v>
          </cell>
          <cell r="I614" t="str">
            <v>B</v>
          </cell>
          <cell r="J614" t="str">
            <v>B</v>
          </cell>
          <cell r="K614" t="str">
            <v>C</v>
          </cell>
          <cell r="L614" t="str">
            <v>B</v>
          </cell>
          <cell r="M614" t="str">
            <v>A</v>
          </cell>
          <cell r="N614" t="str">
            <v>A</v>
          </cell>
          <cell r="O614" t="str">
            <v>A</v>
          </cell>
          <cell r="P614" t="str">
            <v>C</v>
          </cell>
          <cell r="Q614" t="str">
            <v>C</v>
          </cell>
          <cell r="R614" t="str">
            <v>A</v>
          </cell>
          <cell r="X614">
            <v>58.8</v>
          </cell>
        </row>
        <row r="615">
          <cell r="C615">
            <v>41489873</v>
          </cell>
          <cell r="D615" t="str">
            <v>ТОВ "СГВП "МИКОЛАЇВСЬКЕ"</v>
          </cell>
          <cell r="E615">
            <v>45965.373500000002</v>
          </cell>
          <cell r="F615">
            <v>45839</v>
          </cell>
          <cell r="G615" t="str">
            <v>D</v>
          </cell>
          <cell r="H615" t="str">
            <v>B</v>
          </cell>
          <cell r="I615" t="str">
            <v>B</v>
          </cell>
          <cell r="J615" t="str">
            <v>B</v>
          </cell>
          <cell r="K615" t="str">
            <v>C</v>
          </cell>
          <cell r="L615" t="str">
            <v>B</v>
          </cell>
          <cell r="M615" t="str">
            <v>A</v>
          </cell>
          <cell r="N615" t="str">
            <v>A</v>
          </cell>
          <cell r="O615" t="str">
            <v>A</v>
          </cell>
          <cell r="P615" t="str">
            <v>C</v>
          </cell>
          <cell r="Q615" t="str">
            <v>C</v>
          </cell>
          <cell r="R615" t="str">
            <v>A</v>
          </cell>
          <cell r="X615">
            <v>58.8</v>
          </cell>
        </row>
        <row r="616">
          <cell r="C616">
            <v>41537413</v>
          </cell>
          <cell r="D616" t="str">
            <v>ТОВ ''СТРАЙП УКРАЇНА''</v>
          </cell>
          <cell r="E616">
            <v>45881.635000000002</v>
          </cell>
          <cell r="F616">
            <v>45658</v>
          </cell>
          <cell r="G616" t="str">
            <v>E</v>
          </cell>
          <cell r="H616" t="str">
            <v>B</v>
          </cell>
          <cell r="I616" t="str">
            <v>B</v>
          </cell>
          <cell r="J616" t="str">
            <v>D</v>
          </cell>
          <cell r="K616" t="str">
            <v>D</v>
          </cell>
          <cell r="L616" t="str">
            <v>B</v>
          </cell>
          <cell r="M616" t="str">
            <v>A</v>
          </cell>
          <cell r="N616" t="str">
            <v>B</v>
          </cell>
          <cell r="O616" t="str">
            <v>A</v>
          </cell>
          <cell r="P616" t="str">
            <v>C</v>
          </cell>
          <cell r="Q616" t="str">
            <v>B</v>
          </cell>
          <cell r="R616" t="str">
            <v>A</v>
          </cell>
          <cell r="X616">
            <v>56.1</v>
          </cell>
        </row>
        <row r="617">
          <cell r="C617">
            <v>41569555</v>
          </cell>
          <cell r="D617" t="str">
            <v>КОРПОРАЦІЯ "ЕКВАТОР"</v>
          </cell>
          <cell r="E617">
            <v>45770.931499999999</v>
          </cell>
          <cell r="F617">
            <v>45658</v>
          </cell>
          <cell r="G617" t="str">
            <v>E</v>
          </cell>
          <cell r="H617" t="str">
            <v>C</v>
          </cell>
          <cell r="I617" t="str">
            <v>A</v>
          </cell>
          <cell r="J617" t="str">
            <v>B</v>
          </cell>
          <cell r="K617" t="str">
            <v>E</v>
          </cell>
          <cell r="L617" t="str">
            <v>B</v>
          </cell>
          <cell r="M617" t="str">
            <v>B</v>
          </cell>
          <cell r="N617" t="str">
            <v>B</v>
          </cell>
          <cell r="O617" t="str">
            <v>A</v>
          </cell>
          <cell r="P617" t="str">
            <v>C</v>
          </cell>
          <cell r="Q617" t="str">
            <v>B</v>
          </cell>
          <cell r="R617" t="str">
            <v>A</v>
          </cell>
          <cell r="X617">
            <v>37.300000000000004</v>
          </cell>
        </row>
        <row r="618">
          <cell r="C618">
            <v>41571302</v>
          </cell>
          <cell r="D618" t="str">
            <v>ТОВ "КЛЕВЕР ЕНЕРДЖИ"</v>
          </cell>
          <cell r="E618">
            <v>45705.6607</v>
          </cell>
          <cell r="F618">
            <v>45658</v>
          </cell>
          <cell r="G618" t="str">
            <v>E</v>
          </cell>
          <cell r="H618" t="str">
            <v>B</v>
          </cell>
          <cell r="I618" t="str">
            <v>A</v>
          </cell>
          <cell r="J618" t="str">
            <v>A</v>
          </cell>
          <cell r="K618" t="str">
            <v>C</v>
          </cell>
          <cell r="L618" t="str">
            <v>B</v>
          </cell>
          <cell r="M618" t="str">
            <v>A</v>
          </cell>
          <cell r="N618" t="str">
            <v>B</v>
          </cell>
          <cell r="O618" t="str">
            <v>A</v>
          </cell>
          <cell r="P618" t="str">
            <v>C</v>
          </cell>
          <cell r="Q618" t="str">
            <v>B</v>
          </cell>
          <cell r="R618" t="str">
            <v>A</v>
          </cell>
          <cell r="X618">
            <v>46.5</v>
          </cell>
        </row>
        <row r="619">
          <cell r="C619">
            <v>41576871</v>
          </cell>
          <cell r="D619" t="str">
            <v>ТОВ"КИЇВСЬКИЙ ПЕКАРНИЙ ДІМ"</v>
          </cell>
          <cell r="E619">
            <v>45715.644999999997</v>
          </cell>
          <cell r="F619">
            <v>45566</v>
          </cell>
          <cell r="G619" t="str">
            <v>C</v>
          </cell>
          <cell r="H619" t="str">
            <v>B</v>
          </cell>
          <cell r="I619" t="str">
            <v>B</v>
          </cell>
          <cell r="J619" t="str">
            <v>A</v>
          </cell>
          <cell r="K619" t="str">
            <v>D</v>
          </cell>
          <cell r="L619" t="str">
            <v>B</v>
          </cell>
          <cell r="M619" t="str">
            <v>A</v>
          </cell>
          <cell r="N619" t="str">
            <v>B</v>
          </cell>
          <cell r="O619" t="str">
            <v>A</v>
          </cell>
          <cell r="P619" t="str">
            <v>B</v>
          </cell>
          <cell r="Q619" t="str">
            <v>B</v>
          </cell>
          <cell r="R619" t="str">
            <v>B</v>
          </cell>
          <cell r="X619">
            <v>50.300000000000004</v>
          </cell>
        </row>
        <row r="620">
          <cell r="C620">
            <v>41624008</v>
          </cell>
          <cell r="D620" t="str">
            <v>ТОВ "ДІСАМ"</v>
          </cell>
          <cell r="E620">
            <v>45775.377999999997</v>
          </cell>
          <cell r="F620">
            <v>45658</v>
          </cell>
          <cell r="G620" t="str">
            <v>E</v>
          </cell>
          <cell r="H620" t="str">
            <v>B</v>
          </cell>
          <cell r="I620" t="str">
            <v>B</v>
          </cell>
          <cell r="J620" t="str">
            <v>A</v>
          </cell>
          <cell r="K620" t="str">
            <v>D</v>
          </cell>
          <cell r="L620" t="str">
            <v>A</v>
          </cell>
          <cell r="M620" t="str">
            <v>A</v>
          </cell>
          <cell r="N620" t="str">
            <v>A</v>
          </cell>
          <cell r="O620" t="str">
            <v>A</v>
          </cell>
          <cell r="P620" t="str">
            <v>C</v>
          </cell>
          <cell r="Q620" t="str">
            <v>B</v>
          </cell>
          <cell r="R620" t="str">
            <v>A</v>
          </cell>
          <cell r="X620">
            <v>56.199999999999996</v>
          </cell>
        </row>
        <row r="621">
          <cell r="C621">
            <v>41635016</v>
          </cell>
          <cell r="D621" t="str">
            <v>ТОВ "ГЕРМЕС ТРЕЙД КОМПАНІ"</v>
          </cell>
          <cell r="E621">
            <v>45688.652699999999</v>
          </cell>
          <cell r="F621">
            <v>45566</v>
          </cell>
          <cell r="G621" t="str">
            <v>E</v>
          </cell>
          <cell r="H621" t="str">
            <v>B</v>
          </cell>
          <cell r="I621" t="str">
            <v>B</v>
          </cell>
          <cell r="J621" t="str">
            <v>B</v>
          </cell>
          <cell r="K621" t="str">
            <v>D</v>
          </cell>
          <cell r="L621" t="str">
            <v>B</v>
          </cell>
          <cell r="M621" t="str">
            <v>A</v>
          </cell>
          <cell r="N621" t="str">
            <v>A</v>
          </cell>
          <cell r="O621" t="str">
            <v>B</v>
          </cell>
          <cell r="P621" t="str">
            <v>C</v>
          </cell>
          <cell r="Q621" t="str">
            <v>B</v>
          </cell>
          <cell r="R621" t="str">
            <v>B</v>
          </cell>
          <cell r="X621">
            <v>46.999999999999993</v>
          </cell>
        </row>
        <row r="622">
          <cell r="C622">
            <v>41668883</v>
          </cell>
          <cell r="D622" t="str">
            <v>ТОВ "ОСНОВА ЕНЕРГО"</v>
          </cell>
          <cell r="E622">
            <v>45867.477200000001</v>
          </cell>
          <cell r="F622">
            <v>45748</v>
          </cell>
          <cell r="G622" t="str">
            <v>E</v>
          </cell>
          <cell r="H622" t="str">
            <v>B</v>
          </cell>
          <cell r="I622" t="str">
            <v>A</v>
          </cell>
          <cell r="J622" t="str">
            <v>A</v>
          </cell>
          <cell r="K622" t="str">
            <v>C</v>
          </cell>
          <cell r="L622" t="str">
            <v>A</v>
          </cell>
          <cell r="M622" t="str">
            <v>A</v>
          </cell>
          <cell r="N622" t="str">
            <v>A</v>
          </cell>
          <cell r="O622" t="str">
            <v>A</v>
          </cell>
          <cell r="P622" t="str">
            <v>D</v>
          </cell>
          <cell r="Q622" t="str">
            <v>B</v>
          </cell>
          <cell r="R622" t="str">
            <v>B</v>
          </cell>
          <cell r="X622">
            <v>49.2</v>
          </cell>
        </row>
        <row r="623">
          <cell r="C623">
            <v>41696994</v>
          </cell>
          <cell r="D623" t="str">
            <v>ТОВ "ВІН-ГРУП"</v>
          </cell>
          <cell r="E623">
            <v>45910.625699999997</v>
          </cell>
          <cell r="F623">
            <v>45839</v>
          </cell>
          <cell r="G623" t="str">
            <v>E</v>
          </cell>
          <cell r="H623" t="str">
            <v>C</v>
          </cell>
          <cell r="I623" t="str">
            <v>B</v>
          </cell>
          <cell r="J623" t="str">
            <v>C</v>
          </cell>
          <cell r="K623" t="str">
            <v>D</v>
          </cell>
          <cell r="L623" t="str">
            <v>A</v>
          </cell>
          <cell r="M623" t="str">
            <v>A</v>
          </cell>
          <cell r="N623" t="str">
            <v>B</v>
          </cell>
          <cell r="O623" t="str">
            <v>A</v>
          </cell>
          <cell r="P623" t="str">
            <v>C</v>
          </cell>
          <cell r="Q623" t="str">
            <v>B</v>
          </cell>
          <cell r="R623" t="str">
            <v>A</v>
          </cell>
          <cell r="X623">
            <v>56.9</v>
          </cell>
        </row>
        <row r="624">
          <cell r="C624">
            <v>41725642</v>
          </cell>
          <cell r="D624" t="str">
            <v>ТОВ "Намато"</v>
          </cell>
          <cell r="E624">
            <v>45797.688699999999</v>
          </cell>
          <cell r="F624">
            <v>45658</v>
          </cell>
          <cell r="G624" t="str">
            <v>E</v>
          </cell>
          <cell r="H624" t="str">
            <v>B</v>
          </cell>
          <cell r="I624" t="str">
            <v>B</v>
          </cell>
          <cell r="J624" t="str">
            <v>A</v>
          </cell>
          <cell r="K624" t="str">
            <v>D</v>
          </cell>
          <cell r="L624" t="str">
            <v>B</v>
          </cell>
          <cell r="M624" t="str">
            <v>A</v>
          </cell>
          <cell r="N624" t="str">
            <v>A</v>
          </cell>
          <cell r="O624" t="str">
            <v>A</v>
          </cell>
          <cell r="P624" t="str">
            <v>C</v>
          </cell>
          <cell r="Q624" t="str">
            <v>B</v>
          </cell>
          <cell r="R624" t="str">
            <v>B</v>
          </cell>
          <cell r="X624">
            <v>47.8</v>
          </cell>
        </row>
        <row r="625">
          <cell r="C625">
            <v>41732597</v>
          </cell>
          <cell r="D625" t="str">
            <v>ТЗОВ ТВК "ГАРМОНІЯ"</v>
          </cell>
          <cell r="E625">
            <v>45875.450700000001</v>
          </cell>
          <cell r="F625">
            <v>45748</v>
          </cell>
          <cell r="G625" t="str">
            <v>D</v>
          </cell>
          <cell r="H625" t="str">
            <v>B</v>
          </cell>
          <cell r="I625" t="str">
            <v>D</v>
          </cell>
          <cell r="J625" t="str">
            <v>C</v>
          </cell>
          <cell r="K625" t="str">
            <v>C</v>
          </cell>
          <cell r="L625" t="str">
            <v>B</v>
          </cell>
          <cell r="M625" t="str">
            <v>A</v>
          </cell>
          <cell r="N625" t="str">
            <v>A</v>
          </cell>
          <cell r="O625" t="str">
            <v>A</v>
          </cell>
          <cell r="P625" t="str">
            <v>A</v>
          </cell>
          <cell r="Q625" t="str">
            <v>A</v>
          </cell>
          <cell r="R625" t="str">
            <v>A</v>
          </cell>
          <cell r="X625">
            <v>63.2</v>
          </cell>
        </row>
        <row r="626">
          <cell r="C626">
            <v>41736298</v>
          </cell>
          <cell r="D626" t="str">
            <v>ТОВ "ТО "ПРОМЕТЕЙ АГРО"</v>
          </cell>
          <cell r="E626">
            <v>45751.750599999999</v>
          </cell>
          <cell r="F626">
            <v>45566</v>
          </cell>
          <cell r="G626" t="str">
            <v>E</v>
          </cell>
          <cell r="H626" t="str">
            <v>B</v>
          </cell>
          <cell r="I626" t="str">
            <v>B</v>
          </cell>
          <cell r="J626" t="str">
            <v>A</v>
          </cell>
          <cell r="K626" t="str">
            <v>F</v>
          </cell>
          <cell r="L626" t="str">
            <v>B</v>
          </cell>
          <cell r="M626" t="str">
            <v>A</v>
          </cell>
          <cell r="N626" t="str">
            <v>B</v>
          </cell>
          <cell r="O626" t="str">
            <v>B</v>
          </cell>
          <cell r="P626" t="str">
            <v>C</v>
          </cell>
          <cell r="Q626" t="str">
            <v>B</v>
          </cell>
          <cell r="R626" t="str">
            <v>A</v>
          </cell>
          <cell r="X626">
            <v>41.3</v>
          </cell>
        </row>
        <row r="627">
          <cell r="C627">
            <v>41749789</v>
          </cell>
          <cell r="D627" t="str">
            <v>ТОВ "АВТОДІМ АТЛАНТ ДНІПРО"</v>
          </cell>
          <cell r="E627">
            <v>45946.6394</v>
          </cell>
          <cell r="F627">
            <v>45658</v>
          </cell>
          <cell r="G627" t="str">
            <v>D</v>
          </cell>
          <cell r="H627" t="str">
            <v>C</v>
          </cell>
          <cell r="I627" t="str">
            <v>B</v>
          </cell>
          <cell r="J627" t="str">
            <v>D</v>
          </cell>
          <cell r="K627" t="str">
            <v>D</v>
          </cell>
          <cell r="L627" t="str">
            <v>A</v>
          </cell>
          <cell r="M627" t="str">
            <v>A</v>
          </cell>
          <cell r="N627" t="str">
            <v>B</v>
          </cell>
          <cell r="O627" t="str">
            <v>A</v>
          </cell>
          <cell r="P627" t="str">
            <v>C</v>
          </cell>
          <cell r="Q627" t="str">
            <v>B</v>
          </cell>
          <cell r="R627" t="str">
            <v>C</v>
          </cell>
          <cell r="X627">
            <v>56.9</v>
          </cell>
        </row>
        <row r="628">
          <cell r="C628">
            <v>41798710</v>
          </cell>
          <cell r="D628" t="str">
            <v>ТОВ "ЛАН-МІЛК"</v>
          </cell>
          <cell r="E628">
            <v>45803.992400000003</v>
          </cell>
          <cell r="F628">
            <v>45658</v>
          </cell>
          <cell r="G628" t="str">
            <v>E</v>
          </cell>
          <cell r="H628" t="str">
            <v>B</v>
          </cell>
          <cell r="I628" t="str">
            <v>B</v>
          </cell>
          <cell r="J628" t="str">
            <v>A</v>
          </cell>
          <cell r="K628" t="str">
            <v>D</v>
          </cell>
          <cell r="L628" t="str">
            <v>B</v>
          </cell>
          <cell r="M628" t="str">
            <v>A</v>
          </cell>
          <cell r="N628" t="str">
            <v>B</v>
          </cell>
          <cell r="O628" t="str">
            <v>A</v>
          </cell>
          <cell r="P628" t="str">
            <v>A</v>
          </cell>
          <cell r="Q628" t="str">
            <v>B</v>
          </cell>
          <cell r="R628" t="str">
            <v>A</v>
          </cell>
          <cell r="X628">
            <v>52.300000000000004</v>
          </cell>
        </row>
        <row r="629">
          <cell r="C629">
            <v>41803091</v>
          </cell>
          <cell r="D629" t="str">
            <v>ПП "ІНТЕР ОВОЧІ"</v>
          </cell>
          <cell r="E629">
            <v>45668.767200000002</v>
          </cell>
          <cell r="F629">
            <v>45566</v>
          </cell>
          <cell r="G629" t="str">
            <v>E</v>
          </cell>
          <cell r="H629" t="str">
            <v>C</v>
          </cell>
          <cell r="I629" t="str">
            <v>B</v>
          </cell>
          <cell r="J629" t="str">
            <v>B</v>
          </cell>
          <cell r="K629" t="str">
            <v>B</v>
          </cell>
          <cell r="L629" t="str">
            <v>B</v>
          </cell>
          <cell r="M629" t="str">
            <v>A</v>
          </cell>
          <cell r="N629" t="str">
            <v>B</v>
          </cell>
          <cell r="O629" t="str">
            <v>A</v>
          </cell>
          <cell r="P629" t="str">
            <v>B</v>
          </cell>
          <cell r="Q629" t="str">
            <v>B</v>
          </cell>
          <cell r="R629" t="str">
            <v>B</v>
          </cell>
          <cell r="X629">
            <v>51.1</v>
          </cell>
        </row>
        <row r="630">
          <cell r="C630">
            <v>41810664</v>
          </cell>
          <cell r="D630" t="str">
            <v>ТОВ "АГРОТРЕЙД-ВИРОБНИЦТВО"</v>
          </cell>
          <cell r="E630">
            <v>45874.671999999999</v>
          </cell>
          <cell r="F630">
            <v>45748</v>
          </cell>
          <cell r="G630" t="str">
            <v>D</v>
          </cell>
          <cell r="H630" t="str">
            <v>B</v>
          </cell>
          <cell r="I630" t="str">
            <v>C</v>
          </cell>
          <cell r="J630" t="str">
            <v>C</v>
          </cell>
          <cell r="K630" t="str">
            <v>D</v>
          </cell>
          <cell r="L630" t="str">
            <v>B</v>
          </cell>
          <cell r="M630" t="str">
            <v>E</v>
          </cell>
          <cell r="N630" t="str">
            <v>B</v>
          </cell>
          <cell r="O630" t="str">
            <v>A</v>
          </cell>
          <cell r="P630" t="str">
            <v>C</v>
          </cell>
          <cell r="Q630" t="str">
            <v>B</v>
          </cell>
          <cell r="R630" t="str">
            <v>A</v>
          </cell>
          <cell r="X630">
            <v>41.3</v>
          </cell>
        </row>
        <row r="631">
          <cell r="C631">
            <v>41834596</v>
          </cell>
          <cell r="D631" t="str">
            <v>ТОВ "ВФД"</v>
          </cell>
          <cell r="E631">
            <v>45632.728600000002</v>
          </cell>
          <cell r="F631">
            <v>45566</v>
          </cell>
          <cell r="G631" t="str">
            <v>E</v>
          </cell>
          <cell r="H631" t="str">
            <v>C</v>
          </cell>
          <cell r="I631" t="str">
            <v>B</v>
          </cell>
          <cell r="J631" t="str">
            <v>B</v>
          </cell>
          <cell r="K631" t="str">
            <v>D</v>
          </cell>
          <cell r="L631" t="str">
            <v>A</v>
          </cell>
          <cell r="M631" t="str">
            <v>A</v>
          </cell>
          <cell r="N631" t="str">
            <v>A</v>
          </cell>
          <cell r="O631" t="str">
            <v>A</v>
          </cell>
          <cell r="P631" t="str">
            <v>B</v>
          </cell>
          <cell r="Q631" t="str">
            <v>B</v>
          </cell>
          <cell r="R631" t="str">
            <v>A</v>
          </cell>
          <cell r="X631">
            <v>59.2</v>
          </cell>
        </row>
        <row r="632">
          <cell r="C632">
            <v>41863915</v>
          </cell>
          <cell r="D632" t="str">
            <v>ТОВ "КЕНК"</v>
          </cell>
          <cell r="E632">
            <v>45792.691299999999</v>
          </cell>
          <cell r="F632">
            <v>45658</v>
          </cell>
          <cell r="G632" t="str">
            <v>E</v>
          </cell>
          <cell r="H632" t="str">
            <v>B</v>
          </cell>
          <cell r="I632" t="str">
            <v>B</v>
          </cell>
          <cell r="J632" t="str">
            <v>A</v>
          </cell>
          <cell r="K632" t="str">
            <v>D</v>
          </cell>
          <cell r="L632" t="str">
            <v>A</v>
          </cell>
          <cell r="M632" t="str">
            <v>A</v>
          </cell>
          <cell r="N632" t="str">
            <v>B</v>
          </cell>
          <cell r="O632" t="str">
            <v>A</v>
          </cell>
          <cell r="P632" t="str">
            <v>C</v>
          </cell>
          <cell r="Q632" t="str">
            <v>B</v>
          </cell>
          <cell r="R632" t="str">
            <v>C</v>
          </cell>
          <cell r="X632">
            <v>46.9</v>
          </cell>
        </row>
        <row r="633">
          <cell r="C633">
            <v>41915030</v>
          </cell>
          <cell r="D633" t="str">
            <v>ТОВ "ГЛОБАЛ СЕЙЛ"</v>
          </cell>
          <cell r="E633">
            <v>45833.396000000001</v>
          </cell>
          <cell r="F633">
            <v>45658</v>
          </cell>
          <cell r="G633" t="str">
            <v>D</v>
          </cell>
          <cell r="H633" t="str">
            <v>C</v>
          </cell>
          <cell r="I633" t="str">
            <v>B</v>
          </cell>
          <cell r="J633" t="str">
            <v>D</v>
          </cell>
          <cell r="K633" t="str">
            <v>D</v>
          </cell>
          <cell r="L633" t="str">
            <v>B</v>
          </cell>
          <cell r="M633" t="str">
            <v>A</v>
          </cell>
          <cell r="N633" t="str">
            <v>B</v>
          </cell>
          <cell r="O633" t="str">
            <v>A</v>
          </cell>
          <cell r="P633" t="str">
            <v>C</v>
          </cell>
          <cell r="Q633" t="str">
            <v>B</v>
          </cell>
          <cell r="R633" t="str">
            <v>B</v>
          </cell>
          <cell r="X633">
            <v>54.5</v>
          </cell>
        </row>
        <row r="634">
          <cell r="C634">
            <v>41919936</v>
          </cell>
          <cell r="D634" t="str">
            <v>ТОВ "СІТІ СОЛАР"</v>
          </cell>
          <cell r="E634">
            <v>45685.4637</v>
          </cell>
          <cell r="F634">
            <v>45566</v>
          </cell>
          <cell r="G634" t="str">
            <v>E</v>
          </cell>
          <cell r="H634" t="str">
            <v>B</v>
          </cell>
          <cell r="I634" t="str">
            <v>B</v>
          </cell>
          <cell r="J634" t="str">
            <v>A</v>
          </cell>
          <cell r="K634" t="str">
            <v>A</v>
          </cell>
          <cell r="L634" t="str">
            <v>A</v>
          </cell>
          <cell r="M634" t="str">
            <v>A</v>
          </cell>
          <cell r="N634" t="str">
            <v>B</v>
          </cell>
          <cell r="O634" t="str">
            <v>A</v>
          </cell>
          <cell r="P634" t="str">
            <v>C</v>
          </cell>
          <cell r="Q634" t="str">
            <v>B</v>
          </cell>
          <cell r="R634" t="str">
            <v>C</v>
          </cell>
          <cell r="X634">
            <v>51.7</v>
          </cell>
        </row>
        <row r="635">
          <cell r="C635">
            <v>41943031</v>
          </cell>
          <cell r="D635" t="str">
            <v>ТОВ "ПАВЕР ЕНЕРДЖИ ТРЕЙД"</v>
          </cell>
          <cell r="E635">
            <v>45779.487699999998</v>
          </cell>
          <cell r="F635">
            <v>45658</v>
          </cell>
          <cell r="G635" t="str">
            <v>E</v>
          </cell>
          <cell r="H635" t="str">
            <v>B</v>
          </cell>
          <cell r="I635" t="str">
            <v>A</v>
          </cell>
          <cell r="J635" t="str">
            <v>A</v>
          </cell>
          <cell r="K635" t="str">
            <v>D</v>
          </cell>
          <cell r="L635" t="str">
            <v>A</v>
          </cell>
          <cell r="M635" t="str">
            <v>A</v>
          </cell>
          <cell r="N635" t="str">
            <v>A</v>
          </cell>
          <cell r="O635" t="str">
            <v>A</v>
          </cell>
          <cell r="P635" t="str">
            <v>B</v>
          </cell>
          <cell r="Q635" t="str">
            <v>B</v>
          </cell>
          <cell r="R635" t="str">
            <v>B</v>
          </cell>
          <cell r="X635">
            <v>50.000000000000007</v>
          </cell>
        </row>
        <row r="636">
          <cell r="C636">
            <v>41947350</v>
          </cell>
          <cell r="D636" t="str">
            <v>ТОВ "СОЛАР ФАРМ - 6"</v>
          </cell>
          <cell r="E636">
            <v>45939.542600000001</v>
          </cell>
          <cell r="F636">
            <v>45658</v>
          </cell>
          <cell r="G636" t="str">
            <v>C</v>
          </cell>
          <cell r="H636" t="str">
            <v>D</v>
          </cell>
          <cell r="I636" t="str">
            <v>D</v>
          </cell>
          <cell r="J636" t="str">
            <v>A</v>
          </cell>
          <cell r="K636" t="str">
            <v>D</v>
          </cell>
          <cell r="L636" t="str">
            <v>A</v>
          </cell>
          <cell r="M636" t="str">
            <v>A</v>
          </cell>
          <cell r="N636" t="str">
            <v>A</v>
          </cell>
          <cell r="O636" t="str">
            <v>A</v>
          </cell>
          <cell r="P636" t="str">
            <v>C</v>
          </cell>
          <cell r="Q636" t="str">
            <v>A</v>
          </cell>
          <cell r="R636" t="str">
            <v>A</v>
          </cell>
          <cell r="X636">
            <v>50.199999999999996</v>
          </cell>
        </row>
        <row r="637">
          <cell r="C637">
            <v>41947387</v>
          </cell>
          <cell r="D637" t="str">
            <v>ТОВ  "СОЛАР ФАРМ - 7"</v>
          </cell>
          <cell r="E637">
            <v>45939.542600000001</v>
          </cell>
          <cell r="F637">
            <v>45658</v>
          </cell>
          <cell r="G637" t="str">
            <v>C</v>
          </cell>
          <cell r="H637" t="str">
            <v>D</v>
          </cell>
          <cell r="I637" t="str">
            <v>D</v>
          </cell>
          <cell r="J637" t="str">
            <v>A</v>
          </cell>
          <cell r="K637" t="str">
            <v>D</v>
          </cell>
          <cell r="L637" t="str">
            <v>A</v>
          </cell>
          <cell r="M637" t="str">
            <v>A</v>
          </cell>
          <cell r="N637" t="str">
            <v>A</v>
          </cell>
          <cell r="O637" t="str">
            <v>A</v>
          </cell>
          <cell r="P637" t="str">
            <v>C</v>
          </cell>
          <cell r="Q637" t="str">
            <v>A</v>
          </cell>
          <cell r="R637" t="str">
            <v>A</v>
          </cell>
          <cell r="X637">
            <v>50.199999999999996</v>
          </cell>
        </row>
        <row r="638">
          <cell r="C638">
            <v>41960916</v>
          </cell>
          <cell r="D638" t="str">
            <v>ТОВ "МОТОРКАР КРОПИВНИЦЬКИЙ"</v>
          </cell>
          <cell r="E638">
            <v>45905.954299999998</v>
          </cell>
          <cell r="F638">
            <v>45839</v>
          </cell>
          <cell r="G638" t="str">
            <v>E</v>
          </cell>
          <cell r="H638" t="str">
            <v>A</v>
          </cell>
          <cell r="I638" t="str">
            <v>B</v>
          </cell>
          <cell r="J638" t="str">
            <v>C</v>
          </cell>
          <cell r="K638" t="str">
            <v>D</v>
          </cell>
          <cell r="L638" t="str">
            <v>B</v>
          </cell>
          <cell r="M638" t="str">
            <v>A</v>
          </cell>
          <cell r="N638" t="str">
            <v>A</v>
          </cell>
          <cell r="O638" t="str">
            <v>A</v>
          </cell>
          <cell r="P638" t="str">
            <v>C</v>
          </cell>
          <cell r="Q638" t="str">
            <v>B</v>
          </cell>
          <cell r="R638" t="str">
            <v>B</v>
          </cell>
          <cell r="X638">
            <v>55.8</v>
          </cell>
        </row>
        <row r="639">
          <cell r="C639">
            <v>41988858</v>
          </cell>
          <cell r="D639" t="str">
            <v>ТОВ "АТЛАНТ БУД СХІД"</v>
          </cell>
          <cell r="E639">
            <v>45948.020400000001</v>
          </cell>
          <cell r="F639">
            <v>45839</v>
          </cell>
          <cell r="G639" t="str">
            <v>E</v>
          </cell>
          <cell r="H639" t="str">
            <v>A</v>
          </cell>
          <cell r="I639" t="str">
            <v>A</v>
          </cell>
          <cell r="J639" t="str">
            <v>B</v>
          </cell>
          <cell r="K639" t="str">
            <v>D</v>
          </cell>
          <cell r="L639" t="str">
            <v>A</v>
          </cell>
          <cell r="M639" t="str">
            <v>B</v>
          </cell>
          <cell r="N639" t="str">
            <v>B</v>
          </cell>
          <cell r="O639" t="str">
            <v>A</v>
          </cell>
          <cell r="P639" t="str">
            <v>C</v>
          </cell>
          <cell r="Q639" t="str">
            <v>B</v>
          </cell>
          <cell r="R639" t="str">
            <v>A</v>
          </cell>
          <cell r="X639">
            <v>47.300000000000004</v>
          </cell>
        </row>
        <row r="640">
          <cell r="C640">
            <v>42024338</v>
          </cell>
          <cell r="D640" t="str">
            <v>ТОВ "ЮТС"</v>
          </cell>
          <cell r="E640">
            <v>45778.925300000003</v>
          </cell>
          <cell r="F640">
            <v>45658</v>
          </cell>
          <cell r="G640" t="str">
            <v>E</v>
          </cell>
          <cell r="H640" t="str">
            <v>B</v>
          </cell>
          <cell r="I640" t="str">
            <v>B</v>
          </cell>
          <cell r="J640" t="str">
            <v>A</v>
          </cell>
          <cell r="K640" t="str">
            <v>E</v>
          </cell>
          <cell r="L640" t="str">
            <v>A</v>
          </cell>
          <cell r="M640" t="str">
            <v>A</v>
          </cell>
          <cell r="N640" t="str">
            <v>B</v>
          </cell>
          <cell r="O640" t="str">
            <v>A</v>
          </cell>
          <cell r="P640" t="str">
            <v>C</v>
          </cell>
          <cell r="Q640" t="str">
            <v>B</v>
          </cell>
          <cell r="R640" t="str">
            <v>A</v>
          </cell>
          <cell r="X640">
            <v>51.7</v>
          </cell>
        </row>
        <row r="641">
          <cell r="C641">
            <v>42025148</v>
          </cell>
          <cell r="D641" t="str">
            <v>ТОВ "ДТЕК БЕРДЯНСЬКА ВЕС"</v>
          </cell>
          <cell r="E641">
            <v>45939.542600000001</v>
          </cell>
          <cell r="F641">
            <v>45658</v>
          </cell>
          <cell r="G641" t="str">
            <v>C</v>
          </cell>
          <cell r="H641" t="str">
            <v>D</v>
          </cell>
          <cell r="I641" t="str">
            <v>D</v>
          </cell>
          <cell r="J641" t="str">
            <v>A</v>
          </cell>
          <cell r="K641" t="str">
            <v>D</v>
          </cell>
          <cell r="L641" t="str">
            <v>A</v>
          </cell>
          <cell r="M641" t="str">
            <v>A</v>
          </cell>
          <cell r="N641" t="str">
            <v>A</v>
          </cell>
          <cell r="O641" t="str">
            <v>A</v>
          </cell>
          <cell r="P641" t="str">
            <v>C</v>
          </cell>
          <cell r="Q641" t="str">
            <v>A</v>
          </cell>
          <cell r="R641" t="str">
            <v>A</v>
          </cell>
          <cell r="X641">
            <v>50.199999999999996</v>
          </cell>
        </row>
        <row r="642">
          <cell r="C642">
            <v>42025153</v>
          </cell>
          <cell r="D642" t="str">
            <v>ТОВ "ДТЕК ТИЛІГУЛЬСЬКА ВЕС"</v>
          </cell>
          <cell r="E642">
            <v>45939.542600000001</v>
          </cell>
          <cell r="F642">
            <v>45658</v>
          </cell>
          <cell r="G642" t="str">
            <v>C</v>
          </cell>
          <cell r="H642" t="str">
            <v>D</v>
          </cell>
          <cell r="I642" t="str">
            <v>D</v>
          </cell>
          <cell r="J642" t="str">
            <v>A</v>
          </cell>
          <cell r="K642" t="str">
            <v>D</v>
          </cell>
          <cell r="L642" t="str">
            <v>A</v>
          </cell>
          <cell r="M642" t="str">
            <v>A</v>
          </cell>
          <cell r="N642" t="str">
            <v>A</v>
          </cell>
          <cell r="O642" t="str">
            <v>A</v>
          </cell>
          <cell r="P642" t="str">
            <v>C</v>
          </cell>
          <cell r="Q642" t="str">
            <v>A</v>
          </cell>
          <cell r="R642" t="str">
            <v>A</v>
          </cell>
          <cell r="X642">
            <v>50.199999999999996</v>
          </cell>
        </row>
        <row r="643">
          <cell r="C643">
            <v>42044752</v>
          </cell>
          <cell r="D643" t="str">
            <v>ТОВ "САНРАЙС ЛОГИСТИКС"</v>
          </cell>
          <cell r="E643">
            <v>45930.6567</v>
          </cell>
          <cell r="F643">
            <v>45839</v>
          </cell>
          <cell r="G643" t="str">
            <v>E</v>
          </cell>
          <cell r="H643" t="str">
            <v>C</v>
          </cell>
          <cell r="I643" t="str">
            <v>A</v>
          </cell>
          <cell r="J643" t="str">
            <v>C</v>
          </cell>
          <cell r="K643" t="str">
            <v>D</v>
          </cell>
          <cell r="L643" t="str">
            <v>B</v>
          </cell>
          <cell r="M643" t="str">
            <v>A</v>
          </cell>
          <cell r="N643" t="str">
            <v>C</v>
          </cell>
          <cell r="O643" t="str">
            <v>B</v>
          </cell>
          <cell r="P643" t="str">
            <v>C</v>
          </cell>
          <cell r="Q643" t="str">
            <v>C</v>
          </cell>
          <cell r="R643" t="str">
            <v>A</v>
          </cell>
          <cell r="X643">
            <v>40.79999999999999</v>
          </cell>
        </row>
        <row r="644">
          <cell r="C644">
            <v>42051995</v>
          </cell>
          <cell r="D644" t="str">
            <v>ТОВ "СОЛАГРО ТРЕЙД"</v>
          </cell>
          <cell r="E644">
            <v>45980.432000000001</v>
          </cell>
          <cell r="F644">
            <v>45658</v>
          </cell>
          <cell r="G644" t="str">
            <v>E</v>
          </cell>
          <cell r="H644" t="str">
            <v>C</v>
          </cell>
          <cell r="I644" t="str">
            <v>A</v>
          </cell>
          <cell r="J644" t="str">
            <v>A</v>
          </cell>
          <cell r="K644" t="str">
            <v>F</v>
          </cell>
          <cell r="L644" t="str">
            <v>A</v>
          </cell>
          <cell r="M644" t="str">
            <v>A</v>
          </cell>
          <cell r="N644" t="str">
            <v>B</v>
          </cell>
          <cell r="O644" t="str">
            <v>B</v>
          </cell>
          <cell r="P644" t="str">
            <v>B</v>
          </cell>
          <cell r="Q644" t="str">
            <v>B</v>
          </cell>
          <cell r="R644" t="str">
            <v>A</v>
          </cell>
          <cell r="X644">
            <v>41.9</v>
          </cell>
        </row>
        <row r="645">
          <cell r="C645">
            <v>42062614</v>
          </cell>
          <cell r="D645" t="str">
            <v>ТОВ "ПРИМА СОЛАР ЕНЕРДЖІ"</v>
          </cell>
          <cell r="E645">
            <v>45595.537600000003</v>
          </cell>
          <cell r="F645">
            <v>45474</v>
          </cell>
          <cell r="G645" t="str">
            <v>E</v>
          </cell>
          <cell r="H645" t="str">
            <v>D</v>
          </cell>
          <cell r="I645" t="str">
            <v>A</v>
          </cell>
          <cell r="J645" t="str">
            <v>C</v>
          </cell>
          <cell r="K645" t="str">
            <v>D</v>
          </cell>
          <cell r="L645" t="str">
            <v>A</v>
          </cell>
          <cell r="M645" t="str">
            <v>E</v>
          </cell>
          <cell r="N645" t="str">
            <v>B</v>
          </cell>
          <cell r="O645" t="str">
            <v>A</v>
          </cell>
          <cell r="P645" t="str">
            <v>B</v>
          </cell>
          <cell r="Q645" t="str">
            <v>B</v>
          </cell>
          <cell r="R645" t="str">
            <v>C</v>
          </cell>
          <cell r="X645">
            <v>36.300000000000004</v>
          </cell>
        </row>
        <row r="646">
          <cell r="C646">
            <v>42073076</v>
          </cell>
          <cell r="D646" t="str">
            <v>ТОВ "ПРЕМІУМ ОІЛ ЛТД"</v>
          </cell>
          <cell r="E646">
            <v>45645.596799999999</v>
          </cell>
          <cell r="F646">
            <v>45566</v>
          </cell>
          <cell r="G646" t="str">
            <v>E</v>
          </cell>
          <cell r="H646" t="str">
            <v>B</v>
          </cell>
          <cell r="I646" t="str">
            <v>D</v>
          </cell>
          <cell r="J646" t="str">
            <v>C</v>
          </cell>
          <cell r="K646" t="str">
            <v>D</v>
          </cell>
          <cell r="L646" t="str">
            <v>B</v>
          </cell>
          <cell r="M646" t="str">
            <v>B</v>
          </cell>
          <cell r="N646" t="str">
            <v>C</v>
          </cell>
          <cell r="O646" t="str">
            <v>B</v>
          </cell>
          <cell r="P646" t="str">
            <v>C</v>
          </cell>
          <cell r="Q646" t="str">
            <v>B</v>
          </cell>
          <cell r="R646" t="str">
            <v>A</v>
          </cell>
          <cell r="X646">
            <v>35.4</v>
          </cell>
        </row>
        <row r="647">
          <cell r="C647">
            <v>42073579</v>
          </cell>
          <cell r="D647" t="str">
            <v>ТОВ "ТД "УНТК"</v>
          </cell>
          <cell r="E647">
            <v>45897.717799999999</v>
          </cell>
          <cell r="F647">
            <v>45839</v>
          </cell>
          <cell r="G647" t="str">
            <v>E</v>
          </cell>
          <cell r="H647" t="str">
            <v>C</v>
          </cell>
          <cell r="I647" t="str">
            <v>A</v>
          </cell>
          <cell r="J647" t="str">
            <v>D</v>
          </cell>
          <cell r="K647" t="str">
            <v>D</v>
          </cell>
          <cell r="L647" t="str">
            <v>B</v>
          </cell>
          <cell r="M647" t="str">
            <v>A</v>
          </cell>
          <cell r="N647" t="str">
            <v>B</v>
          </cell>
          <cell r="O647" t="str">
            <v>A</v>
          </cell>
          <cell r="P647" t="str">
            <v>B</v>
          </cell>
          <cell r="Q647" t="str">
            <v>C</v>
          </cell>
          <cell r="R647" t="str">
            <v>A</v>
          </cell>
          <cell r="X647">
            <v>50.1</v>
          </cell>
        </row>
        <row r="648">
          <cell r="C648">
            <v>42077065</v>
          </cell>
          <cell r="D648" t="str">
            <v>ТОВ "АВТОМИР М"</v>
          </cell>
          <cell r="E648">
            <v>45926.4833</v>
          </cell>
          <cell r="F648">
            <v>45839</v>
          </cell>
          <cell r="G648" t="str">
            <v>D</v>
          </cell>
          <cell r="H648" t="str">
            <v>A</v>
          </cell>
          <cell r="I648" t="str">
            <v>C</v>
          </cell>
          <cell r="J648" t="str">
            <v>B</v>
          </cell>
          <cell r="K648" t="str">
            <v>C</v>
          </cell>
          <cell r="L648" t="str">
            <v>A</v>
          </cell>
          <cell r="M648" t="str">
            <v>A</v>
          </cell>
          <cell r="N648" t="str">
            <v>B</v>
          </cell>
          <cell r="O648" t="str">
            <v>A</v>
          </cell>
          <cell r="P648" t="str">
            <v>A</v>
          </cell>
          <cell r="Q648" t="str">
            <v>B</v>
          </cell>
          <cell r="R648" t="str">
            <v>A</v>
          </cell>
          <cell r="X648">
            <v>60.7</v>
          </cell>
        </row>
        <row r="649">
          <cell r="C649">
            <v>42085155</v>
          </cell>
          <cell r="D649" t="str">
            <v>ТОВ"ЧЕРКАСИ-МІЛК"</v>
          </cell>
          <cell r="E649">
            <v>45803.992400000003</v>
          </cell>
          <cell r="F649">
            <v>45658</v>
          </cell>
          <cell r="G649" t="str">
            <v>E</v>
          </cell>
          <cell r="H649" t="str">
            <v>B</v>
          </cell>
          <cell r="I649" t="str">
            <v>B</v>
          </cell>
          <cell r="J649" t="str">
            <v>A</v>
          </cell>
          <cell r="K649" t="str">
            <v>D</v>
          </cell>
          <cell r="L649" t="str">
            <v>B</v>
          </cell>
          <cell r="M649" t="str">
            <v>A</v>
          </cell>
          <cell r="N649" t="str">
            <v>B</v>
          </cell>
          <cell r="O649" t="str">
            <v>A</v>
          </cell>
          <cell r="P649" t="str">
            <v>A</v>
          </cell>
          <cell r="Q649" t="str">
            <v>B</v>
          </cell>
          <cell r="R649" t="str">
            <v>A</v>
          </cell>
          <cell r="X649">
            <v>52.300000000000004</v>
          </cell>
        </row>
        <row r="650">
          <cell r="C650">
            <v>42086279</v>
          </cell>
          <cell r="D650" t="str">
            <v>ТОВ "ТВК ЕЛІНА"</v>
          </cell>
          <cell r="E650">
            <v>45705.732100000001</v>
          </cell>
          <cell r="F650">
            <v>45566</v>
          </cell>
          <cell r="G650" t="str">
            <v>E</v>
          </cell>
          <cell r="H650" t="str">
            <v>C</v>
          </cell>
          <cell r="I650" t="str">
            <v>A</v>
          </cell>
          <cell r="J650" t="str">
            <v>A</v>
          </cell>
          <cell r="K650" t="str">
            <v>D</v>
          </cell>
          <cell r="L650" t="str">
            <v>B</v>
          </cell>
          <cell r="M650" t="str">
            <v>A</v>
          </cell>
          <cell r="N650" t="str">
            <v>B</v>
          </cell>
          <cell r="O650" t="str">
            <v>A</v>
          </cell>
          <cell r="P650" t="str">
            <v>C</v>
          </cell>
          <cell r="Q650" t="str">
            <v>C</v>
          </cell>
          <cell r="R650" t="str">
            <v>A</v>
          </cell>
          <cell r="X650">
            <v>40.299999999999997</v>
          </cell>
        </row>
        <row r="651">
          <cell r="C651">
            <v>42113176</v>
          </cell>
          <cell r="D651" t="str">
            <v>ТОВ "ТД  "ГЕРМЕС ТРЕЙДІНГ"</v>
          </cell>
          <cell r="E651">
            <v>45860.589200000002</v>
          </cell>
          <cell r="F651">
            <v>45658</v>
          </cell>
          <cell r="G651" t="str">
            <v>E</v>
          </cell>
          <cell r="H651" t="str">
            <v>B</v>
          </cell>
          <cell r="I651" t="str">
            <v>A</v>
          </cell>
          <cell r="J651" t="str">
            <v>D</v>
          </cell>
          <cell r="K651" t="str">
            <v>D</v>
          </cell>
          <cell r="L651" t="str">
            <v>B</v>
          </cell>
          <cell r="M651" t="str">
            <v>B</v>
          </cell>
          <cell r="N651" t="str">
            <v>B</v>
          </cell>
          <cell r="O651" t="str">
            <v>A</v>
          </cell>
          <cell r="P651" t="str">
            <v>C</v>
          </cell>
          <cell r="Q651" t="str">
            <v>C</v>
          </cell>
          <cell r="R651" t="str">
            <v>A</v>
          </cell>
          <cell r="X651">
            <v>43.5</v>
          </cell>
        </row>
        <row r="652">
          <cell r="C652">
            <v>42124874</v>
          </cell>
          <cell r="D652" t="str">
            <v>ТОВ " ВІТ ЕНЕРДЖІ " РІПНА"</v>
          </cell>
          <cell r="E652">
            <v>45944</v>
          </cell>
          <cell r="F652">
            <v>45658</v>
          </cell>
          <cell r="G652" t="str">
            <v>D</v>
          </cell>
          <cell r="H652" t="str">
            <v>B</v>
          </cell>
          <cell r="I652" t="str">
            <v>C</v>
          </cell>
          <cell r="J652" t="str">
            <v>C</v>
          </cell>
          <cell r="K652" t="str">
            <v>D</v>
          </cell>
          <cell r="L652" t="str">
            <v>A</v>
          </cell>
          <cell r="M652" t="str">
            <v>A</v>
          </cell>
          <cell r="N652" t="str">
            <v>B</v>
          </cell>
          <cell r="O652" t="str">
            <v>B</v>
          </cell>
          <cell r="P652" t="str">
            <v>C</v>
          </cell>
          <cell r="Q652" t="str">
            <v>B</v>
          </cell>
          <cell r="R652" t="str">
            <v>A</v>
          </cell>
          <cell r="X652">
            <v>50.5</v>
          </cell>
        </row>
        <row r="653">
          <cell r="C653">
            <v>42127807</v>
          </cell>
          <cell r="D653" t="str">
            <v>ТОВ "АГРОСТАР ЮГ"</v>
          </cell>
          <cell r="E653">
            <v>45826.432000000001</v>
          </cell>
          <cell r="F653">
            <v>45748</v>
          </cell>
          <cell r="G653" t="str">
            <v>E</v>
          </cell>
          <cell r="H653" t="str">
            <v>C</v>
          </cell>
          <cell r="I653" t="str">
            <v>A</v>
          </cell>
          <cell r="J653" t="str">
            <v>A</v>
          </cell>
          <cell r="K653" t="str">
            <v>C</v>
          </cell>
          <cell r="L653" t="str">
            <v>A</v>
          </cell>
          <cell r="M653" t="str">
            <v>A</v>
          </cell>
          <cell r="N653" t="str">
            <v>A</v>
          </cell>
          <cell r="O653" t="str">
            <v>A</v>
          </cell>
          <cell r="P653" t="str">
            <v>C</v>
          </cell>
          <cell r="Q653" t="str">
            <v>B</v>
          </cell>
          <cell r="R653" t="str">
            <v>A</v>
          </cell>
          <cell r="X653">
            <v>53</v>
          </cell>
        </row>
        <row r="654">
          <cell r="C654">
            <v>42159289</v>
          </cell>
          <cell r="D654" t="str">
            <v>ТОВ "ВЕЗ"</v>
          </cell>
          <cell r="E654">
            <v>45919.419800000003</v>
          </cell>
          <cell r="F654">
            <v>45748</v>
          </cell>
          <cell r="G654" t="str">
            <v>C</v>
          </cell>
          <cell r="H654" t="str">
            <v>A</v>
          </cell>
          <cell r="I654" t="str">
            <v>A</v>
          </cell>
          <cell r="J654" t="str">
            <v>A</v>
          </cell>
          <cell r="K654" t="str">
            <v>D</v>
          </cell>
          <cell r="L654" t="str">
            <v>A</v>
          </cell>
          <cell r="M654" t="str">
            <v>A</v>
          </cell>
          <cell r="N654" t="str">
            <v>B</v>
          </cell>
          <cell r="O654" t="str">
            <v>A</v>
          </cell>
          <cell r="P654" t="str">
            <v>C</v>
          </cell>
          <cell r="Q654" t="str">
            <v>B</v>
          </cell>
          <cell r="R654" t="str">
            <v>A</v>
          </cell>
          <cell r="X654">
            <v>54.9</v>
          </cell>
        </row>
        <row r="655">
          <cell r="C655">
            <v>42163190</v>
          </cell>
          <cell r="D655" t="str">
            <v>ТОВ "НВК СКІФ"</v>
          </cell>
          <cell r="E655">
            <v>45747.585200000001</v>
          </cell>
          <cell r="F655">
            <v>45658</v>
          </cell>
          <cell r="G655" t="str">
            <v>E</v>
          </cell>
          <cell r="H655" t="str">
            <v>B</v>
          </cell>
          <cell r="I655" t="str">
            <v>B</v>
          </cell>
          <cell r="J655" t="str">
            <v>A</v>
          </cell>
          <cell r="K655" t="str">
            <v>D</v>
          </cell>
          <cell r="L655" t="str">
            <v>B</v>
          </cell>
          <cell r="M655" t="str">
            <v>A</v>
          </cell>
          <cell r="N655" t="str">
            <v>C</v>
          </cell>
          <cell r="O655" t="str">
            <v>A</v>
          </cell>
          <cell r="P655" t="str">
            <v>C</v>
          </cell>
          <cell r="Q655" t="str">
            <v>B</v>
          </cell>
          <cell r="R655" t="str">
            <v>A</v>
          </cell>
          <cell r="X655">
            <v>46.6</v>
          </cell>
        </row>
        <row r="656">
          <cell r="C656">
            <v>42173172</v>
          </cell>
          <cell r="D656" t="str">
            <v>ТОВ "СУЗІР'Я АГРО"</v>
          </cell>
          <cell r="E656">
            <v>45852.546499999997</v>
          </cell>
          <cell r="F656">
            <v>45658</v>
          </cell>
          <cell r="G656" t="str">
            <v>E</v>
          </cell>
          <cell r="H656" t="str">
            <v>B</v>
          </cell>
          <cell r="I656" t="str">
            <v>B</v>
          </cell>
          <cell r="J656" t="str">
            <v>B</v>
          </cell>
          <cell r="K656" t="str">
            <v>D</v>
          </cell>
          <cell r="L656" t="str">
            <v>A</v>
          </cell>
          <cell r="M656" t="str">
            <v>C</v>
          </cell>
          <cell r="N656" t="str">
            <v>B</v>
          </cell>
          <cell r="O656" t="str">
            <v>B</v>
          </cell>
          <cell r="P656" t="str">
            <v>C</v>
          </cell>
          <cell r="Q656" t="str">
            <v>B</v>
          </cell>
          <cell r="R656" t="str">
            <v>A</v>
          </cell>
          <cell r="X656">
            <v>44.5</v>
          </cell>
        </row>
        <row r="657">
          <cell r="C657">
            <v>42174038</v>
          </cell>
          <cell r="D657" t="str">
            <v>ТОВ "ВІНСТРЕЙД"</v>
          </cell>
          <cell r="E657">
            <v>45638.713799999998</v>
          </cell>
          <cell r="F657">
            <v>45474</v>
          </cell>
          <cell r="G657" t="str">
            <v>E</v>
          </cell>
          <cell r="H657" t="str">
            <v>C</v>
          </cell>
          <cell r="I657" t="str">
            <v>B</v>
          </cell>
          <cell r="J657" t="str">
            <v>A</v>
          </cell>
          <cell r="K657" t="str">
            <v>C</v>
          </cell>
          <cell r="L657" t="str">
            <v>B</v>
          </cell>
          <cell r="M657" t="str">
            <v>A</v>
          </cell>
          <cell r="N657" t="str">
            <v>B</v>
          </cell>
          <cell r="O657" t="str">
            <v>A</v>
          </cell>
          <cell r="P657" t="str">
            <v>C</v>
          </cell>
          <cell r="Q657" t="str">
            <v>B</v>
          </cell>
          <cell r="R657" t="str">
            <v>A</v>
          </cell>
          <cell r="X657">
            <v>49.3</v>
          </cell>
        </row>
        <row r="658">
          <cell r="C658">
            <v>42185885</v>
          </cell>
          <cell r="D658" t="str">
            <v>ТОВ "ВІНСТРЕЙД-СХІД"</v>
          </cell>
          <cell r="E658">
            <v>45638.713799999998</v>
          </cell>
          <cell r="F658">
            <v>45474</v>
          </cell>
          <cell r="G658" t="str">
            <v>E</v>
          </cell>
          <cell r="H658" t="str">
            <v>C</v>
          </cell>
          <cell r="I658" t="str">
            <v>B</v>
          </cell>
          <cell r="J658" t="str">
            <v>A</v>
          </cell>
          <cell r="K658" t="str">
            <v>C</v>
          </cell>
          <cell r="L658" t="str">
            <v>B</v>
          </cell>
          <cell r="M658" t="str">
            <v>A</v>
          </cell>
          <cell r="N658" t="str">
            <v>B</v>
          </cell>
          <cell r="O658" t="str">
            <v>A</v>
          </cell>
          <cell r="P658" t="str">
            <v>C</v>
          </cell>
          <cell r="Q658" t="str">
            <v>B</v>
          </cell>
          <cell r="R658" t="str">
            <v>A</v>
          </cell>
          <cell r="X658">
            <v>49.3</v>
          </cell>
        </row>
        <row r="659">
          <cell r="C659">
            <v>42192258</v>
          </cell>
          <cell r="D659" t="str">
            <v>ТОВ "МАРВЕЛ ПРОФІТ"</v>
          </cell>
          <cell r="E659">
            <v>45538.657599999999</v>
          </cell>
          <cell r="F659">
            <v>45474</v>
          </cell>
          <cell r="G659" t="str">
            <v>E</v>
          </cell>
          <cell r="H659" t="str">
            <v>C</v>
          </cell>
          <cell r="I659" t="str">
            <v>C</v>
          </cell>
          <cell r="J659" t="str">
            <v>A</v>
          </cell>
          <cell r="K659" t="str">
            <v>D</v>
          </cell>
          <cell r="L659" t="str">
            <v>B</v>
          </cell>
          <cell r="M659" t="str">
            <v>A</v>
          </cell>
          <cell r="N659" t="str">
            <v>B</v>
          </cell>
          <cell r="O659" t="str">
            <v>A</v>
          </cell>
          <cell r="P659" t="str">
            <v>C</v>
          </cell>
          <cell r="Q659" t="str">
            <v>B</v>
          </cell>
          <cell r="R659" t="str">
            <v>C</v>
          </cell>
          <cell r="X659">
            <v>32.5</v>
          </cell>
        </row>
        <row r="660">
          <cell r="C660">
            <v>42195018</v>
          </cell>
          <cell r="D660" t="str">
            <v>ТЗОВ "ТЕРНОВИЦЯ СОЛАР ПЛЮС"</v>
          </cell>
          <cell r="E660">
            <v>45861.676700000004</v>
          </cell>
          <cell r="F660">
            <v>45748</v>
          </cell>
          <cell r="G660" t="str">
            <v>E</v>
          </cell>
          <cell r="H660" t="str">
            <v>B</v>
          </cell>
          <cell r="I660" t="str">
            <v>A</v>
          </cell>
          <cell r="J660" t="str">
            <v>C</v>
          </cell>
          <cell r="K660" t="str">
            <v>D</v>
          </cell>
          <cell r="L660" t="str">
            <v>A</v>
          </cell>
          <cell r="M660" t="str">
            <v>A</v>
          </cell>
          <cell r="N660" t="str">
            <v>B</v>
          </cell>
          <cell r="O660" t="str">
            <v>A</v>
          </cell>
          <cell r="P660" t="str">
            <v>B</v>
          </cell>
          <cell r="Q660" t="str">
            <v>A</v>
          </cell>
          <cell r="R660" t="str">
            <v>C</v>
          </cell>
          <cell r="X660">
            <v>52.300000000000004</v>
          </cell>
        </row>
        <row r="661">
          <cell r="C661">
            <v>42234821</v>
          </cell>
          <cell r="D661" t="str">
            <v>ТОВ "ОЛІМПІУС КОНСАЛТ"</v>
          </cell>
          <cell r="E661">
            <v>45888.623200000002</v>
          </cell>
          <cell r="F661">
            <v>45839</v>
          </cell>
          <cell r="G661" t="str">
            <v>E</v>
          </cell>
          <cell r="H661" t="str">
            <v>A</v>
          </cell>
          <cell r="I661" t="str">
            <v>B</v>
          </cell>
          <cell r="J661" t="str">
            <v>A</v>
          </cell>
          <cell r="K661" t="str">
            <v>D</v>
          </cell>
          <cell r="L661" t="str">
            <v>A</v>
          </cell>
          <cell r="M661" t="str">
            <v>A</v>
          </cell>
          <cell r="N661" t="str">
            <v>A</v>
          </cell>
          <cell r="O661" t="str">
            <v>A</v>
          </cell>
          <cell r="P661" t="str">
            <v>C</v>
          </cell>
          <cell r="Q661" t="str">
            <v>B</v>
          </cell>
          <cell r="R661" t="str">
            <v>A</v>
          </cell>
          <cell r="X661">
            <v>58.6</v>
          </cell>
        </row>
        <row r="662">
          <cell r="C662">
            <v>42268028</v>
          </cell>
          <cell r="D662" t="str">
            <v>ТОВ"ІНСТАМЕД"</v>
          </cell>
          <cell r="E662">
            <v>45841</v>
          </cell>
          <cell r="F662">
            <v>45748</v>
          </cell>
          <cell r="G662" t="str">
            <v>E</v>
          </cell>
          <cell r="H662" t="str">
            <v>C</v>
          </cell>
          <cell r="I662" t="str">
            <v>C</v>
          </cell>
          <cell r="J662" t="str">
            <v>B</v>
          </cell>
          <cell r="K662" t="str">
            <v>D</v>
          </cell>
          <cell r="L662" t="str">
            <v>B</v>
          </cell>
          <cell r="M662" t="str">
            <v>A</v>
          </cell>
          <cell r="N662" t="str">
            <v>B</v>
          </cell>
          <cell r="O662" t="str">
            <v>B</v>
          </cell>
          <cell r="P662" t="str">
            <v>C</v>
          </cell>
          <cell r="Q662" t="str">
            <v>C</v>
          </cell>
          <cell r="R662" t="str">
            <v>C</v>
          </cell>
          <cell r="X662">
            <v>29.9</v>
          </cell>
        </row>
        <row r="663">
          <cell r="C663">
            <v>42291125</v>
          </cell>
          <cell r="D663" t="str">
            <v>ТОВ "ДТЕК ТИЛІГУЛЬСЬКА ВЕС-2"</v>
          </cell>
          <cell r="E663">
            <v>45939.542600000001</v>
          </cell>
          <cell r="F663">
            <v>45658</v>
          </cell>
          <cell r="G663" t="str">
            <v>C</v>
          </cell>
          <cell r="H663" t="str">
            <v>D</v>
          </cell>
          <cell r="I663" t="str">
            <v>D</v>
          </cell>
          <cell r="J663" t="str">
            <v>A</v>
          </cell>
          <cell r="K663" t="str">
            <v>D</v>
          </cell>
          <cell r="L663" t="str">
            <v>A</v>
          </cell>
          <cell r="M663" t="str">
            <v>A</v>
          </cell>
          <cell r="N663" t="str">
            <v>A</v>
          </cell>
          <cell r="O663" t="str">
            <v>A</v>
          </cell>
          <cell r="P663" t="str">
            <v>C</v>
          </cell>
          <cell r="Q663" t="str">
            <v>A</v>
          </cell>
          <cell r="R663" t="str">
            <v>A</v>
          </cell>
          <cell r="X663">
            <v>50.199999999999996</v>
          </cell>
        </row>
        <row r="664">
          <cell r="C664">
            <v>42292024</v>
          </cell>
          <cell r="D664" t="str">
            <v>ТОВ "СТІЛ ХАБ"</v>
          </cell>
          <cell r="E664">
            <v>45568.635399999999</v>
          </cell>
          <cell r="F664">
            <v>45474</v>
          </cell>
          <cell r="G664" t="str">
            <v>E</v>
          </cell>
          <cell r="H664" t="str">
            <v>C</v>
          </cell>
          <cell r="I664" t="str">
            <v>A</v>
          </cell>
          <cell r="J664" t="str">
            <v>B</v>
          </cell>
          <cell r="K664" t="str">
            <v>D</v>
          </cell>
          <cell r="L664" t="str">
            <v>B</v>
          </cell>
          <cell r="M664" t="str">
            <v>A</v>
          </cell>
          <cell r="N664" t="str">
            <v>B</v>
          </cell>
          <cell r="O664" t="str">
            <v>A</v>
          </cell>
          <cell r="P664" t="str">
            <v>C</v>
          </cell>
          <cell r="Q664" t="str">
            <v>B</v>
          </cell>
          <cell r="R664" t="str">
            <v>A</v>
          </cell>
          <cell r="X664">
            <v>44.9</v>
          </cell>
        </row>
        <row r="665">
          <cell r="C665">
            <v>42316322</v>
          </cell>
          <cell r="D665" t="str">
            <v>ТОВ "ТМР"</v>
          </cell>
          <cell r="E665">
            <v>45790.791400000002</v>
          </cell>
          <cell r="F665">
            <v>45658</v>
          </cell>
          <cell r="G665" t="str">
            <v>E</v>
          </cell>
          <cell r="H665" t="str">
            <v>B</v>
          </cell>
          <cell r="I665" t="str">
            <v>B</v>
          </cell>
          <cell r="J665" t="str">
            <v>A</v>
          </cell>
          <cell r="K665" t="str">
            <v>C</v>
          </cell>
          <cell r="L665" t="str">
            <v>B</v>
          </cell>
          <cell r="M665" t="str">
            <v>A</v>
          </cell>
          <cell r="N665" t="str">
            <v>B</v>
          </cell>
          <cell r="O665" t="str">
            <v>A</v>
          </cell>
          <cell r="P665" t="str">
            <v>C</v>
          </cell>
          <cell r="Q665" t="str">
            <v>B</v>
          </cell>
          <cell r="R665" t="str">
            <v>A</v>
          </cell>
          <cell r="X665">
            <v>50.9</v>
          </cell>
        </row>
        <row r="666">
          <cell r="C666">
            <v>42326875</v>
          </cell>
          <cell r="D666" t="str">
            <v>ТОВ "БСА"</v>
          </cell>
          <cell r="E666">
            <v>45692.6682</v>
          </cell>
          <cell r="F666">
            <v>45566</v>
          </cell>
          <cell r="G666" t="str">
            <v>E</v>
          </cell>
          <cell r="H666" t="str">
            <v>C</v>
          </cell>
          <cell r="I666" t="str">
            <v>B</v>
          </cell>
          <cell r="J666" t="str">
            <v>C</v>
          </cell>
          <cell r="K666" t="str">
            <v>D</v>
          </cell>
          <cell r="L666" t="str">
            <v>A</v>
          </cell>
          <cell r="M666" t="str">
            <v>A</v>
          </cell>
          <cell r="N666" t="str">
            <v>B</v>
          </cell>
          <cell r="O666" t="str">
            <v>A</v>
          </cell>
          <cell r="P666" t="str">
            <v>C</v>
          </cell>
          <cell r="Q666" t="str">
            <v>B</v>
          </cell>
          <cell r="R666" t="str">
            <v>C</v>
          </cell>
          <cell r="X666">
            <v>50.9</v>
          </cell>
        </row>
        <row r="667">
          <cell r="C667">
            <v>42327795</v>
          </cell>
          <cell r="D667" t="str">
            <v>ПП "ТЕХНІК-ЦЕНТР"</v>
          </cell>
          <cell r="E667">
            <v>45622.750099999997</v>
          </cell>
          <cell r="F667">
            <v>45566</v>
          </cell>
          <cell r="G667" t="str">
            <v>E</v>
          </cell>
          <cell r="H667" t="str">
            <v>C</v>
          </cell>
          <cell r="I667" t="str">
            <v>B</v>
          </cell>
          <cell r="J667" t="str">
            <v>A</v>
          </cell>
          <cell r="K667" t="str">
            <v>E</v>
          </cell>
          <cell r="L667" t="str">
            <v>B</v>
          </cell>
          <cell r="M667" t="str">
            <v>A</v>
          </cell>
          <cell r="N667" t="str">
            <v>C</v>
          </cell>
          <cell r="O667" t="str">
            <v>A</v>
          </cell>
          <cell r="P667" t="str">
            <v>C</v>
          </cell>
          <cell r="Q667" t="str">
            <v>B</v>
          </cell>
          <cell r="R667" t="str">
            <v>A</v>
          </cell>
          <cell r="X667">
            <v>43.8</v>
          </cell>
        </row>
        <row r="668">
          <cell r="C668">
            <v>42330085</v>
          </cell>
          <cell r="D668" t="str">
            <v>ТОВ "КАМ'ЯНСЬКИЙ ТРУБНИЙ ЗАВОД"</v>
          </cell>
          <cell r="E668">
            <v>45707.704599999997</v>
          </cell>
          <cell r="F668">
            <v>45566</v>
          </cell>
          <cell r="G668" t="str">
            <v>E</v>
          </cell>
          <cell r="H668" t="str">
            <v>C</v>
          </cell>
          <cell r="I668" t="str">
            <v>B</v>
          </cell>
          <cell r="J668" t="str">
            <v>A</v>
          </cell>
          <cell r="K668" t="str">
            <v>D</v>
          </cell>
          <cell r="L668" t="str">
            <v>B</v>
          </cell>
          <cell r="M668" t="str">
            <v>A</v>
          </cell>
          <cell r="N668" t="str">
            <v>B</v>
          </cell>
          <cell r="O668" t="str">
            <v>A</v>
          </cell>
          <cell r="P668" t="str">
            <v>C</v>
          </cell>
          <cell r="Q668" t="str">
            <v>C</v>
          </cell>
          <cell r="R668" t="str">
            <v>A</v>
          </cell>
          <cell r="X668">
            <v>44.699999999999989</v>
          </cell>
        </row>
        <row r="669">
          <cell r="C669">
            <v>42335277</v>
          </cell>
          <cell r="D669" t="str">
            <v>ТОВ "ДАР АГРО"</v>
          </cell>
          <cell r="E669">
            <v>45938.666799999999</v>
          </cell>
          <cell r="F669">
            <v>45839</v>
          </cell>
          <cell r="G669" t="str">
            <v>E</v>
          </cell>
          <cell r="H669" t="str">
            <v>C</v>
          </cell>
          <cell r="I669" t="str">
            <v>A</v>
          </cell>
          <cell r="J669" t="str">
            <v>A</v>
          </cell>
          <cell r="K669" t="str">
            <v>A</v>
          </cell>
          <cell r="L669" t="str">
            <v>B</v>
          </cell>
          <cell r="M669" t="str">
            <v>A</v>
          </cell>
          <cell r="N669" t="str">
            <v>B</v>
          </cell>
          <cell r="O669" t="str">
            <v>A</v>
          </cell>
          <cell r="P669" t="str">
            <v>C</v>
          </cell>
          <cell r="Q669" t="str">
            <v>C</v>
          </cell>
          <cell r="R669" t="str">
            <v>A</v>
          </cell>
          <cell r="X669">
            <v>45.099999999999994</v>
          </cell>
        </row>
        <row r="670">
          <cell r="C670">
            <v>42351807</v>
          </cell>
          <cell r="D670" t="str">
            <v>ТОВ "ПЕК"</v>
          </cell>
          <cell r="E670">
            <v>45588.492899999997</v>
          </cell>
          <cell r="F670">
            <v>45474</v>
          </cell>
          <cell r="G670" t="str">
            <v>E</v>
          </cell>
          <cell r="H670" t="str">
            <v>A</v>
          </cell>
          <cell r="I670" t="str">
            <v>A</v>
          </cell>
          <cell r="J670" t="str">
            <v>A</v>
          </cell>
          <cell r="K670" t="str">
            <v>D</v>
          </cell>
          <cell r="L670" t="str">
            <v>A</v>
          </cell>
          <cell r="M670" t="str">
            <v>A</v>
          </cell>
          <cell r="N670" t="str">
            <v>B</v>
          </cell>
          <cell r="O670" t="str">
            <v>A</v>
          </cell>
          <cell r="P670" t="str">
            <v>C</v>
          </cell>
          <cell r="Q670" t="str">
            <v>A</v>
          </cell>
          <cell r="R670" t="str">
            <v>A</v>
          </cell>
          <cell r="X670">
            <v>53.3</v>
          </cell>
        </row>
        <row r="671">
          <cell r="C671">
            <v>42409689</v>
          </cell>
          <cell r="D671" t="str">
            <v>ТОВ "СОЛЛІ ПЛЮС ХАРКІВ"</v>
          </cell>
          <cell r="E671">
            <v>45861.418100000003</v>
          </cell>
          <cell r="F671">
            <v>45748</v>
          </cell>
          <cell r="G671" t="str">
            <v>E</v>
          </cell>
          <cell r="H671" t="str">
            <v>B</v>
          </cell>
          <cell r="I671" t="str">
            <v>B</v>
          </cell>
          <cell r="J671" t="str">
            <v>C</v>
          </cell>
          <cell r="K671" t="str">
            <v>D</v>
          </cell>
          <cell r="L671" t="str">
            <v>A</v>
          </cell>
          <cell r="M671" t="str">
            <v>A</v>
          </cell>
          <cell r="N671" t="str">
            <v>B</v>
          </cell>
          <cell r="O671" t="str">
            <v>B</v>
          </cell>
          <cell r="P671" t="str">
            <v>C</v>
          </cell>
          <cell r="Q671" t="str">
            <v>B</v>
          </cell>
          <cell r="R671" t="str">
            <v>C</v>
          </cell>
          <cell r="X671">
            <v>48.900000000000006</v>
          </cell>
        </row>
        <row r="672">
          <cell r="C672">
            <v>42424288</v>
          </cell>
          <cell r="D672" t="str">
            <v>ТОВ "ФРУТАЛІЯ"</v>
          </cell>
          <cell r="E672">
            <v>45619</v>
          </cell>
          <cell r="F672">
            <v>45566</v>
          </cell>
          <cell r="G672" t="str">
            <v>E</v>
          </cell>
          <cell r="H672" t="str">
            <v>B</v>
          </cell>
          <cell r="I672" t="str">
            <v>C</v>
          </cell>
          <cell r="J672" t="str">
            <v>A</v>
          </cell>
          <cell r="K672" t="str">
            <v>D</v>
          </cell>
          <cell r="L672" t="str">
            <v>B</v>
          </cell>
          <cell r="M672" t="str">
            <v>A</v>
          </cell>
          <cell r="N672" t="str">
            <v>B</v>
          </cell>
          <cell r="O672" t="str">
            <v>A</v>
          </cell>
          <cell r="P672" t="str">
            <v>C</v>
          </cell>
          <cell r="Q672" t="str">
            <v>B</v>
          </cell>
          <cell r="R672" t="str">
            <v>A</v>
          </cell>
          <cell r="X672">
            <v>40.1</v>
          </cell>
        </row>
        <row r="673">
          <cell r="C673">
            <v>42483474</v>
          </cell>
          <cell r="D673" t="str">
            <v>ТОВ "АТМ КРОПИВНИЦЬКИЙ"</v>
          </cell>
          <cell r="E673">
            <v>45905.954299999998</v>
          </cell>
          <cell r="F673">
            <v>45839</v>
          </cell>
          <cell r="G673" t="str">
            <v>E</v>
          </cell>
          <cell r="H673" t="str">
            <v>A</v>
          </cell>
          <cell r="I673" t="str">
            <v>B</v>
          </cell>
          <cell r="J673" t="str">
            <v>C</v>
          </cell>
          <cell r="K673" t="str">
            <v>D</v>
          </cell>
          <cell r="L673" t="str">
            <v>B</v>
          </cell>
          <cell r="M673" t="str">
            <v>A</v>
          </cell>
          <cell r="N673" t="str">
            <v>A</v>
          </cell>
          <cell r="O673" t="str">
            <v>A</v>
          </cell>
          <cell r="P673" t="str">
            <v>C</v>
          </cell>
          <cell r="Q673" t="str">
            <v>B</v>
          </cell>
          <cell r="R673" t="str">
            <v>B</v>
          </cell>
          <cell r="X673">
            <v>55.8</v>
          </cell>
        </row>
        <row r="674">
          <cell r="C674">
            <v>42492838</v>
          </cell>
          <cell r="D674" t="str">
            <v>АВТО КРОК</v>
          </cell>
          <cell r="E674">
            <v>45861.418100000003</v>
          </cell>
          <cell r="F674">
            <v>45748</v>
          </cell>
          <cell r="G674" t="str">
            <v>E</v>
          </cell>
          <cell r="H674" t="str">
            <v>B</v>
          </cell>
          <cell r="I674" t="str">
            <v>B</v>
          </cell>
          <cell r="J674" t="str">
            <v>C</v>
          </cell>
          <cell r="K674" t="str">
            <v>D</v>
          </cell>
          <cell r="L674" t="str">
            <v>A</v>
          </cell>
          <cell r="M674" t="str">
            <v>A</v>
          </cell>
          <cell r="N674" t="str">
            <v>B</v>
          </cell>
          <cell r="O674" t="str">
            <v>B</v>
          </cell>
          <cell r="P674" t="str">
            <v>C</v>
          </cell>
          <cell r="Q674" t="str">
            <v>B</v>
          </cell>
          <cell r="R674" t="str">
            <v>C</v>
          </cell>
          <cell r="X674">
            <v>48.900000000000006</v>
          </cell>
        </row>
        <row r="675">
          <cell r="C675">
            <v>42493173</v>
          </cell>
          <cell r="D675" t="str">
            <v>ТОВ "СЕМЕНІВКА АГРО ПЛЮС"</v>
          </cell>
          <cell r="E675">
            <v>45693.443700000003</v>
          </cell>
          <cell r="F675">
            <v>45474</v>
          </cell>
          <cell r="G675" t="str">
            <v>E</v>
          </cell>
          <cell r="H675" t="str">
            <v>B</v>
          </cell>
          <cell r="I675" t="str">
            <v>C</v>
          </cell>
          <cell r="J675" t="str">
            <v>C</v>
          </cell>
          <cell r="K675" t="str">
            <v>D</v>
          </cell>
          <cell r="L675" t="str">
            <v>A</v>
          </cell>
          <cell r="M675" t="str">
            <v>A</v>
          </cell>
          <cell r="N675" t="str">
            <v>B</v>
          </cell>
          <cell r="O675" t="str">
            <v>A</v>
          </cell>
          <cell r="P675" t="str">
            <v>B</v>
          </cell>
          <cell r="Q675" t="str">
            <v>B</v>
          </cell>
          <cell r="R675" t="str">
            <v>C</v>
          </cell>
          <cell r="X675">
            <v>46.300000000000004</v>
          </cell>
        </row>
        <row r="676">
          <cell r="C676">
            <v>42499898</v>
          </cell>
          <cell r="D676" t="str">
            <v>ТОВ "НВО "РІСТ"</v>
          </cell>
          <cell r="E676">
            <v>45860.589200000002</v>
          </cell>
          <cell r="F676">
            <v>45658</v>
          </cell>
          <cell r="G676" t="str">
            <v>E</v>
          </cell>
          <cell r="H676" t="str">
            <v>B</v>
          </cell>
          <cell r="I676" t="str">
            <v>A</v>
          </cell>
          <cell r="J676" t="str">
            <v>D</v>
          </cell>
          <cell r="K676" t="str">
            <v>D</v>
          </cell>
          <cell r="L676" t="str">
            <v>B</v>
          </cell>
          <cell r="M676" t="str">
            <v>B</v>
          </cell>
          <cell r="N676" t="str">
            <v>B</v>
          </cell>
          <cell r="O676" t="str">
            <v>A</v>
          </cell>
          <cell r="P676" t="str">
            <v>C</v>
          </cell>
          <cell r="Q676" t="str">
            <v>C</v>
          </cell>
          <cell r="R676" t="str">
            <v>A</v>
          </cell>
          <cell r="X676">
            <v>43.5</v>
          </cell>
        </row>
        <row r="677">
          <cell r="C677">
            <v>42499966</v>
          </cell>
          <cell r="D677" t="str">
            <v>ТОВ "ТОРГОВА КОМПАНІЯ "КОДИНКА"</v>
          </cell>
          <cell r="E677">
            <v>45985.454400000002</v>
          </cell>
          <cell r="F677">
            <v>45658</v>
          </cell>
          <cell r="G677" t="str">
            <v>E</v>
          </cell>
          <cell r="H677" t="str">
            <v>B</v>
          </cell>
          <cell r="I677" t="str">
            <v>B</v>
          </cell>
          <cell r="J677" t="str">
            <v>B</v>
          </cell>
          <cell r="K677" t="str">
            <v>D</v>
          </cell>
          <cell r="L677" t="str">
            <v>A</v>
          </cell>
          <cell r="M677" t="str">
            <v>A</v>
          </cell>
          <cell r="N677" t="str">
            <v>B</v>
          </cell>
          <cell r="O677" t="str">
            <v>A</v>
          </cell>
          <cell r="P677" t="str">
            <v>C</v>
          </cell>
          <cell r="Q677" t="str">
            <v>C</v>
          </cell>
          <cell r="R677" t="str">
            <v>A</v>
          </cell>
          <cell r="X677">
            <v>53.9</v>
          </cell>
        </row>
        <row r="678">
          <cell r="C678">
            <v>42553279</v>
          </cell>
          <cell r="D678" t="str">
            <v>ТОВ "СТЕНОІЛ"</v>
          </cell>
          <cell r="E678">
            <v>45579.6276</v>
          </cell>
          <cell r="F678">
            <v>45474</v>
          </cell>
          <cell r="G678" t="str">
            <v>E</v>
          </cell>
          <cell r="H678" t="str">
            <v>B</v>
          </cell>
          <cell r="I678" t="str">
            <v>B</v>
          </cell>
          <cell r="J678" t="str">
            <v>A</v>
          </cell>
          <cell r="K678" t="str">
            <v>D</v>
          </cell>
          <cell r="L678" t="str">
            <v>A</v>
          </cell>
          <cell r="M678" t="str">
            <v>A</v>
          </cell>
          <cell r="N678" t="str">
            <v>A</v>
          </cell>
          <cell r="O678" t="str">
            <v>A</v>
          </cell>
          <cell r="P678" t="str">
            <v>C</v>
          </cell>
          <cell r="Q678" t="str">
            <v>B</v>
          </cell>
          <cell r="R678" t="str">
            <v>A</v>
          </cell>
          <cell r="X678">
            <v>56.199999999999996</v>
          </cell>
        </row>
        <row r="679">
          <cell r="C679">
            <v>42619067</v>
          </cell>
          <cell r="D679" t="str">
            <v>ТОВ "КЛІНІКА ВЕРУМ ЕКСПЕРТ"</v>
          </cell>
          <cell r="E679">
            <v>45838.537400000001</v>
          </cell>
          <cell r="F679">
            <v>45658</v>
          </cell>
          <cell r="G679" t="str">
            <v>E</v>
          </cell>
          <cell r="H679" t="str">
            <v>B</v>
          </cell>
          <cell r="I679" t="str">
            <v>D</v>
          </cell>
          <cell r="J679" t="str">
            <v>B</v>
          </cell>
          <cell r="K679" t="str">
            <v>D</v>
          </cell>
          <cell r="L679" t="str">
            <v>A</v>
          </cell>
          <cell r="M679" t="str">
            <v>A</v>
          </cell>
          <cell r="N679" t="str">
            <v>B</v>
          </cell>
          <cell r="O679" t="str">
            <v>A</v>
          </cell>
          <cell r="P679" t="str">
            <v>C</v>
          </cell>
          <cell r="Q679" t="str">
            <v>B</v>
          </cell>
          <cell r="R679" t="str">
            <v>C</v>
          </cell>
          <cell r="X679">
            <v>42.9</v>
          </cell>
        </row>
        <row r="680">
          <cell r="C680">
            <v>42623890</v>
          </cell>
          <cell r="D680" t="str">
            <v>ТОВ "БРЕНТ ОЙЛ-95"</v>
          </cell>
          <cell r="E680">
            <v>45939.6299</v>
          </cell>
          <cell r="F680">
            <v>45839</v>
          </cell>
          <cell r="G680" t="str">
            <v>E</v>
          </cell>
          <cell r="H680" t="str">
            <v>B</v>
          </cell>
          <cell r="I680" t="str">
            <v>B</v>
          </cell>
          <cell r="J680" t="str">
            <v>B</v>
          </cell>
          <cell r="K680" t="str">
            <v>D</v>
          </cell>
          <cell r="L680" t="str">
            <v>B</v>
          </cell>
          <cell r="M680" t="str">
            <v>B</v>
          </cell>
          <cell r="N680" t="str">
            <v>B</v>
          </cell>
          <cell r="O680" t="str">
            <v>B</v>
          </cell>
          <cell r="P680" t="str">
            <v>C</v>
          </cell>
          <cell r="Q680" t="str">
            <v>C</v>
          </cell>
          <cell r="R680" t="str">
            <v>B</v>
          </cell>
          <cell r="X680">
            <v>35.5</v>
          </cell>
        </row>
        <row r="681">
          <cell r="C681">
            <v>42672010</v>
          </cell>
          <cell r="D681" t="str">
            <v>ТОВ "МЕТАГРО"</v>
          </cell>
          <cell r="E681">
            <v>45898</v>
          </cell>
          <cell r="F681">
            <v>45839</v>
          </cell>
          <cell r="G681" t="str">
            <v>E</v>
          </cell>
          <cell r="H681" t="str">
            <v>C</v>
          </cell>
          <cell r="I681" t="str">
            <v>B</v>
          </cell>
          <cell r="J681" t="str">
            <v>A</v>
          </cell>
          <cell r="K681" t="str">
            <v>D</v>
          </cell>
          <cell r="L681" t="str">
            <v>A</v>
          </cell>
          <cell r="M681" t="str">
            <v>A</v>
          </cell>
          <cell r="N681" t="str">
            <v>A</v>
          </cell>
          <cell r="O681" t="str">
            <v>A</v>
          </cell>
          <cell r="P681" t="str">
            <v>C</v>
          </cell>
          <cell r="Q681" t="str">
            <v>C</v>
          </cell>
          <cell r="R681" t="str">
            <v>A</v>
          </cell>
          <cell r="X681">
            <v>52.8</v>
          </cell>
        </row>
        <row r="682">
          <cell r="C682">
            <v>42702757</v>
          </cell>
          <cell r="D682" t="str">
            <v>ТОВ "БОРКИ СОЛАР"</v>
          </cell>
          <cell r="E682">
            <v>45652.649400000002</v>
          </cell>
          <cell r="F682">
            <v>45566</v>
          </cell>
          <cell r="G682" t="str">
            <v>E</v>
          </cell>
          <cell r="H682" t="str">
            <v>B</v>
          </cell>
          <cell r="I682" t="str">
            <v>A</v>
          </cell>
          <cell r="J682" t="str">
            <v>C</v>
          </cell>
          <cell r="K682" t="str">
            <v>D</v>
          </cell>
          <cell r="L682" t="str">
            <v>A</v>
          </cell>
          <cell r="M682" t="str">
            <v>C</v>
          </cell>
          <cell r="N682" t="str">
            <v>A</v>
          </cell>
          <cell r="O682" t="str">
            <v>A</v>
          </cell>
          <cell r="P682" t="str">
            <v>B</v>
          </cell>
          <cell r="Q682" t="str">
            <v>A</v>
          </cell>
          <cell r="R682" t="str">
            <v>C</v>
          </cell>
          <cell r="X682">
            <v>48</v>
          </cell>
        </row>
        <row r="683">
          <cell r="C683">
            <v>42706683</v>
          </cell>
          <cell r="D683" t="str">
            <v>ТОВ "НВО АПЕКС ПЛАНТ"</v>
          </cell>
          <cell r="E683">
            <v>45853</v>
          </cell>
          <cell r="F683">
            <v>45748</v>
          </cell>
          <cell r="G683" t="str">
            <v>E</v>
          </cell>
          <cell r="H683" t="str">
            <v>B</v>
          </cell>
          <cell r="I683" t="str">
            <v>B</v>
          </cell>
          <cell r="J683" t="str">
            <v>A</v>
          </cell>
          <cell r="K683" t="str">
            <v>D</v>
          </cell>
          <cell r="L683" t="str">
            <v>A</v>
          </cell>
          <cell r="M683" t="str">
            <v>C</v>
          </cell>
          <cell r="N683" t="str">
            <v>B</v>
          </cell>
          <cell r="O683" t="str">
            <v>A</v>
          </cell>
          <cell r="P683" t="str">
            <v>C</v>
          </cell>
          <cell r="Q683" t="str">
            <v>C</v>
          </cell>
          <cell r="R683" t="str">
            <v>B</v>
          </cell>
          <cell r="X683">
            <v>39.899999999999991</v>
          </cell>
        </row>
        <row r="684">
          <cell r="C684">
            <v>42721146</v>
          </cell>
          <cell r="D684" t="str">
            <v>ТОВ "АВТОГРАД ОДЕСА"</v>
          </cell>
          <cell r="E684">
            <v>45777.672400000003</v>
          </cell>
          <cell r="F684">
            <v>45658</v>
          </cell>
          <cell r="G684" t="str">
            <v>E</v>
          </cell>
          <cell r="H684" t="str">
            <v>A</v>
          </cell>
          <cell r="I684" t="str">
            <v>C</v>
          </cell>
          <cell r="J684" t="str">
            <v>C</v>
          </cell>
          <cell r="K684" t="str">
            <v>A</v>
          </cell>
          <cell r="L684" t="str">
            <v>A</v>
          </cell>
          <cell r="M684" t="str">
            <v>A</v>
          </cell>
          <cell r="N684" t="str">
            <v>A</v>
          </cell>
          <cell r="O684" t="str">
            <v>A</v>
          </cell>
          <cell r="P684" t="str">
            <v>C</v>
          </cell>
          <cell r="Q684" t="str">
            <v>B</v>
          </cell>
          <cell r="R684" t="str">
            <v>A</v>
          </cell>
          <cell r="X684">
            <v>61</v>
          </cell>
        </row>
        <row r="685">
          <cell r="C685">
            <v>42751590</v>
          </cell>
          <cell r="D685" t="str">
            <v>ТОВ "ФОЗЗІ КОММЕРЦ"</v>
          </cell>
          <cell r="E685">
            <v>45840.463900000002</v>
          </cell>
          <cell r="F685">
            <v>45658</v>
          </cell>
          <cell r="G685" t="str">
            <v>C</v>
          </cell>
          <cell r="H685" t="str">
            <v>D</v>
          </cell>
          <cell r="I685" t="str">
            <v>D</v>
          </cell>
          <cell r="J685" t="str">
            <v>D</v>
          </cell>
          <cell r="K685" t="str">
            <v>C</v>
          </cell>
          <cell r="L685" t="str">
            <v>A</v>
          </cell>
          <cell r="M685" t="str">
            <v>B</v>
          </cell>
          <cell r="N685" t="str">
            <v>A</v>
          </cell>
          <cell r="O685" t="str">
            <v>A</v>
          </cell>
          <cell r="P685" t="str">
            <v>A</v>
          </cell>
          <cell r="Q685" t="str">
            <v>B</v>
          </cell>
          <cell r="R685" t="str">
            <v>A</v>
          </cell>
          <cell r="X685">
            <v>56.4</v>
          </cell>
        </row>
        <row r="686">
          <cell r="C686">
            <v>42751799</v>
          </cell>
          <cell r="D686" t="str">
            <v>ТОВ "Д.ТРЕЙДІНГ"</v>
          </cell>
          <cell r="E686">
            <v>45959.486400000002</v>
          </cell>
          <cell r="F686">
            <v>45658</v>
          </cell>
          <cell r="G686" t="str">
            <v>B</v>
          </cell>
          <cell r="H686" t="str">
            <v>C</v>
          </cell>
          <cell r="I686" t="str">
            <v>C</v>
          </cell>
          <cell r="J686" t="str">
            <v>C</v>
          </cell>
          <cell r="K686" t="str">
            <v>C</v>
          </cell>
          <cell r="L686" t="str">
            <v>A</v>
          </cell>
          <cell r="M686" t="str">
            <v>A</v>
          </cell>
          <cell r="N686" t="str">
            <v>A</v>
          </cell>
          <cell r="O686" t="str">
            <v>A</v>
          </cell>
          <cell r="P686" t="str">
            <v>C</v>
          </cell>
          <cell r="Q686" t="str">
            <v>B</v>
          </cell>
          <cell r="R686" t="str">
            <v>A</v>
          </cell>
          <cell r="X686">
            <v>63</v>
          </cell>
        </row>
        <row r="687">
          <cell r="C687">
            <v>42755772</v>
          </cell>
          <cell r="D687" t="str">
            <v>ТОВ "ФУДДЕЛІВЕРІ ТРЕЙД"</v>
          </cell>
          <cell r="E687">
            <v>45566.718999999997</v>
          </cell>
          <cell r="F687">
            <v>45474</v>
          </cell>
          <cell r="G687" t="str">
            <v>E</v>
          </cell>
          <cell r="H687" t="str">
            <v>B</v>
          </cell>
          <cell r="I687" t="str">
            <v>B</v>
          </cell>
          <cell r="J687" t="str">
            <v>A</v>
          </cell>
          <cell r="K687" t="str">
            <v>D</v>
          </cell>
          <cell r="L687" t="str">
            <v>A</v>
          </cell>
          <cell r="M687" t="str">
            <v>A</v>
          </cell>
          <cell r="N687" t="str">
            <v>B</v>
          </cell>
          <cell r="O687" t="str">
            <v>A</v>
          </cell>
          <cell r="P687" t="str">
            <v>C</v>
          </cell>
          <cell r="Q687" t="str">
            <v>B</v>
          </cell>
          <cell r="R687" t="str">
            <v>A</v>
          </cell>
          <cell r="X687">
            <v>52.9</v>
          </cell>
        </row>
        <row r="688">
          <cell r="C688">
            <v>42777178</v>
          </cell>
          <cell r="D688" t="str">
            <v>ДП "КУПЕР ЕНЕРДЖІ УКРАЇНА"</v>
          </cell>
          <cell r="E688">
            <v>45779.487699999998</v>
          </cell>
          <cell r="F688">
            <v>45658</v>
          </cell>
          <cell r="G688" t="str">
            <v>E</v>
          </cell>
          <cell r="H688" t="str">
            <v>B</v>
          </cell>
          <cell r="I688" t="str">
            <v>A</v>
          </cell>
          <cell r="J688" t="str">
            <v>A</v>
          </cell>
          <cell r="K688" t="str">
            <v>D</v>
          </cell>
          <cell r="L688" t="str">
            <v>A</v>
          </cell>
          <cell r="M688" t="str">
            <v>A</v>
          </cell>
          <cell r="N688" t="str">
            <v>A</v>
          </cell>
          <cell r="O688" t="str">
            <v>A</v>
          </cell>
          <cell r="P688" t="str">
            <v>B</v>
          </cell>
          <cell r="Q688" t="str">
            <v>B</v>
          </cell>
          <cell r="R688" t="str">
            <v>B</v>
          </cell>
          <cell r="X688">
            <v>50.000000000000007</v>
          </cell>
        </row>
        <row r="689">
          <cell r="C689">
            <v>42781357</v>
          </cell>
          <cell r="D689" t="str">
            <v>ТОВ "АСТРОБІЛД"</v>
          </cell>
          <cell r="E689">
            <v>45904.402699999999</v>
          </cell>
          <cell r="F689">
            <v>45839</v>
          </cell>
          <cell r="G689" t="str">
            <v>E</v>
          </cell>
          <cell r="H689" t="str">
            <v>C</v>
          </cell>
          <cell r="I689" t="str">
            <v>D</v>
          </cell>
          <cell r="J689" t="str">
            <v>B</v>
          </cell>
          <cell r="K689" t="str">
            <v>D</v>
          </cell>
          <cell r="L689" t="str">
            <v>B</v>
          </cell>
          <cell r="M689" t="str">
            <v>B</v>
          </cell>
          <cell r="N689" t="str">
            <v>A</v>
          </cell>
          <cell r="O689" t="str">
            <v>A</v>
          </cell>
          <cell r="P689" t="str">
            <v>C</v>
          </cell>
          <cell r="Q689" t="str">
            <v>C</v>
          </cell>
          <cell r="R689" t="str">
            <v>C</v>
          </cell>
          <cell r="X689">
            <v>31.6</v>
          </cell>
        </row>
        <row r="690">
          <cell r="C690">
            <v>42798439</v>
          </cell>
          <cell r="D690" t="str">
            <v>ТОВ "МК-РІТЕЙЛ"</v>
          </cell>
          <cell r="E690">
            <v>45723.669000000002</v>
          </cell>
          <cell r="F690">
            <v>45566</v>
          </cell>
          <cell r="G690" t="str">
            <v>E</v>
          </cell>
          <cell r="H690" t="str">
            <v>B</v>
          </cell>
          <cell r="I690" t="str">
            <v>B</v>
          </cell>
          <cell r="J690" t="str">
            <v>A</v>
          </cell>
          <cell r="K690" t="str">
            <v>D</v>
          </cell>
          <cell r="L690" t="str">
            <v>B</v>
          </cell>
          <cell r="M690" t="str">
            <v>A</v>
          </cell>
          <cell r="N690" t="str">
            <v>C</v>
          </cell>
          <cell r="O690" t="str">
            <v>B</v>
          </cell>
          <cell r="P690" t="str">
            <v>C</v>
          </cell>
          <cell r="Q690" t="str">
            <v>B</v>
          </cell>
          <cell r="R690" t="str">
            <v>C</v>
          </cell>
          <cell r="X690">
            <v>37</v>
          </cell>
        </row>
        <row r="691">
          <cell r="C691">
            <v>42803218</v>
          </cell>
          <cell r="D691" t="str">
            <v>ТОВ "РБ-ТРЕЙДИНГ"</v>
          </cell>
          <cell r="E691">
            <v>45803.8004</v>
          </cell>
          <cell r="F691">
            <v>45658</v>
          </cell>
          <cell r="G691" t="str">
            <v>E</v>
          </cell>
          <cell r="H691" t="str">
            <v>A</v>
          </cell>
          <cell r="I691" t="str">
            <v>A</v>
          </cell>
          <cell r="J691" t="str">
            <v>B</v>
          </cell>
          <cell r="K691" t="str">
            <v>E</v>
          </cell>
          <cell r="L691" t="str">
            <v>B</v>
          </cell>
          <cell r="M691" t="str">
            <v>C</v>
          </cell>
          <cell r="N691" t="str">
            <v>B</v>
          </cell>
          <cell r="O691" t="str">
            <v>A</v>
          </cell>
          <cell r="P691" t="str">
            <v>C</v>
          </cell>
          <cell r="Q691" t="str">
            <v>C</v>
          </cell>
          <cell r="R691" t="str">
            <v>A</v>
          </cell>
          <cell r="X691">
            <v>38.299999999999997</v>
          </cell>
        </row>
        <row r="692">
          <cell r="C692">
            <v>42863193</v>
          </cell>
          <cell r="D692" t="str">
            <v>ТОВ "ФУД АГРО КОМ"</v>
          </cell>
          <cell r="E692">
            <v>45545.517</v>
          </cell>
          <cell r="F692">
            <v>45474</v>
          </cell>
          <cell r="G692" t="str">
            <v>E</v>
          </cell>
          <cell r="H692" t="str">
            <v>B</v>
          </cell>
          <cell r="I692" t="str">
            <v>A</v>
          </cell>
          <cell r="J692" t="str">
            <v>B</v>
          </cell>
          <cell r="K692" t="str">
            <v>A</v>
          </cell>
          <cell r="L692" t="str">
            <v>B</v>
          </cell>
          <cell r="M692" t="str">
            <v>A</v>
          </cell>
          <cell r="N692" t="str">
            <v>C</v>
          </cell>
          <cell r="O692" t="str">
            <v>A</v>
          </cell>
          <cell r="P692" t="str">
            <v>B</v>
          </cell>
          <cell r="Q692" t="str">
            <v>B</v>
          </cell>
          <cell r="R692" t="str">
            <v>A</v>
          </cell>
          <cell r="X692">
            <v>51.6</v>
          </cell>
        </row>
        <row r="693">
          <cell r="C693">
            <v>42978615</v>
          </cell>
          <cell r="D693" t="str">
            <v>ТОВ "Євробетон Хмельницький"</v>
          </cell>
          <cell r="E693">
            <v>45748.982900000003</v>
          </cell>
          <cell r="F693">
            <v>45658</v>
          </cell>
          <cell r="G693" t="str">
            <v>E</v>
          </cell>
          <cell r="H693" t="str">
            <v>A</v>
          </cell>
          <cell r="I693" t="str">
            <v>D</v>
          </cell>
          <cell r="J693" t="str">
            <v>A</v>
          </cell>
          <cell r="K693" t="str">
            <v>D</v>
          </cell>
          <cell r="L693" t="str">
            <v>A</v>
          </cell>
          <cell r="M693" t="str">
            <v>A</v>
          </cell>
          <cell r="N693" t="str">
            <v>B</v>
          </cell>
          <cell r="O693" t="str">
            <v>A</v>
          </cell>
          <cell r="P693" t="str">
            <v>C</v>
          </cell>
          <cell r="Q693" t="str">
            <v>B</v>
          </cell>
          <cell r="R693" t="str">
            <v>A</v>
          </cell>
          <cell r="X693">
            <v>48.499999999999993</v>
          </cell>
        </row>
        <row r="694">
          <cell r="C694">
            <v>42983337</v>
          </cell>
          <cell r="D694" t="str">
            <v>ТОВ "АГРО-ОЛІМП 2006"</v>
          </cell>
          <cell r="E694">
            <v>45946.913399999998</v>
          </cell>
          <cell r="F694">
            <v>45658</v>
          </cell>
          <cell r="G694" t="str">
            <v>E</v>
          </cell>
          <cell r="H694" t="str">
            <v>A</v>
          </cell>
          <cell r="I694" t="str">
            <v>A</v>
          </cell>
          <cell r="J694" t="str">
            <v>A</v>
          </cell>
          <cell r="K694" t="str">
            <v>B</v>
          </cell>
          <cell r="L694" t="str">
            <v>A</v>
          </cell>
          <cell r="M694" t="str">
            <v>A</v>
          </cell>
          <cell r="N694" t="str">
            <v>B</v>
          </cell>
          <cell r="O694" t="str">
            <v>A</v>
          </cell>
          <cell r="P694" t="str">
            <v>C</v>
          </cell>
          <cell r="Q694" t="str">
            <v>B</v>
          </cell>
          <cell r="R694" t="str">
            <v>A</v>
          </cell>
          <cell r="X694">
            <v>54.5</v>
          </cell>
        </row>
        <row r="695">
          <cell r="C695">
            <v>43034263</v>
          </cell>
          <cell r="D695" t="str">
            <v>ТОВ "ДЕКА МОТОРС"</v>
          </cell>
          <cell r="E695">
            <v>45593.453000000001</v>
          </cell>
          <cell r="F695">
            <v>45474</v>
          </cell>
          <cell r="G695" t="str">
            <v>E</v>
          </cell>
          <cell r="H695" t="str">
            <v>B</v>
          </cell>
          <cell r="I695" t="str">
            <v>B</v>
          </cell>
          <cell r="J695" t="str">
            <v>A</v>
          </cell>
          <cell r="K695" t="str">
            <v>E</v>
          </cell>
          <cell r="L695" t="str">
            <v>A</v>
          </cell>
          <cell r="M695" t="str">
            <v>A</v>
          </cell>
          <cell r="N695" t="str">
            <v>C</v>
          </cell>
          <cell r="O695" t="str">
            <v>A</v>
          </cell>
          <cell r="P695" t="str">
            <v>C</v>
          </cell>
          <cell r="Q695" t="str">
            <v>B</v>
          </cell>
          <cell r="R695" t="str">
            <v>A</v>
          </cell>
          <cell r="X695">
            <v>50.2</v>
          </cell>
        </row>
        <row r="696">
          <cell r="C696">
            <v>43047534</v>
          </cell>
          <cell r="D696" t="str">
            <v>ТОВ "РЕНДЖИ СТАРОКОСТЯНТИНІВ"</v>
          </cell>
          <cell r="E696">
            <v>45874.419900000001</v>
          </cell>
          <cell r="F696">
            <v>45748</v>
          </cell>
          <cell r="G696" t="str">
            <v>E</v>
          </cell>
          <cell r="H696" t="str">
            <v>D</v>
          </cell>
          <cell r="I696" t="str">
            <v>D</v>
          </cell>
          <cell r="J696" t="str">
            <v>A</v>
          </cell>
          <cell r="K696" t="str">
            <v>B</v>
          </cell>
          <cell r="L696" t="str">
            <v>A</v>
          </cell>
          <cell r="M696" t="str">
            <v>A</v>
          </cell>
          <cell r="N696" t="str">
            <v>B</v>
          </cell>
          <cell r="O696" t="str">
            <v>A</v>
          </cell>
          <cell r="P696" t="str">
            <v>B</v>
          </cell>
          <cell r="Q696" t="str">
            <v>B</v>
          </cell>
          <cell r="R696" t="str">
            <v>C</v>
          </cell>
          <cell r="X696">
            <v>39.900000000000006</v>
          </cell>
        </row>
        <row r="697">
          <cell r="C697">
            <v>43084602</v>
          </cell>
          <cell r="D697" t="str">
            <v>ТОВ "ВК "ПГУ"</v>
          </cell>
          <cell r="E697">
            <v>45772.470099999999</v>
          </cell>
          <cell r="F697">
            <v>45658</v>
          </cell>
          <cell r="G697" t="str">
            <v>E</v>
          </cell>
          <cell r="H697" t="str">
            <v>B</v>
          </cell>
          <cell r="I697" t="str">
            <v>B</v>
          </cell>
          <cell r="J697" t="str">
            <v>A</v>
          </cell>
          <cell r="K697" t="str">
            <v>D</v>
          </cell>
          <cell r="L697" t="str">
            <v>B</v>
          </cell>
          <cell r="M697" t="str">
            <v>A</v>
          </cell>
          <cell r="N697" t="str">
            <v>B</v>
          </cell>
          <cell r="O697" t="str">
            <v>A</v>
          </cell>
          <cell r="P697" t="str">
            <v>C</v>
          </cell>
          <cell r="Q697" t="str">
            <v>B</v>
          </cell>
          <cell r="R697" t="str">
            <v>B</v>
          </cell>
          <cell r="X697">
            <v>44.5</v>
          </cell>
        </row>
        <row r="698">
          <cell r="C698">
            <v>43087740</v>
          </cell>
          <cell r="D698" t="str">
            <v>ТОВ "ДК БЦ2"</v>
          </cell>
          <cell r="E698">
            <v>45614.458500000001</v>
          </cell>
          <cell r="F698">
            <v>45474</v>
          </cell>
          <cell r="G698" t="str">
            <v>E</v>
          </cell>
          <cell r="H698" t="str">
            <v>C</v>
          </cell>
          <cell r="I698" t="str">
            <v>A</v>
          </cell>
          <cell r="J698" t="str">
            <v>A</v>
          </cell>
          <cell r="K698" t="str">
            <v>D</v>
          </cell>
          <cell r="L698" t="str">
            <v>A</v>
          </cell>
          <cell r="M698" t="str">
            <v>A</v>
          </cell>
          <cell r="N698" t="str">
            <v>A</v>
          </cell>
          <cell r="O698" t="str">
            <v>A</v>
          </cell>
          <cell r="P698" t="str">
            <v>B</v>
          </cell>
          <cell r="Q698" t="str">
            <v>B</v>
          </cell>
          <cell r="R698" t="str">
            <v>C</v>
          </cell>
          <cell r="X698">
            <v>46</v>
          </cell>
        </row>
        <row r="699">
          <cell r="C699">
            <v>43096424</v>
          </cell>
          <cell r="D699" t="str">
            <v>ТОВ "ВІН Б-52"</v>
          </cell>
          <cell r="E699">
            <v>45912.623</v>
          </cell>
          <cell r="F699">
            <v>45748</v>
          </cell>
          <cell r="G699" t="str">
            <v>E</v>
          </cell>
          <cell r="H699" t="str">
            <v>C</v>
          </cell>
          <cell r="I699" t="str">
            <v>B</v>
          </cell>
          <cell r="J699" t="str">
            <v>A</v>
          </cell>
          <cell r="K699" t="str">
            <v>D</v>
          </cell>
          <cell r="L699" t="str">
            <v>B</v>
          </cell>
          <cell r="M699" t="str">
            <v>A</v>
          </cell>
          <cell r="N699" t="str">
            <v>B</v>
          </cell>
          <cell r="O699" t="str">
            <v>A</v>
          </cell>
          <cell r="P699" t="str">
            <v>C</v>
          </cell>
          <cell r="Q699" t="str">
            <v>B</v>
          </cell>
          <cell r="R699" t="str">
            <v>B</v>
          </cell>
          <cell r="X699">
            <v>42.899999999999991</v>
          </cell>
        </row>
        <row r="700">
          <cell r="C700">
            <v>43162182</v>
          </cell>
          <cell r="D700" t="str">
            <v>ТОВ "ВЕНТА РІТЕЙЛ"</v>
          </cell>
          <cell r="E700">
            <v>45895.411399999997</v>
          </cell>
          <cell r="F700">
            <v>45748</v>
          </cell>
          <cell r="G700" t="str">
            <v>B</v>
          </cell>
          <cell r="H700" t="str">
            <v>A</v>
          </cell>
          <cell r="I700" t="str">
            <v>B</v>
          </cell>
          <cell r="J700" t="str">
            <v>D</v>
          </cell>
          <cell r="K700" t="str">
            <v>D</v>
          </cell>
          <cell r="L700" t="str">
            <v>B</v>
          </cell>
          <cell r="M700" t="str">
            <v>A</v>
          </cell>
          <cell r="N700" t="str">
            <v>B</v>
          </cell>
          <cell r="O700" t="str">
            <v>A</v>
          </cell>
          <cell r="P700" t="str">
            <v>C</v>
          </cell>
          <cell r="Q700" t="str">
            <v>C</v>
          </cell>
          <cell r="R700" t="str">
            <v>C</v>
          </cell>
          <cell r="X700">
            <v>58.7</v>
          </cell>
        </row>
        <row r="701">
          <cell r="C701">
            <v>43173964</v>
          </cell>
          <cell r="D701" t="str">
            <v>ТОВ"АЛД ІНЖИНІРИНГ ТА БУДІВНИЦТВО"</v>
          </cell>
          <cell r="E701">
            <v>45749.628700000001</v>
          </cell>
          <cell r="F701">
            <v>45658</v>
          </cell>
          <cell r="G701" t="str">
            <v>E</v>
          </cell>
          <cell r="H701" t="str">
            <v>B</v>
          </cell>
          <cell r="I701" t="str">
            <v>A</v>
          </cell>
          <cell r="J701" t="str">
            <v>A</v>
          </cell>
          <cell r="K701" t="str">
            <v>D</v>
          </cell>
          <cell r="L701" t="str">
            <v>A</v>
          </cell>
          <cell r="M701" t="str">
            <v>A</v>
          </cell>
          <cell r="N701" t="str">
            <v>B</v>
          </cell>
          <cell r="O701" t="str">
            <v>A</v>
          </cell>
          <cell r="P701" t="str">
            <v>B</v>
          </cell>
          <cell r="Q701" t="str">
            <v>B</v>
          </cell>
          <cell r="R701" t="str">
            <v>A</v>
          </cell>
          <cell r="X701">
            <v>50.300000000000004</v>
          </cell>
        </row>
        <row r="702">
          <cell r="C702">
            <v>43185964</v>
          </cell>
          <cell r="D702" t="str">
            <v>ТОВ "НАФТОБІЗНЕС КОНТРАКТ"</v>
          </cell>
          <cell r="E702">
            <v>45665.7255</v>
          </cell>
          <cell r="F702">
            <v>45566</v>
          </cell>
          <cell r="G702" t="str">
            <v>D</v>
          </cell>
          <cell r="H702" t="str">
            <v>B</v>
          </cell>
          <cell r="I702" t="str">
            <v>B</v>
          </cell>
          <cell r="J702" t="str">
            <v>D</v>
          </cell>
          <cell r="K702" t="str">
            <v>C</v>
          </cell>
          <cell r="L702" t="str">
            <v>A</v>
          </cell>
          <cell r="M702" t="str">
            <v>A</v>
          </cell>
          <cell r="N702" t="str">
            <v>B</v>
          </cell>
          <cell r="O702" t="str">
            <v>A</v>
          </cell>
          <cell r="P702" t="str">
            <v>C</v>
          </cell>
          <cell r="Q702" t="str">
            <v>B</v>
          </cell>
          <cell r="R702" t="str">
            <v>B</v>
          </cell>
          <cell r="X702">
            <v>63.7</v>
          </cell>
        </row>
        <row r="703">
          <cell r="C703">
            <v>43192107</v>
          </cell>
          <cell r="D703" t="str">
            <v>ТОВ "ВА АГРО ЮКРЕЙН"</v>
          </cell>
          <cell r="E703">
            <v>45845.7716</v>
          </cell>
          <cell r="F703">
            <v>45748</v>
          </cell>
          <cell r="G703" t="str">
            <v>E</v>
          </cell>
          <cell r="H703" t="str">
            <v>A</v>
          </cell>
          <cell r="I703" t="str">
            <v>A</v>
          </cell>
          <cell r="J703" t="str">
            <v>A</v>
          </cell>
          <cell r="K703" t="str">
            <v>C</v>
          </cell>
          <cell r="L703" t="str">
            <v>A</v>
          </cell>
          <cell r="M703" t="str">
            <v>A</v>
          </cell>
          <cell r="N703" t="str">
            <v>A</v>
          </cell>
          <cell r="O703" t="str">
            <v>A</v>
          </cell>
          <cell r="P703" t="str">
            <v>C</v>
          </cell>
          <cell r="Q703" t="str">
            <v>B</v>
          </cell>
          <cell r="R703" t="str">
            <v>A</v>
          </cell>
          <cell r="X703">
            <v>57</v>
          </cell>
        </row>
        <row r="704">
          <cell r="C704">
            <v>43221188</v>
          </cell>
          <cell r="D704" t="str">
            <v>ТОВ "МЕЙКАП ТРЕЙДІНГ"</v>
          </cell>
          <cell r="E704">
            <v>45869.487999999998</v>
          </cell>
          <cell r="F704">
            <v>45839</v>
          </cell>
          <cell r="G704" t="str">
            <v>C</v>
          </cell>
          <cell r="H704" t="str">
            <v>C</v>
          </cell>
          <cell r="I704" t="str">
            <v>B</v>
          </cell>
          <cell r="J704" t="str">
            <v>B</v>
          </cell>
          <cell r="K704" t="str">
            <v>B</v>
          </cell>
          <cell r="L704" t="str">
            <v>B</v>
          </cell>
          <cell r="M704" t="str">
            <v>A</v>
          </cell>
          <cell r="N704" t="str">
            <v>A</v>
          </cell>
          <cell r="O704" t="str">
            <v>A</v>
          </cell>
          <cell r="P704" t="str">
            <v>C</v>
          </cell>
          <cell r="Q704" t="str">
            <v>C</v>
          </cell>
          <cell r="R704" t="str">
            <v>A</v>
          </cell>
          <cell r="X704">
            <v>58.399999999999991</v>
          </cell>
        </row>
        <row r="705">
          <cell r="C705">
            <v>43248704</v>
          </cell>
          <cell r="D705" t="str">
            <v>ТОВ "МОДЕНА УКРАЇНА"</v>
          </cell>
          <cell r="E705">
            <v>45668.767200000002</v>
          </cell>
          <cell r="F705">
            <v>45566</v>
          </cell>
          <cell r="G705" t="str">
            <v>E</v>
          </cell>
          <cell r="H705" t="str">
            <v>C</v>
          </cell>
          <cell r="I705" t="str">
            <v>B</v>
          </cell>
          <cell r="J705" t="str">
            <v>B</v>
          </cell>
          <cell r="K705" t="str">
            <v>B</v>
          </cell>
          <cell r="L705" t="str">
            <v>B</v>
          </cell>
          <cell r="M705" t="str">
            <v>A</v>
          </cell>
          <cell r="N705" t="str">
            <v>B</v>
          </cell>
          <cell r="O705" t="str">
            <v>A</v>
          </cell>
          <cell r="P705" t="str">
            <v>B</v>
          </cell>
          <cell r="Q705" t="str">
            <v>B</v>
          </cell>
          <cell r="R705" t="str">
            <v>B</v>
          </cell>
          <cell r="X705">
            <v>51.1</v>
          </cell>
        </row>
        <row r="706">
          <cell r="C706">
            <v>43258230</v>
          </cell>
          <cell r="D706" t="str">
            <v>ТОВ "СТАНДАРТ ОЙЛ УКРАЇНА"</v>
          </cell>
          <cell r="E706">
            <v>45932</v>
          </cell>
          <cell r="F706">
            <v>45839</v>
          </cell>
          <cell r="G706" t="str">
            <v>E</v>
          </cell>
          <cell r="H706" t="str">
            <v>B</v>
          </cell>
          <cell r="I706" t="str">
            <v>A</v>
          </cell>
          <cell r="J706" t="str">
            <v>A</v>
          </cell>
          <cell r="K706" t="str">
            <v>D</v>
          </cell>
          <cell r="L706" t="str">
            <v>A</v>
          </cell>
          <cell r="M706" t="str">
            <v>A</v>
          </cell>
          <cell r="N706" t="str">
            <v>B</v>
          </cell>
          <cell r="O706" t="str">
            <v>A</v>
          </cell>
          <cell r="P706" t="str">
            <v>C</v>
          </cell>
          <cell r="Q706" t="str">
            <v>B</v>
          </cell>
          <cell r="R706" t="str">
            <v>A</v>
          </cell>
          <cell r="X706">
            <v>48.5</v>
          </cell>
        </row>
        <row r="707">
          <cell r="C707">
            <v>43265824</v>
          </cell>
          <cell r="D707" t="str">
            <v>ТОВ "Екобройлер"</v>
          </cell>
          <cell r="E707">
            <v>45958.760799999996</v>
          </cell>
          <cell r="F707">
            <v>45658</v>
          </cell>
          <cell r="G707" t="str">
            <v>E</v>
          </cell>
          <cell r="H707" t="str">
            <v>A</v>
          </cell>
          <cell r="I707" t="str">
            <v>B</v>
          </cell>
          <cell r="J707" t="str">
            <v>B</v>
          </cell>
          <cell r="K707" t="str">
            <v>D</v>
          </cell>
          <cell r="L707" t="str">
            <v>A</v>
          </cell>
          <cell r="M707" t="str">
            <v>A</v>
          </cell>
          <cell r="N707" t="str">
            <v>B</v>
          </cell>
          <cell r="O707" t="str">
            <v>A</v>
          </cell>
          <cell r="P707" t="str">
            <v>C</v>
          </cell>
          <cell r="Q707" t="str">
            <v>B</v>
          </cell>
          <cell r="R707" t="str">
            <v>A</v>
          </cell>
          <cell r="X707">
            <v>58.1</v>
          </cell>
        </row>
        <row r="708">
          <cell r="C708">
            <v>43301542</v>
          </cell>
          <cell r="D708" t="str">
            <v>ТОВ"КУЙДИЧ"</v>
          </cell>
          <cell r="E708">
            <v>45826.767599999999</v>
          </cell>
          <cell r="F708">
            <v>45748</v>
          </cell>
          <cell r="G708" t="str">
            <v>E</v>
          </cell>
          <cell r="H708" t="str">
            <v>B</v>
          </cell>
          <cell r="I708" t="str">
            <v>B</v>
          </cell>
          <cell r="J708" t="str">
            <v>A</v>
          </cell>
          <cell r="K708" t="str">
            <v>D</v>
          </cell>
          <cell r="L708" t="str">
            <v>B</v>
          </cell>
          <cell r="M708" t="str">
            <v>A</v>
          </cell>
          <cell r="N708" t="str">
            <v>B</v>
          </cell>
          <cell r="O708" t="str">
            <v>A</v>
          </cell>
          <cell r="P708" t="str">
            <v>C</v>
          </cell>
          <cell r="Q708" t="str">
            <v>C</v>
          </cell>
          <cell r="R708" t="str">
            <v>A</v>
          </cell>
          <cell r="X708">
            <v>46.3</v>
          </cell>
        </row>
        <row r="709">
          <cell r="C709">
            <v>43321291</v>
          </cell>
          <cell r="D709" t="str">
            <v>ТОВ "МІКСМАРТ"</v>
          </cell>
          <cell r="E709">
            <v>45762.612999999998</v>
          </cell>
          <cell r="F709">
            <v>45658</v>
          </cell>
          <cell r="G709" t="str">
            <v>E</v>
          </cell>
          <cell r="H709" t="str">
            <v>B</v>
          </cell>
          <cell r="I709" t="str">
            <v>A</v>
          </cell>
          <cell r="J709" t="str">
            <v>A</v>
          </cell>
          <cell r="K709" t="str">
            <v>D</v>
          </cell>
          <cell r="L709" t="str">
            <v>A</v>
          </cell>
          <cell r="M709" t="str">
            <v>A</v>
          </cell>
          <cell r="N709" t="str">
            <v>A</v>
          </cell>
          <cell r="O709" t="str">
            <v>A</v>
          </cell>
          <cell r="P709" t="str">
            <v>C</v>
          </cell>
          <cell r="Q709" t="str">
            <v>B</v>
          </cell>
          <cell r="R709" t="str">
            <v>A</v>
          </cell>
          <cell r="X709">
            <v>51.800000000000004</v>
          </cell>
        </row>
        <row r="710">
          <cell r="C710">
            <v>43325558</v>
          </cell>
          <cell r="D710" t="str">
            <v>ТОВ "КІВІСМАРТЮА"</v>
          </cell>
          <cell r="E710">
            <v>45804.666599999997</v>
          </cell>
          <cell r="F710">
            <v>45658</v>
          </cell>
          <cell r="G710" t="str">
            <v>E</v>
          </cell>
          <cell r="H710" t="str">
            <v>C</v>
          </cell>
          <cell r="I710" t="str">
            <v>A</v>
          </cell>
          <cell r="J710" t="str">
            <v>C</v>
          </cell>
          <cell r="K710" t="str">
            <v>D</v>
          </cell>
          <cell r="L710" t="str">
            <v>B</v>
          </cell>
          <cell r="M710" t="str">
            <v>B</v>
          </cell>
          <cell r="N710" t="str">
            <v>B</v>
          </cell>
          <cell r="O710" t="str">
            <v>A</v>
          </cell>
          <cell r="P710" t="str">
            <v>C</v>
          </cell>
          <cell r="Q710" t="str">
            <v>B</v>
          </cell>
          <cell r="R710" t="str">
            <v>B</v>
          </cell>
          <cell r="X710">
            <v>37.699999999999996</v>
          </cell>
        </row>
        <row r="711">
          <cell r="C711">
            <v>43338593</v>
          </cell>
          <cell r="D711" t="str">
            <v>ТОВ "НОВОТЕРМ"</v>
          </cell>
          <cell r="E711">
            <v>45764.534</v>
          </cell>
          <cell r="F711">
            <v>45658</v>
          </cell>
          <cell r="G711" t="str">
            <v>E</v>
          </cell>
          <cell r="H711" t="str">
            <v>C</v>
          </cell>
          <cell r="I711" t="str">
            <v>B</v>
          </cell>
          <cell r="J711" t="str">
            <v>B</v>
          </cell>
          <cell r="K711" t="str">
            <v>E</v>
          </cell>
          <cell r="L711" t="str">
            <v>A</v>
          </cell>
          <cell r="M711" t="str">
            <v>B</v>
          </cell>
          <cell r="N711" t="str">
            <v>A</v>
          </cell>
          <cell r="O711" t="str">
            <v>B</v>
          </cell>
          <cell r="P711" t="str">
            <v>C</v>
          </cell>
          <cell r="Q711" t="str">
            <v>B</v>
          </cell>
          <cell r="R711" t="str">
            <v>C</v>
          </cell>
          <cell r="X711">
            <v>40.200000000000003</v>
          </cell>
        </row>
        <row r="712">
          <cell r="C712">
            <v>43418783</v>
          </cell>
          <cell r="D712" t="str">
            <v>ТОВ "ОПЕРАТОР ЕНЕРГІЇ"</v>
          </cell>
          <cell r="E712">
            <v>45691</v>
          </cell>
          <cell r="F712">
            <v>45566</v>
          </cell>
          <cell r="G712" t="str">
            <v>E</v>
          </cell>
          <cell r="H712" t="str">
            <v>B</v>
          </cell>
          <cell r="I712" t="str">
            <v>B</v>
          </cell>
          <cell r="J712" t="str">
            <v>B</v>
          </cell>
          <cell r="K712" t="str">
            <v>D</v>
          </cell>
          <cell r="L712" t="str">
            <v>B</v>
          </cell>
          <cell r="M712" t="str">
            <v>A</v>
          </cell>
          <cell r="N712" t="str">
            <v>B</v>
          </cell>
          <cell r="O712" t="str">
            <v>A</v>
          </cell>
          <cell r="P712" t="str">
            <v>C</v>
          </cell>
          <cell r="Q712" t="str">
            <v>B</v>
          </cell>
          <cell r="R712" t="str">
            <v>C</v>
          </cell>
          <cell r="X712">
            <v>44.9</v>
          </cell>
        </row>
        <row r="713">
          <cell r="C713">
            <v>43433487</v>
          </cell>
          <cell r="D713" t="str">
            <v>ТОВ "ВІНДЕР"</v>
          </cell>
          <cell r="E713">
            <v>45971.514499999997</v>
          </cell>
          <cell r="F713">
            <v>45748</v>
          </cell>
          <cell r="G713" t="str">
            <v>E</v>
          </cell>
          <cell r="H713" t="str">
            <v>B</v>
          </cell>
          <cell r="I713" t="str">
            <v>B</v>
          </cell>
          <cell r="J713" t="str">
            <v>A</v>
          </cell>
          <cell r="K713" t="str">
            <v>E</v>
          </cell>
          <cell r="L713" t="str">
            <v>B</v>
          </cell>
          <cell r="M713" t="str">
            <v>A</v>
          </cell>
          <cell r="N713" t="str">
            <v>B</v>
          </cell>
          <cell r="O713" t="str">
            <v>A</v>
          </cell>
          <cell r="P713" t="str">
            <v>C</v>
          </cell>
          <cell r="Q713" t="str">
            <v>B</v>
          </cell>
          <cell r="R713" t="str">
            <v>A</v>
          </cell>
          <cell r="X713">
            <v>46.9</v>
          </cell>
        </row>
        <row r="714">
          <cell r="C714">
            <v>43438129</v>
          </cell>
          <cell r="D714" t="str">
            <v>ТОВ "СЛАВСКІ"</v>
          </cell>
          <cell r="E714">
            <v>45853.710099999997</v>
          </cell>
          <cell r="F714">
            <v>45748</v>
          </cell>
          <cell r="G714" t="str">
            <v>D</v>
          </cell>
          <cell r="H714" t="str">
            <v>C</v>
          </cell>
          <cell r="I714" t="str">
            <v>A</v>
          </cell>
          <cell r="J714" t="str">
            <v>A</v>
          </cell>
          <cell r="K714" t="str">
            <v>C</v>
          </cell>
          <cell r="L714" t="str">
            <v>A</v>
          </cell>
          <cell r="M714" t="str">
            <v>A</v>
          </cell>
          <cell r="N714" t="str">
            <v>B</v>
          </cell>
          <cell r="O714" t="str">
            <v>A</v>
          </cell>
          <cell r="P714" t="str">
            <v>B</v>
          </cell>
          <cell r="Q714" t="str">
            <v>B</v>
          </cell>
          <cell r="R714" t="str">
            <v>B</v>
          </cell>
          <cell r="X714">
            <v>51.500000000000007</v>
          </cell>
        </row>
        <row r="715">
          <cell r="C715">
            <v>43438883</v>
          </cell>
          <cell r="D715" t="str">
            <v>ТОВ "УКРКАПІТАЛ ТРЕЙД"</v>
          </cell>
          <cell r="E715">
            <v>45705.537300000004</v>
          </cell>
          <cell r="F715">
            <v>45566</v>
          </cell>
          <cell r="G715" t="str">
            <v>E</v>
          </cell>
          <cell r="H715" t="str">
            <v>B</v>
          </cell>
          <cell r="I715" t="str">
            <v>A</v>
          </cell>
          <cell r="J715" t="str">
            <v>A</v>
          </cell>
          <cell r="K715" t="str">
            <v>D</v>
          </cell>
          <cell r="L715" t="str">
            <v>A</v>
          </cell>
          <cell r="M715" t="str">
            <v>A</v>
          </cell>
          <cell r="N715" t="str">
            <v>B</v>
          </cell>
          <cell r="O715" t="str">
            <v>A</v>
          </cell>
          <cell r="P715" t="str">
            <v>B</v>
          </cell>
          <cell r="Q715" t="str">
            <v>B</v>
          </cell>
          <cell r="R715" t="str">
            <v>A</v>
          </cell>
          <cell r="X715">
            <v>50.300000000000004</v>
          </cell>
        </row>
        <row r="716">
          <cell r="C716">
            <v>43440447</v>
          </cell>
          <cell r="D716" t="str">
            <v>ТОВ "ЛЬВІВІМПОРТ"</v>
          </cell>
          <cell r="E716">
            <v>45938.493799999997</v>
          </cell>
          <cell r="F716">
            <v>45839</v>
          </cell>
          <cell r="G716" t="str">
            <v>E</v>
          </cell>
          <cell r="H716" t="str">
            <v>C</v>
          </cell>
          <cell r="I716" t="str">
            <v>B</v>
          </cell>
          <cell r="J716" t="str">
            <v>A</v>
          </cell>
          <cell r="K716" t="str">
            <v>D</v>
          </cell>
          <cell r="L716" t="str">
            <v>B</v>
          </cell>
          <cell r="M716" t="str">
            <v>B</v>
          </cell>
          <cell r="N716" t="str">
            <v>B</v>
          </cell>
          <cell r="O716" t="str">
            <v>A</v>
          </cell>
          <cell r="P716" t="str">
            <v>C</v>
          </cell>
          <cell r="Q716" t="str">
            <v>C</v>
          </cell>
          <cell r="R716" t="str">
            <v>A</v>
          </cell>
          <cell r="X716">
            <v>38.299999999999997</v>
          </cell>
        </row>
        <row r="717">
          <cell r="C717">
            <v>43469326</v>
          </cell>
          <cell r="D717" t="str">
            <v>ТОВ "НОВА ШИНА"</v>
          </cell>
          <cell r="E717">
            <v>45631.604599999999</v>
          </cell>
          <cell r="F717">
            <v>45566</v>
          </cell>
          <cell r="G717" t="str">
            <v>E</v>
          </cell>
          <cell r="H717" t="str">
            <v>B</v>
          </cell>
          <cell r="I717" t="str">
            <v>B</v>
          </cell>
          <cell r="J717" t="str">
            <v>B</v>
          </cell>
          <cell r="K717" t="str">
            <v>B</v>
          </cell>
          <cell r="L717" t="str">
            <v>A</v>
          </cell>
          <cell r="M717" t="str">
            <v>A</v>
          </cell>
          <cell r="N717" t="str">
            <v>B</v>
          </cell>
          <cell r="O717" t="str">
            <v>A</v>
          </cell>
          <cell r="P717" t="str">
            <v>A</v>
          </cell>
          <cell r="Q717" t="str">
            <v>B</v>
          </cell>
          <cell r="R717" t="str">
            <v>A</v>
          </cell>
          <cell r="X717">
            <v>63.500000000000007</v>
          </cell>
        </row>
        <row r="718">
          <cell r="C718">
            <v>43483826</v>
          </cell>
          <cell r="D718" t="str">
            <v>ТОВ "ІНТЕРДЖУС БУКОВИНА"</v>
          </cell>
          <cell r="E718">
            <v>45855.744400000003</v>
          </cell>
          <cell r="F718">
            <v>45748</v>
          </cell>
          <cell r="G718" t="str">
            <v>C</v>
          </cell>
          <cell r="H718" t="str">
            <v>B</v>
          </cell>
          <cell r="I718" t="str">
            <v>B</v>
          </cell>
          <cell r="J718" t="str">
            <v>C</v>
          </cell>
          <cell r="K718" t="str">
            <v>C</v>
          </cell>
          <cell r="L718" t="str">
            <v>B</v>
          </cell>
          <cell r="M718" t="str">
            <v>A</v>
          </cell>
          <cell r="N718" t="str">
            <v>A</v>
          </cell>
          <cell r="O718" t="str">
            <v>A</v>
          </cell>
          <cell r="P718" t="str">
            <v>A</v>
          </cell>
          <cell r="Q718" t="str">
            <v>A</v>
          </cell>
          <cell r="R718" t="str">
            <v>B</v>
          </cell>
          <cell r="X718">
            <v>66.800000000000011</v>
          </cell>
        </row>
        <row r="719">
          <cell r="C719">
            <v>43486570</v>
          </cell>
          <cell r="D719" t="str">
            <v>ТОВ "СТРИМ ТЕХНО"</v>
          </cell>
          <cell r="E719">
            <v>45964.677600000003</v>
          </cell>
          <cell r="F719">
            <v>45839</v>
          </cell>
          <cell r="G719" t="str">
            <v>E</v>
          </cell>
          <cell r="H719" t="str">
            <v>B</v>
          </cell>
          <cell r="I719" t="str">
            <v>B</v>
          </cell>
          <cell r="J719" t="str">
            <v>A</v>
          </cell>
          <cell r="K719" t="str">
            <v>B</v>
          </cell>
          <cell r="L719" t="str">
            <v>A</v>
          </cell>
          <cell r="M719" t="str">
            <v>A</v>
          </cell>
          <cell r="N719" t="str">
            <v>B</v>
          </cell>
          <cell r="O719" t="str">
            <v>A</v>
          </cell>
          <cell r="P719" t="str">
            <v>C</v>
          </cell>
          <cell r="Q719" t="str">
            <v>B</v>
          </cell>
          <cell r="R719" t="str">
            <v>A</v>
          </cell>
          <cell r="X719">
            <v>56.500000000000007</v>
          </cell>
        </row>
        <row r="720">
          <cell r="C720">
            <v>43491842</v>
          </cell>
          <cell r="D720" t="str">
            <v>ТОВ "ГУДГРЕЙН"</v>
          </cell>
          <cell r="E720">
            <v>45982.425900000002</v>
          </cell>
          <cell r="F720">
            <v>45931</v>
          </cell>
          <cell r="G720" t="str">
            <v>E</v>
          </cell>
          <cell r="H720" t="str">
            <v>B</v>
          </cell>
          <cell r="I720" t="str">
            <v>B</v>
          </cell>
          <cell r="J720" t="str">
            <v>A</v>
          </cell>
          <cell r="K720" t="str">
            <v>D</v>
          </cell>
          <cell r="L720" t="str">
            <v>A</v>
          </cell>
          <cell r="M720" t="str">
            <v>A</v>
          </cell>
          <cell r="N720" t="str">
            <v>B</v>
          </cell>
          <cell r="O720" t="str">
            <v>A</v>
          </cell>
          <cell r="P720" t="str">
            <v>C</v>
          </cell>
          <cell r="Q720" t="str">
            <v>B</v>
          </cell>
          <cell r="R720" t="str">
            <v>A</v>
          </cell>
          <cell r="X720">
            <v>52.9</v>
          </cell>
        </row>
        <row r="721">
          <cell r="C721">
            <v>43501436</v>
          </cell>
          <cell r="D721" t="str">
            <v>ТОВ "-ОСК-"</v>
          </cell>
          <cell r="E721">
            <v>45859.740899999997</v>
          </cell>
          <cell r="F721">
            <v>45748</v>
          </cell>
          <cell r="G721" t="str">
            <v>E</v>
          </cell>
          <cell r="H721" t="str">
            <v>A</v>
          </cell>
          <cell r="I721" t="str">
            <v>D</v>
          </cell>
          <cell r="J721" t="str">
            <v>A</v>
          </cell>
          <cell r="K721" t="str">
            <v>A</v>
          </cell>
          <cell r="L721" t="str">
            <v>B</v>
          </cell>
          <cell r="M721" t="str">
            <v>A</v>
          </cell>
          <cell r="N721" t="str">
            <v>B</v>
          </cell>
          <cell r="O721" t="str">
            <v>A</v>
          </cell>
          <cell r="P721" t="str">
            <v>C</v>
          </cell>
          <cell r="Q721" t="str">
            <v>B</v>
          </cell>
          <cell r="R721" t="str">
            <v>A</v>
          </cell>
          <cell r="X721">
            <v>48.499999999999993</v>
          </cell>
        </row>
        <row r="722">
          <cell r="C722">
            <v>43505142</v>
          </cell>
          <cell r="D722" t="str">
            <v>ТОВ "ДК ТРЕЙД 2020"</v>
          </cell>
          <cell r="E722">
            <v>45926.787499999999</v>
          </cell>
          <cell r="F722">
            <v>45839</v>
          </cell>
          <cell r="G722" t="str">
            <v>E</v>
          </cell>
          <cell r="H722" t="str">
            <v>B</v>
          </cell>
          <cell r="I722" t="str">
            <v>B</v>
          </cell>
          <cell r="J722" t="str">
            <v>A</v>
          </cell>
          <cell r="K722" t="str">
            <v>D</v>
          </cell>
          <cell r="L722" t="str">
            <v>A</v>
          </cell>
          <cell r="M722" t="str">
            <v>A</v>
          </cell>
          <cell r="N722" t="str">
            <v>B</v>
          </cell>
          <cell r="O722" t="str">
            <v>A</v>
          </cell>
          <cell r="P722" t="str">
            <v>C</v>
          </cell>
          <cell r="Q722" t="str">
            <v>C</v>
          </cell>
          <cell r="R722" t="str">
            <v>A</v>
          </cell>
          <cell r="X722">
            <v>51.099999999999994</v>
          </cell>
        </row>
        <row r="723">
          <cell r="C723">
            <v>43512956</v>
          </cell>
          <cell r="D723" t="str">
            <v>ТОВ "АЛЬФА ДИСТРИБЬЮШН"</v>
          </cell>
          <cell r="E723">
            <v>45674.584699999999</v>
          </cell>
          <cell r="F723">
            <v>45566</v>
          </cell>
          <cell r="G723" t="str">
            <v>D</v>
          </cell>
          <cell r="H723" t="str">
            <v>B</v>
          </cell>
          <cell r="I723" t="str">
            <v>B</v>
          </cell>
          <cell r="J723" t="str">
            <v>A</v>
          </cell>
          <cell r="K723" t="str">
            <v>D</v>
          </cell>
          <cell r="L723" t="str">
            <v>B</v>
          </cell>
          <cell r="M723" t="str">
            <v>A</v>
          </cell>
          <cell r="N723" t="str">
            <v>B</v>
          </cell>
          <cell r="O723" t="str">
            <v>B</v>
          </cell>
          <cell r="P723" t="str">
            <v>C</v>
          </cell>
          <cell r="Q723" t="str">
            <v>B</v>
          </cell>
          <cell r="R723" t="str">
            <v>C</v>
          </cell>
          <cell r="X723">
            <v>42.1</v>
          </cell>
        </row>
        <row r="724">
          <cell r="C724">
            <v>43516421</v>
          </cell>
          <cell r="D724" t="str">
            <v>ТОВ "ІН ФОРС ГРУП"</v>
          </cell>
          <cell r="E724">
            <v>45735.508099999999</v>
          </cell>
          <cell r="F724">
            <v>45566</v>
          </cell>
          <cell r="G724" t="str">
            <v>E</v>
          </cell>
          <cell r="H724" t="str">
            <v>C</v>
          </cell>
          <cell r="I724" t="str">
            <v>C</v>
          </cell>
          <cell r="J724" t="str">
            <v>A</v>
          </cell>
          <cell r="K724" t="str">
            <v>C</v>
          </cell>
          <cell r="L724" t="str">
            <v>B</v>
          </cell>
          <cell r="M724" t="str">
            <v>A</v>
          </cell>
          <cell r="N724" t="str">
            <v>B</v>
          </cell>
          <cell r="O724" t="str">
            <v>A</v>
          </cell>
          <cell r="P724" t="str">
            <v>C</v>
          </cell>
          <cell r="Q724" t="str">
            <v>B</v>
          </cell>
          <cell r="R724" t="str">
            <v>C</v>
          </cell>
          <cell r="X724">
            <v>35.299999999999997</v>
          </cell>
        </row>
        <row r="725">
          <cell r="C725">
            <v>43526760</v>
          </cell>
          <cell r="D725" t="str">
            <v>ТОВ "ТК ДТ-ЧЕРНІГІВ"</v>
          </cell>
          <cell r="E725">
            <v>45792.39</v>
          </cell>
          <cell r="F725">
            <v>45658</v>
          </cell>
          <cell r="G725" t="str">
            <v>D</v>
          </cell>
          <cell r="H725" t="str">
            <v>A</v>
          </cell>
          <cell r="I725" t="str">
            <v>C</v>
          </cell>
          <cell r="J725" t="str">
            <v>C</v>
          </cell>
          <cell r="K725" t="str">
            <v>E</v>
          </cell>
          <cell r="L725" t="str">
            <v>A</v>
          </cell>
          <cell r="M725" t="str">
            <v>A</v>
          </cell>
          <cell r="N725" t="str">
            <v>C</v>
          </cell>
          <cell r="O725" t="str">
            <v>A</v>
          </cell>
          <cell r="P725" t="str">
            <v>C</v>
          </cell>
          <cell r="Q725" t="str">
            <v>C</v>
          </cell>
          <cell r="R725" t="str">
            <v>B</v>
          </cell>
          <cell r="X725">
            <v>48.4</v>
          </cell>
        </row>
        <row r="726">
          <cell r="C726">
            <v>43561521</v>
          </cell>
          <cell r="D726" t="str">
            <v>ТОВ "Сан Ван Персонал"</v>
          </cell>
          <cell r="E726">
            <v>45852.507299999997</v>
          </cell>
          <cell r="F726">
            <v>45748</v>
          </cell>
          <cell r="G726" t="str">
            <v>D</v>
          </cell>
          <cell r="H726" t="str">
            <v>A</v>
          </cell>
          <cell r="I726" t="str">
            <v>B</v>
          </cell>
          <cell r="J726" t="str">
            <v>C</v>
          </cell>
          <cell r="K726" t="str">
            <v>D</v>
          </cell>
          <cell r="L726" t="str">
            <v>B</v>
          </cell>
          <cell r="M726" t="str">
            <v>B</v>
          </cell>
          <cell r="N726" t="str">
            <v>B</v>
          </cell>
          <cell r="O726" t="str">
            <v>A</v>
          </cell>
          <cell r="P726" t="str">
            <v>A</v>
          </cell>
          <cell r="Q726" t="str">
            <v>C</v>
          </cell>
          <cell r="R726" t="str">
            <v>C</v>
          </cell>
          <cell r="X726">
            <v>49.7</v>
          </cell>
        </row>
        <row r="727">
          <cell r="C727">
            <v>43592481</v>
          </cell>
          <cell r="D727" t="str">
            <v>ТОВ "УТЛ-2"</v>
          </cell>
          <cell r="E727">
            <v>45929.4493</v>
          </cell>
          <cell r="F727">
            <v>45839</v>
          </cell>
          <cell r="G727" t="str">
            <v>D</v>
          </cell>
          <cell r="H727" t="str">
            <v>A</v>
          </cell>
          <cell r="I727" t="str">
            <v>B</v>
          </cell>
          <cell r="J727" t="str">
            <v>C</v>
          </cell>
          <cell r="K727" t="str">
            <v>E</v>
          </cell>
          <cell r="L727" t="str">
            <v>B</v>
          </cell>
          <cell r="M727" t="str">
            <v>A</v>
          </cell>
          <cell r="N727" t="str">
            <v>B</v>
          </cell>
          <cell r="O727" t="str">
            <v>A</v>
          </cell>
          <cell r="P727" t="str">
            <v>C</v>
          </cell>
          <cell r="Q727" t="str">
            <v>A</v>
          </cell>
          <cell r="R727" t="str">
            <v>B</v>
          </cell>
          <cell r="X727">
            <v>57.300000000000004</v>
          </cell>
        </row>
        <row r="728">
          <cell r="C728">
            <v>43593108</v>
          </cell>
          <cell r="D728" t="str">
            <v>ТОВ "МКО ТРАНС-СЕРВІС"</v>
          </cell>
          <cell r="E728">
            <v>45601.797700000003</v>
          </cell>
          <cell r="F728">
            <v>45566</v>
          </cell>
          <cell r="G728" t="str">
            <v>E</v>
          </cell>
          <cell r="H728" t="str">
            <v>B</v>
          </cell>
          <cell r="I728" t="str">
            <v>B</v>
          </cell>
          <cell r="J728" t="str">
            <v>A</v>
          </cell>
          <cell r="K728" t="str">
            <v>D</v>
          </cell>
          <cell r="L728" t="str">
            <v>A</v>
          </cell>
          <cell r="M728" t="str">
            <v>A</v>
          </cell>
          <cell r="N728" t="str">
            <v>A</v>
          </cell>
          <cell r="O728" t="str">
            <v>A</v>
          </cell>
          <cell r="P728" t="str">
            <v>C</v>
          </cell>
          <cell r="Q728" t="str">
            <v>B</v>
          </cell>
          <cell r="R728" t="str">
            <v>A</v>
          </cell>
          <cell r="X728">
            <v>56.199999999999996</v>
          </cell>
        </row>
        <row r="729">
          <cell r="C729">
            <v>43604989</v>
          </cell>
          <cell r="D729" t="str">
            <v>ТОВ "МІРУМ"</v>
          </cell>
          <cell r="E729">
            <v>45933.931400000001</v>
          </cell>
          <cell r="F729">
            <v>45839</v>
          </cell>
          <cell r="G729" t="str">
            <v>E</v>
          </cell>
          <cell r="H729" t="str">
            <v>D</v>
          </cell>
          <cell r="I729" t="str">
            <v>A</v>
          </cell>
          <cell r="J729" t="str">
            <v>B</v>
          </cell>
          <cell r="K729" t="str">
            <v>D</v>
          </cell>
          <cell r="L729" t="str">
            <v>B</v>
          </cell>
          <cell r="M729" t="str">
            <v>B</v>
          </cell>
          <cell r="N729" t="str">
            <v>B</v>
          </cell>
          <cell r="O729" t="str">
            <v>A</v>
          </cell>
          <cell r="P729" t="str">
            <v>C</v>
          </cell>
          <cell r="Q729" t="str">
            <v>B</v>
          </cell>
          <cell r="R729" t="str">
            <v>A</v>
          </cell>
          <cell r="X729">
            <v>34.5</v>
          </cell>
        </row>
        <row r="730">
          <cell r="C730">
            <v>43639643</v>
          </cell>
          <cell r="D730" t="str">
            <v>ТОВ "ЛЕКСКОРП"</v>
          </cell>
          <cell r="E730">
            <v>45826.77</v>
          </cell>
          <cell r="F730">
            <v>45658</v>
          </cell>
          <cell r="G730" t="str">
            <v>D</v>
          </cell>
          <cell r="H730" t="str">
            <v>B</v>
          </cell>
          <cell r="I730" t="str">
            <v>B</v>
          </cell>
          <cell r="J730" t="str">
            <v>B</v>
          </cell>
          <cell r="K730" t="str">
            <v>B</v>
          </cell>
          <cell r="L730" t="str">
            <v>B</v>
          </cell>
          <cell r="M730" t="str">
            <v>A</v>
          </cell>
          <cell r="N730" t="str">
            <v>B</v>
          </cell>
          <cell r="O730" t="str">
            <v>A</v>
          </cell>
          <cell r="P730" t="str">
            <v>C</v>
          </cell>
          <cell r="Q730" t="str">
            <v>C</v>
          </cell>
          <cell r="R730" t="str">
            <v>C</v>
          </cell>
          <cell r="X730">
            <v>50.3</v>
          </cell>
        </row>
        <row r="731">
          <cell r="C731">
            <v>43642500</v>
          </cell>
          <cell r="D731" t="str">
            <v>ТОВ "ФЕРРУМ-СТІЛ"</v>
          </cell>
          <cell r="E731">
            <v>45918.413399999998</v>
          </cell>
          <cell r="F731">
            <v>45839</v>
          </cell>
          <cell r="G731" t="str">
            <v>E</v>
          </cell>
          <cell r="H731" t="str">
            <v>B</v>
          </cell>
          <cell r="I731" t="str">
            <v>B</v>
          </cell>
          <cell r="J731" t="str">
            <v>A</v>
          </cell>
          <cell r="K731" t="str">
            <v>D</v>
          </cell>
          <cell r="L731" t="str">
            <v>A</v>
          </cell>
          <cell r="M731" t="str">
            <v>A</v>
          </cell>
          <cell r="N731" t="str">
            <v>B</v>
          </cell>
          <cell r="O731" t="str">
            <v>A</v>
          </cell>
          <cell r="P731" t="str">
            <v>C</v>
          </cell>
          <cell r="Q731" t="str">
            <v>B</v>
          </cell>
          <cell r="R731" t="str">
            <v>A</v>
          </cell>
          <cell r="X731">
            <v>52.9</v>
          </cell>
        </row>
        <row r="732">
          <cell r="C732">
            <v>43645208</v>
          </cell>
          <cell r="D732" t="str">
            <v>ТОВ "НОВІС ТРЕЙД"</v>
          </cell>
          <cell r="E732">
            <v>45849.693099999997</v>
          </cell>
          <cell r="F732">
            <v>45658</v>
          </cell>
          <cell r="G732" t="str">
            <v>E</v>
          </cell>
          <cell r="H732" t="str">
            <v>A</v>
          </cell>
          <cell r="I732" t="str">
            <v>D</v>
          </cell>
          <cell r="J732" t="str">
            <v>B</v>
          </cell>
          <cell r="K732" t="str">
            <v>D</v>
          </cell>
          <cell r="L732" t="str">
            <v>B</v>
          </cell>
          <cell r="M732" t="str">
            <v>B</v>
          </cell>
          <cell r="N732" t="str">
            <v>B</v>
          </cell>
          <cell r="O732" t="str">
            <v>A</v>
          </cell>
          <cell r="P732" t="str">
            <v>C</v>
          </cell>
          <cell r="Q732" t="str">
            <v>B</v>
          </cell>
          <cell r="R732" t="str">
            <v>B</v>
          </cell>
          <cell r="X732">
            <v>36.5</v>
          </cell>
        </row>
        <row r="733">
          <cell r="C733">
            <v>43656115</v>
          </cell>
          <cell r="D733" t="str">
            <v>ТОВ "УРБАН-МЕНЕДЖМЕНТ"</v>
          </cell>
          <cell r="E733">
            <v>45833.396000000001</v>
          </cell>
          <cell r="F733">
            <v>45658</v>
          </cell>
          <cell r="G733" t="str">
            <v>D</v>
          </cell>
          <cell r="H733" t="str">
            <v>C</v>
          </cell>
          <cell r="I733" t="str">
            <v>B</v>
          </cell>
          <cell r="J733" t="str">
            <v>D</v>
          </cell>
          <cell r="K733" t="str">
            <v>D</v>
          </cell>
          <cell r="L733" t="str">
            <v>B</v>
          </cell>
          <cell r="M733" t="str">
            <v>A</v>
          </cell>
          <cell r="N733" t="str">
            <v>B</v>
          </cell>
          <cell r="O733" t="str">
            <v>A</v>
          </cell>
          <cell r="P733" t="str">
            <v>C</v>
          </cell>
          <cell r="Q733" t="str">
            <v>B</v>
          </cell>
          <cell r="R733" t="str">
            <v>B</v>
          </cell>
          <cell r="X733">
            <v>54.5</v>
          </cell>
        </row>
        <row r="734">
          <cell r="C734">
            <v>43660488</v>
          </cell>
          <cell r="D734" t="str">
            <v>ТОВ "ТІКИЧ ЕНЕРДЖІ"</v>
          </cell>
          <cell r="E734">
            <v>45574.680099999998</v>
          </cell>
          <cell r="F734">
            <v>45474</v>
          </cell>
          <cell r="G734" t="str">
            <v>E</v>
          </cell>
          <cell r="H734" t="str">
            <v>C</v>
          </cell>
          <cell r="I734" t="str">
            <v>A</v>
          </cell>
          <cell r="J734" t="str">
            <v>B</v>
          </cell>
          <cell r="K734" t="str">
            <v>D</v>
          </cell>
          <cell r="L734" t="str">
            <v>B</v>
          </cell>
          <cell r="M734" t="str">
            <v>A</v>
          </cell>
          <cell r="N734" t="str">
            <v>A</v>
          </cell>
          <cell r="O734" t="str">
            <v>A</v>
          </cell>
          <cell r="P734" t="str">
            <v>C</v>
          </cell>
          <cell r="Q734" t="str">
            <v>B</v>
          </cell>
          <cell r="R734" t="str">
            <v>C</v>
          </cell>
          <cell r="X734">
            <v>42.199999999999996</v>
          </cell>
        </row>
        <row r="735">
          <cell r="C735">
            <v>43672556</v>
          </cell>
          <cell r="D735" t="str">
            <v>ТОВ "ЛІО ТРАСТ"</v>
          </cell>
          <cell r="E735">
            <v>45888.693700000003</v>
          </cell>
          <cell r="F735">
            <v>45658</v>
          </cell>
          <cell r="G735" t="str">
            <v>E</v>
          </cell>
          <cell r="H735" t="str">
            <v>B</v>
          </cell>
          <cell r="I735" t="str">
            <v>B</v>
          </cell>
          <cell r="J735" t="str">
            <v>A</v>
          </cell>
          <cell r="K735" t="str">
            <v>D</v>
          </cell>
          <cell r="L735" t="str">
            <v>B</v>
          </cell>
          <cell r="M735" t="str">
            <v>A</v>
          </cell>
          <cell r="N735" t="str">
            <v>B</v>
          </cell>
          <cell r="O735" t="str">
            <v>A</v>
          </cell>
          <cell r="P735" t="str">
            <v>C</v>
          </cell>
          <cell r="Q735" t="str">
            <v>B</v>
          </cell>
          <cell r="R735" t="str">
            <v>C</v>
          </cell>
          <cell r="X735">
            <v>42.1</v>
          </cell>
        </row>
        <row r="736">
          <cell r="C736">
            <v>43674360</v>
          </cell>
          <cell r="D736" t="str">
            <v>ТОВ "ПЗОЛ "ШКОЛА БАЗИС" М.КИЇВ"</v>
          </cell>
          <cell r="E736">
            <v>45926.6057</v>
          </cell>
          <cell r="F736">
            <v>45839</v>
          </cell>
          <cell r="G736" t="str">
            <v>E</v>
          </cell>
          <cell r="H736" t="str">
            <v>B</v>
          </cell>
          <cell r="I736" t="str">
            <v>B</v>
          </cell>
          <cell r="J736" t="str">
            <v>A</v>
          </cell>
          <cell r="K736" t="str">
            <v>E</v>
          </cell>
          <cell r="L736" t="str">
            <v>B</v>
          </cell>
          <cell r="M736" t="str">
            <v>A</v>
          </cell>
          <cell r="N736" t="str">
            <v>C</v>
          </cell>
          <cell r="O736" t="str">
            <v>A</v>
          </cell>
          <cell r="P736" t="str">
            <v>C</v>
          </cell>
          <cell r="Q736" t="str">
            <v>B</v>
          </cell>
          <cell r="R736" t="str">
            <v>C</v>
          </cell>
          <cell r="X736">
            <v>39.4</v>
          </cell>
        </row>
        <row r="737">
          <cell r="C737">
            <v>43687819</v>
          </cell>
          <cell r="D737" t="str">
            <v>ТОВ "САНОЛТА КОРМ"</v>
          </cell>
          <cell r="E737">
            <v>45841</v>
          </cell>
          <cell r="F737">
            <v>45748</v>
          </cell>
          <cell r="G737" t="str">
            <v>D</v>
          </cell>
          <cell r="H737" t="str">
            <v>B</v>
          </cell>
          <cell r="I737" t="str">
            <v>C</v>
          </cell>
          <cell r="J737" t="str">
            <v>B</v>
          </cell>
          <cell r="K737" t="str">
            <v>D</v>
          </cell>
          <cell r="L737" t="str">
            <v>B</v>
          </cell>
          <cell r="M737" t="str">
            <v>A</v>
          </cell>
          <cell r="N737" t="str">
            <v>B</v>
          </cell>
          <cell r="O737" t="str">
            <v>A</v>
          </cell>
          <cell r="P737" t="str">
            <v>C</v>
          </cell>
          <cell r="Q737" t="str">
            <v>C</v>
          </cell>
          <cell r="R737" t="str">
            <v>B</v>
          </cell>
          <cell r="X737">
            <v>41.099999999999994</v>
          </cell>
        </row>
        <row r="738">
          <cell r="C738">
            <v>43688681</v>
          </cell>
          <cell r="D738" t="str">
            <v>ТОВ "ДК "ГЛОБАЛ-СЕРВІС"</v>
          </cell>
          <cell r="E738">
            <v>45967.4395</v>
          </cell>
          <cell r="F738">
            <v>45839</v>
          </cell>
          <cell r="G738" t="str">
            <v>D</v>
          </cell>
          <cell r="H738" t="str">
            <v>A</v>
          </cell>
          <cell r="I738" t="str">
            <v>B</v>
          </cell>
          <cell r="J738" t="str">
            <v>A</v>
          </cell>
          <cell r="K738" t="str">
            <v>B</v>
          </cell>
          <cell r="L738" t="str">
            <v>A</v>
          </cell>
          <cell r="M738" t="str">
            <v>A</v>
          </cell>
          <cell r="N738" t="str">
            <v>A</v>
          </cell>
          <cell r="O738" t="str">
            <v>A</v>
          </cell>
          <cell r="P738" t="str">
            <v>C</v>
          </cell>
          <cell r="Q738" t="str">
            <v>B</v>
          </cell>
          <cell r="R738" t="str">
            <v>A</v>
          </cell>
          <cell r="X738">
            <v>65.800000000000011</v>
          </cell>
        </row>
        <row r="739">
          <cell r="C739">
            <v>43696781</v>
          </cell>
          <cell r="D739" t="str">
            <v>ТОВ "Е-ВЕНДОР"</v>
          </cell>
          <cell r="E739">
            <v>45705.6607</v>
          </cell>
          <cell r="F739">
            <v>45658</v>
          </cell>
          <cell r="G739" t="str">
            <v>E</v>
          </cell>
          <cell r="H739" t="str">
            <v>B</v>
          </cell>
          <cell r="I739" t="str">
            <v>A</v>
          </cell>
          <cell r="J739" t="str">
            <v>A</v>
          </cell>
          <cell r="K739" t="str">
            <v>C</v>
          </cell>
          <cell r="L739" t="str">
            <v>B</v>
          </cell>
          <cell r="M739" t="str">
            <v>A</v>
          </cell>
          <cell r="N739" t="str">
            <v>B</v>
          </cell>
          <cell r="O739" t="str">
            <v>A</v>
          </cell>
          <cell r="P739" t="str">
            <v>C</v>
          </cell>
          <cell r="Q739" t="str">
            <v>B</v>
          </cell>
          <cell r="R739" t="str">
            <v>A</v>
          </cell>
          <cell r="X739">
            <v>46.5</v>
          </cell>
        </row>
        <row r="740">
          <cell r="C740">
            <v>43717167</v>
          </cell>
          <cell r="D740" t="str">
            <v>ТОВ "ПОЛО-ІНВЕСТБУД"</v>
          </cell>
          <cell r="E740">
            <v>45926.523699999998</v>
          </cell>
          <cell r="F740">
            <v>45839</v>
          </cell>
          <cell r="G740" t="str">
            <v>E</v>
          </cell>
          <cell r="H740" t="str">
            <v>B</v>
          </cell>
          <cell r="I740" t="str">
            <v>B</v>
          </cell>
          <cell r="J740" t="str">
            <v>C</v>
          </cell>
          <cell r="K740" t="str">
            <v>D</v>
          </cell>
          <cell r="L740" t="str">
            <v>B</v>
          </cell>
          <cell r="M740" t="str">
            <v>A</v>
          </cell>
          <cell r="N740" t="str">
            <v>B</v>
          </cell>
          <cell r="O740" t="str">
            <v>B</v>
          </cell>
          <cell r="P740" t="str">
            <v>C</v>
          </cell>
          <cell r="Q740" t="str">
            <v>C</v>
          </cell>
          <cell r="R740" t="str">
            <v>C</v>
          </cell>
          <cell r="X740">
            <v>42.3</v>
          </cell>
        </row>
        <row r="741">
          <cell r="C741">
            <v>43721702</v>
          </cell>
          <cell r="D741" t="str">
            <v>ТОВ "РЕГІОН ЕНЕРГОПОСТАЧ"</v>
          </cell>
          <cell r="E741">
            <v>45971.5092</v>
          </cell>
          <cell r="F741">
            <v>45931</v>
          </cell>
          <cell r="G741" t="str">
            <v>E</v>
          </cell>
          <cell r="H741" t="str">
            <v>A</v>
          </cell>
          <cell r="I741" t="str">
            <v>A</v>
          </cell>
          <cell r="J741" t="str">
            <v>A</v>
          </cell>
          <cell r="K741" t="str">
            <v>C</v>
          </cell>
          <cell r="L741" t="str">
            <v>A</v>
          </cell>
          <cell r="M741" t="str">
            <v>A</v>
          </cell>
          <cell r="N741" t="str">
            <v>B</v>
          </cell>
          <cell r="O741" t="str">
            <v>A</v>
          </cell>
          <cell r="P741" t="str">
            <v>C</v>
          </cell>
          <cell r="Q741" t="str">
            <v>B</v>
          </cell>
          <cell r="R741" t="str">
            <v>A</v>
          </cell>
          <cell r="X741">
            <v>53.7</v>
          </cell>
        </row>
        <row r="742">
          <cell r="C742">
            <v>43738098</v>
          </cell>
          <cell r="D742" t="str">
            <v>ТОВ "Імпортмакс"</v>
          </cell>
          <cell r="E742">
            <v>45979.511200000001</v>
          </cell>
          <cell r="F742">
            <v>45839</v>
          </cell>
          <cell r="G742" t="str">
            <v>E</v>
          </cell>
          <cell r="H742" t="str">
            <v>C</v>
          </cell>
          <cell r="I742" t="str">
            <v>A</v>
          </cell>
          <cell r="J742" t="str">
            <v>B</v>
          </cell>
          <cell r="K742" t="str">
            <v>D</v>
          </cell>
          <cell r="L742" t="str">
            <v>B</v>
          </cell>
          <cell r="M742" t="str">
            <v>A</v>
          </cell>
          <cell r="N742" t="str">
            <v>C</v>
          </cell>
          <cell r="O742" t="str">
            <v>A</v>
          </cell>
          <cell r="P742" t="str">
            <v>C</v>
          </cell>
          <cell r="Q742" t="str">
            <v>C</v>
          </cell>
          <cell r="R742" t="str">
            <v>C</v>
          </cell>
          <cell r="X742">
            <v>35.599999999999994</v>
          </cell>
        </row>
        <row r="743">
          <cell r="C743">
            <v>43743616</v>
          </cell>
          <cell r="D743" t="str">
            <v>ТОВ "ЛИС-ІНДАСТРІЗ"</v>
          </cell>
          <cell r="E743">
            <v>45948.830699999999</v>
          </cell>
          <cell r="F743">
            <v>45658</v>
          </cell>
          <cell r="G743" t="str">
            <v>E</v>
          </cell>
          <cell r="H743" t="str">
            <v>B</v>
          </cell>
          <cell r="I743" t="str">
            <v>B</v>
          </cell>
          <cell r="J743" t="str">
            <v>A</v>
          </cell>
          <cell r="K743" t="str">
            <v>D</v>
          </cell>
          <cell r="L743" t="str">
            <v>B</v>
          </cell>
          <cell r="M743" t="str">
            <v>B</v>
          </cell>
          <cell r="N743" t="str">
            <v>B</v>
          </cell>
          <cell r="O743" t="str">
            <v>A</v>
          </cell>
          <cell r="P743" t="str">
            <v>C</v>
          </cell>
          <cell r="Q743" t="str">
            <v>B</v>
          </cell>
          <cell r="R743" t="str">
            <v>A</v>
          </cell>
          <cell r="X743">
            <v>41.7</v>
          </cell>
        </row>
        <row r="744">
          <cell r="C744">
            <v>43790289</v>
          </cell>
          <cell r="D744" t="str">
            <v>ТОВ "ЛОГІСТИКС СОЛЮШНЗ"</v>
          </cell>
          <cell r="E744">
            <v>45958.610699999997</v>
          </cell>
          <cell r="F744">
            <v>45839</v>
          </cell>
          <cell r="G744" t="str">
            <v>E</v>
          </cell>
          <cell r="H744" t="str">
            <v>B</v>
          </cell>
          <cell r="I744" t="str">
            <v>B</v>
          </cell>
          <cell r="J744" t="str">
            <v>A</v>
          </cell>
          <cell r="K744" t="str">
            <v>E</v>
          </cell>
          <cell r="L744" t="str">
            <v>A</v>
          </cell>
          <cell r="M744" t="str">
            <v>A</v>
          </cell>
          <cell r="N744" t="str">
            <v>B</v>
          </cell>
          <cell r="O744" t="str">
            <v>A</v>
          </cell>
          <cell r="P744" t="str">
            <v>C</v>
          </cell>
          <cell r="Q744" t="str">
            <v>B</v>
          </cell>
          <cell r="R744" t="str">
            <v>B</v>
          </cell>
          <cell r="X744">
            <v>48.1</v>
          </cell>
        </row>
        <row r="745">
          <cell r="C745">
            <v>43815842</v>
          </cell>
          <cell r="D745" t="str">
            <v>ТОВ "ДЕЙЛI ФРУКТ"</v>
          </cell>
          <cell r="E745">
            <v>45668.767200000002</v>
          </cell>
          <cell r="F745">
            <v>45566</v>
          </cell>
          <cell r="G745" t="str">
            <v>E</v>
          </cell>
          <cell r="H745" t="str">
            <v>C</v>
          </cell>
          <cell r="I745" t="str">
            <v>B</v>
          </cell>
          <cell r="J745" t="str">
            <v>B</v>
          </cell>
          <cell r="K745" t="str">
            <v>B</v>
          </cell>
          <cell r="L745" t="str">
            <v>B</v>
          </cell>
          <cell r="M745" t="str">
            <v>A</v>
          </cell>
          <cell r="N745" t="str">
            <v>B</v>
          </cell>
          <cell r="O745" t="str">
            <v>A</v>
          </cell>
          <cell r="P745" t="str">
            <v>B</v>
          </cell>
          <cell r="Q745" t="str">
            <v>B</v>
          </cell>
          <cell r="R745" t="str">
            <v>B</v>
          </cell>
          <cell r="X745">
            <v>51.1</v>
          </cell>
        </row>
        <row r="746">
          <cell r="C746">
            <v>43824993</v>
          </cell>
          <cell r="D746" t="str">
            <v>ТОВ "СКАЙ МОТОРС+"</v>
          </cell>
          <cell r="E746">
            <v>45777.672400000003</v>
          </cell>
          <cell r="F746">
            <v>45658</v>
          </cell>
          <cell r="G746" t="str">
            <v>E</v>
          </cell>
          <cell r="H746" t="str">
            <v>A</v>
          </cell>
          <cell r="I746" t="str">
            <v>C</v>
          </cell>
          <cell r="J746" t="str">
            <v>C</v>
          </cell>
          <cell r="K746" t="str">
            <v>A</v>
          </cell>
          <cell r="L746" t="str">
            <v>A</v>
          </cell>
          <cell r="M746" t="str">
            <v>A</v>
          </cell>
          <cell r="N746" t="str">
            <v>A</v>
          </cell>
          <cell r="O746" t="str">
            <v>A</v>
          </cell>
          <cell r="P746" t="str">
            <v>C</v>
          </cell>
          <cell r="Q746" t="str">
            <v>B</v>
          </cell>
          <cell r="R746" t="str">
            <v>A</v>
          </cell>
          <cell r="X746">
            <v>61</v>
          </cell>
        </row>
        <row r="747">
          <cell r="C747">
            <v>43835001</v>
          </cell>
          <cell r="D747" t="str">
            <v>ТОВ «ТРЕЙДАГРОХІМ ГРУП»</v>
          </cell>
          <cell r="E747">
            <v>45903.529499999997</v>
          </cell>
          <cell r="F747">
            <v>45839</v>
          </cell>
          <cell r="G747" t="str">
            <v>E</v>
          </cell>
          <cell r="H747" t="str">
            <v>B</v>
          </cell>
          <cell r="I747" t="str">
            <v>B</v>
          </cell>
          <cell r="J747" t="str">
            <v>B</v>
          </cell>
          <cell r="K747" t="str">
            <v>D</v>
          </cell>
          <cell r="L747" t="str">
            <v>A</v>
          </cell>
          <cell r="M747" t="str">
            <v>A</v>
          </cell>
          <cell r="N747" t="str">
            <v>B</v>
          </cell>
          <cell r="O747" t="str">
            <v>A</v>
          </cell>
          <cell r="P747" t="str">
            <v>C</v>
          </cell>
          <cell r="Q747" t="str">
            <v>B</v>
          </cell>
          <cell r="R747" t="str">
            <v>B</v>
          </cell>
          <cell r="X747">
            <v>52.1</v>
          </cell>
        </row>
        <row r="748">
          <cell r="C748">
            <v>43843618</v>
          </cell>
          <cell r="D748" t="str">
            <v>ТОВ "ВКМ"</v>
          </cell>
          <cell r="E748">
            <v>45953.611799999999</v>
          </cell>
          <cell r="F748">
            <v>45839</v>
          </cell>
          <cell r="G748" t="str">
            <v>E</v>
          </cell>
          <cell r="H748" t="str">
            <v>B</v>
          </cell>
          <cell r="I748" t="str">
            <v>B</v>
          </cell>
          <cell r="J748" t="str">
            <v>B</v>
          </cell>
          <cell r="K748" t="str">
            <v>B</v>
          </cell>
          <cell r="L748" t="str">
            <v>A</v>
          </cell>
          <cell r="M748" t="str">
            <v>A</v>
          </cell>
          <cell r="N748" t="str">
            <v>B</v>
          </cell>
          <cell r="O748" t="str">
            <v>A</v>
          </cell>
          <cell r="P748" t="str">
            <v>C</v>
          </cell>
          <cell r="Q748" t="str">
            <v>B</v>
          </cell>
          <cell r="R748" t="str">
            <v>A</v>
          </cell>
          <cell r="X748">
            <v>59.300000000000004</v>
          </cell>
        </row>
        <row r="749">
          <cell r="C749">
            <v>43876135</v>
          </cell>
          <cell r="D749" t="str">
            <v>ТЗОВ "ТЕРМОПЛАСТ М"</v>
          </cell>
          <cell r="E749">
            <v>45841</v>
          </cell>
          <cell r="F749">
            <v>45658</v>
          </cell>
          <cell r="G749" t="str">
            <v>E</v>
          </cell>
          <cell r="H749" t="str">
            <v>C</v>
          </cell>
          <cell r="I749" t="str">
            <v>B</v>
          </cell>
          <cell r="J749" t="str">
            <v>A</v>
          </cell>
          <cell r="K749" t="str">
            <v>D</v>
          </cell>
          <cell r="L749" t="str">
            <v>A</v>
          </cell>
          <cell r="M749" t="str">
            <v>A</v>
          </cell>
          <cell r="N749" t="str">
            <v>B</v>
          </cell>
          <cell r="O749" t="str">
            <v>A</v>
          </cell>
          <cell r="P749" t="str">
            <v>C</v>
          </cell>
          <cell r="Q749" t="str">
            <v>B</v>
          </cell>
          <cell r="R749" t="str">
            <v>A</v>
          </cell>
          <cell r="X749">
            <v>51.3</v>
          </cell>
        </row>
        <row r="750">
          <cell r="C750">
            <v>43880602</v>
          </cell>
          <cell r="D750" t="str">
            <v>ТОВ "НІКО МЕГАПОЛІС"</v>
          </cell>
          <cell r="E750">
            <v>45720.589599999999</v>
          </cell>
          <cell r="F750">
            <v>45658</v>
          </cell>
          <cell r="G750" t="str">
            <v>E</v>
          </cell>
          <cell r="H750" t="str">
            <v>D</v>
          </cell>
          <cell r="I750" t="str">
            <v>C</v>
          </cell>
          <cell r="J750" t="str">
            <v>C</v>
          </cell>
          <cell r="K750" t="str">
            <v>D</v>
          </cell>
          <cell r="L750" t="str">
            <v>B</v>
          </cell>
          <cell r="M750" t="str">
            <v>A</v>
          </cell>
          <cell r="N750" t="str">
            <v>C</v>
          </cell>
          <cell r="O750" t="str">
            <v>B</v>
          </cell>
          <cell r="P750" t="str">
            <v>C</v>
          </cell>
          <cell r="Q750" t="str">
            <v>B</v>
          </cell>
          <cell r="R750" t="str">
            <v>C</v>
          </cell>
          <cell r="X750">
            <v>29</v>
          </cell>
        </row>
        <row r="751">
          <cell r="C751">
            <v>43890029</v>
          </cell>
          <cell r="D751" t="str">
            <v>ТОВ "ФТД-РИТЕЙЛ"</v>
          </cell>
          <cell r="E751">
            <v>45911.612500000003</v>
          </cell>
          <cell r="F751">
            <v>45839</v>
          </cell>
          <cell r="G751" t="str">
            <v>C</v>
          </cell>
          <cell r="H751" t="str">
            <v>C</v>
          </cell>
          <cell r="I751" t="str">
            <v>B</v>
          </cell>
          <cell r="J751" t="str">
            <v>B</v>
          </cell>
          <cell r="K751" t="str">
            <v>D</v>
          </cell>
          <cell r="L751" t="str">
            <v>A</v>
          </cell>
          <cell r="M751" t="str">
            <v>A</v>
          </cell>
          <cell r="N751" t="str">
            <v>A</v>
          </cell>
          <cell r="O751" t="str">
            <v>A</v>
          </cell>
          <cell r="P751" t="str">
            <v>B</v>
          </cell>
          <cell r="Q751" t="str">
            <v>C</v>
          </cell>
          <cell r="R751" t="str">
            <v>B</v>
          </cell>
          <cell r="X751">
            <v>57.8</v>
          </cell>
        </row>
        <row r="752">
          <cell r="C752">
            <v>43917951</v>
          </cell>
          <cell r="D752" t="str">
            <v>ТОВ "ПРАЙМ ЛОГІСТІКС"</v>
          </cell>
          <cell r="E752">
            <v>45948.830699999999</v>
          </cell>
          <cell r="F752">
            <v>45658</v>
          </cell>
          <cell r="G752" t="str">
            <v>E</v>
          </cell>
          <cell r="H752" t="str">
            <v>B</v>
          </cell>
          <cell r="I752" t="str">
            <v>B</v>
          </cell>
          <cell r="J752" t="str">
            <v>A</v>
          </cell>
          <cell r="K752" t="str">
            <v>D</v>
          </cell>
          <cell r="L752" t="str">
            <v>B</v>
          </cell>
          <cell r="M752" t="str">
            <v>B</v>
          </cell>
          <cell r="N752" t="str">
            <v>B</v>
          </cell>
          <cell r="O752" t="str">
            <v>A</v>
          </cell>
          <cell r="P752" t="str">
            <v>C</v>
          </cell>
          <cell r="Q752" t="str">
            <v>B</v>
          </cell>
          <cell r="R752" t="str">
            <v>A</v>
          </cell>
          <cell r="X752">
            <v>41.7</v>
          </cell>
        </row>
        <row r="753">
          <cell r="C753">
            <v>43927472</v>
          </cell>
          <cell r="D753" t="str">
            <v>ТОВ "СП.ЧЕРНІГІВ"</v>
          </cell>
          <cell r="E753">
            <v>45861.418100000003</v>
          </cell>
          <cell r="F753">
            <v>45748</v>
          </cell>
          <cell r="G753" t="str">
            <v>E</v>
          </cell>
          <cell r="H753" t="str">
            <v>B</v>
          </cell>
          <cell r="I753" t="str">
            <v>B</v>
          </cell>
          <cell r="J753" t="str">
            <v>C</v>
          </cell>
          <cell r="K753" t="str">
            <v>D</v>
          </cell>
          <cell r="L753" t="str">
            <v>A</v>
          </cell>
          <cell r="M753" t="str">
            <v>A</v>
          </cell>
          <cell r="N753" t="str">
            <v>B</v>
          </cell>
          <cell r="O753" t="str">
            <v>B</v>
          </cell>
          <cell r="P753" t="str">
            <v>C</v>
          </cell>
          <cell r="Q753" t="str">
            <v>B</v>
          </cell>
          <cell r="R753" t="str">
            <v>C</v>
          </cell>
          <cell r="X753">
            <v>48.900000000000006</v>
          </cell>
        </row>
        <row r="754">
          <cell r="C754">
            <v>43956964</v>
          </cell>
          <cell r="D754" t="str">
            <v>ТОВ "ПІЛЛАР ЛОДЖИСТІКС"</v>
          </cell>
          <cell r="E754">
            <v>45730.524599999997</v>
          </cell>
          <cell r="F754">
            <v>45566</v>
          </cell>
          <cell r="G754" t="str">
            <v>E</v>
          </cell>
          <cell r="H754" t="str">
            <v>B</v>
          </cell>
          <cell r="I754" t="str">
            <v>C</v>
          </cell>
          <cell r="J754" t="str">
            <v>C</v>
          </cell>
          <cell r="K754" t="str">
            <v>E</v>
          </cell>
          <cell r="L754" t="str">
            <v>C</v>
          </cell>
          <cell r="M754" t="str">
            <v>B</v>
          </cell>
          <cell r="N754" t="str">
            <v>B</v>
          </cell>
          <cell r="O754" t="str">
            <v>A</v>
          </cell>
          <cell r="P754" t="str">
            <v>C</v>
          </cell>
          <cell r="Q754" t="str">
            <v>B</v>
          </cell>
          <cell r="R754" t="str">
            <v>B</v>
          </cell>
          <cell r="X754">
            <v>33.700000000000003</v>
          </cell>
        </row>
        <row r="755">
          <cell r="C755">
            <v>43957266</v>
          </cell>
          <cell r="D755" t="str">
            <v>ТОВ «ГРУПА БІЗНЕСІНВЕСТ»</v>
          </cell>
          <cell r="E755">
            <v>45901.414599999996</v>
          </cell>
          <cell r="F755">
            <v>45658</v>
          </cell>
          <cell r="G755" t="str">
            <v>E</v>
          </cell>
          <cell r="H755" t="str">
            <v>A</v>
          </cell>
          <cell r="I755" t="str">
            <v>D</v>
          </cell>
          <cell r="J755" t="str">
            <v>A</v>
          </cell>
          <cell r="K755" t="str">
            <v>D</v>
          </cell>
          <cell r="L755" t="str">
            <v>A</v>
          </cell>
          <cell r="M755" t="str">
            <v>A</v>
          </cell>
          <cell r="N755" t="str">
            <v>B</v>
          </cell>
          <cell r="O755" t="str">
            <v>A</v>
          </cell>
          <cell r="P755" t="str">
            <v>C</v>
          </cell>
          <cell r="Q755" t="str">
            <v>B</v>
          </cell>
          <cell r="R755" t="str">
            <v>A</v>
          </cell>
          <cell r="X755">
            <v>48.499999999999993</v>
          </cell>
        </row>
        <row r="756">
          <cell r="C756">
            <v>44000701</v>
          </cell>
          <cell r="D756" t="str">
            <v>ПП "ІН ФОРС КЕМІКАЛ"</v>
          </cell>
          <cell r="E756">
            <v>45735.508099999999</v>
          </cell>
          <cell r="F756">
            <v>45566</v>
          </cell>
          <cell r="G756" t="str">
            <v>E</v>
          </cell>
          <cell r="H756" t="str">
            <v>C</v>
          </cell>
          <cell r="I756" t="str">
            <v>C</v>
          </cell>
          <cell r="J756" t="str">
            <v>A</v>
          </cell>
          <cell r="K756" t="str">
            <v>C</v>
          </cell>
          <cell r="L756" t="str">
            <v>B</v>
          </cell>
          <cell r="M756" t="str">
            <v>A</v>
          </cell>
          <cell r="N756" t="str">
            <v>B</v>
          </cell>
          <cell r="O756" t="str">
            <v>A</v>
          </cell>
          <cell r="P756" t="str">
            <v>C</v>
          </cell>
          <cell r="Q756" t="str">
            <v>B</v>
          </cell>
          <cell r="R756" t="str">
            <v>C</v>
          </cell>
          <cell r="X756">
            <v>35.299999999999997</v>
          </cell>
        </row>
        <row r="757">
          <cell r="C757">
            <v>44012172</v>
          </cell>
          <cell r="D757" t="str">
            <v>ТОВ "МИКИТІВСЬКИЙ ГРАНІТ"</v>
          </cell>
          <cell r="E757">
            <v>45938.627</v>
          </cell>
          <cell r="F757">
            <v>45839</v>
          </cell>
          <cell r="G757" t="str">
            <v>E</v>
          </cell>
          <cell r="H757" t="str">
            <v>B</v>
          </cell>
          <cell r="I757" t="str">
            <v>B</v>
          </cell>
          <cell r="J757" t="str">
            <v>A</v>
          </cell>
          <cell r="K757" t="str">
            <v>D</v>
          </cell>
          <cell r="L757" t="str">
            <v>A</v>
          </cell>
          <cell r="M757" t="str">
            <v>A</v>
          </cell>
          <cell r="N757" t="str">
            <v>B</v>
          </cell>
          <cell r="O757" t="str">
            <v>A</v>
          </cell>
          <cell r="P757" t="str">
            <v>C</v>
          </cell>
          <cell r="Q757" t="str">
            <v>B</v>
          </cell>
          <cell r="R757" t="str">
            <v>C</v>
          </cell>
          <cell r="X757">
            <v>46.9</v>
          </cell>
        </row>
        <row r="758">
          <cell r="C758">
            <v>44021873</v>
          </cell>
          <cell r="D758" t="str">
            <v>ТОВ "МАУДАУ"</v>
          </cell>
          <cell r="E758">
            <v>45840.463900000002</v>
          </cell>
          <cell r="F758">
            <v>45658</v>
          </cell>
          <cell r="G758" t="str">
            <v>C</v>
          </cell>
          <cell r="H758" t="str">
            <v>D</v>
          </cell>
          <cell r="I758" t="str">
            <v>D</v>
          </cell>
          <cell r="J758" t="str">
            <v>D</v>
          </cell>
          <cell r="K758" t="str">
            <v>C</v>
          </cell>
          <cell r="L758" t="str">
            <v>A</v>
          </cell>
          <cell r="M758" t="str">
            <v>B</v>
          </cell>
          <cell r="N758" t="str">
            <v>A</v>
          </cell>
          <cell r="O758" t="str">
            <v>A</v>
          </cell>
          <cell r="P758" t="str">
            <v>A</v>
          </cell>
          <cell r="Q758" t="str">
            <v>B</v>
          </cell>
          <cell r="R758" t="str">
            <v>A</v>
          </cell>
          <cell r="X758">
            <v>56.4</v>
          </cell>
        </row>
        <row r="759">
          <cell r="C759">
            <v>44056419</v>
          </cell>
          <cell r="D759" t="str">
            <v>ТОВ "ТВІСТ РОБОТІКС УКРАЇНА"</v>
          </cell>
          <cell r="E759">
            <v>45853.861799999999</v>
          </cell>
          <cell r="F759">
            <v>45658</v>
          </cell>
          <cell r="G759" t="str">
            <v>E</v>
          </cell>
          <cell r="H759" t="str">
            <v>B</v>
          </cell>
          <cell r="I759" t="str">
            <v>B</v>
          </cell>
          <cell r="J759" t="str">
            <v>A</v>
          </cell>
          <cell r="K759" t="str">
            <v>C</v>
          </cell>
          <cell r="L759" t="str">
            <v>A</v>
          </cell>
          <cell r="M759" t="str">
            <v>A</v>
          </cell>
          <cell r="N759" t="str">
            <v>B</v>
          </cell>
          <cell r="O759" t="str">
            <v>A</v>
          </cell>
          <cell r="P759" t="str">
            <v>B</v>
          </cell>
          <cell r="Q759" t="str">
            <v>B</v>
          </cell>
          <cell r="R759" t="str">
            <v>A</v>
          </cell>
          <cell r="X759">
            <v>57.500000000000007</v>
          </cell>
        </row>
        <row r="760">
          <cell r="C760">
            <v>44057449</v>
          </cell>
          <cell r="D760" t="str">
            <v>ТОВ "МСФО 16 С"</v>
          </cell>
          <cell r="E760">
            <v>45840.463900000002</v>
          </cell>
          <cell r="F760">
            <v>45658</v>
          </cell>
          <cell r="G760" t="str">
            <v>C</v>
          </cell>
          <cell r="H760" t="str">
            <v>D</v>
          </cell>
          <cell r="I760" t="str">
            <v>D</v>
          </cell>
          <cell r="J760" t="str">
            <v>D</v>
          </cell>
          <cell r="K760" t="str">
            <v>C</v>
          </cell>
          <cell r="L760" t="str">
            <v>A</v>
          </cell>
          <cell r="M760" t="str">
            <v>B</v>
          </cell>
          <cell r="N760" t="str">
            <v>A</v>
          </cell>
          <cell r="O760" t="str">
            <v>A</v>
          </cell>
          <cell r="P760" t="str">
            <v>A</v>
          </cell>
          <cell r="Q760" t="str">
            <v>B</v>
          </cell>
          <cell r="R760" t="str">
            <v>A</v>
          </cell>
          <cell r="X760">
            <v>56.4</v>
          </cell>
        </row>
        <row r="761">
          <cell r="C761">
            <v>44093424</v>
          </cell>
          <cell r="D761" t="str">
            <v>ТОВ "АГРОІНВЕСТ ХОЛДИНГ СТАРОВІРІВКА"</v>
          </cell>
          <cell r="E761">
            <v>45919.717900000003</v>
          </cell>
          <cell r="F761">
            <v>45658</v>
          </cell>
          <cell r="G761" t="str">
            <v>E</v>
          </cell>
          <cell r="H761" t="str">
            <v>C</v>
          </cell>
          <cell r="I761" t="str">
            <v>B</v>
          </cell>
          <cell r="J761" t="str">
            <v>A</v>
          </cell>
          <cell r="K761" t="str">
            <v>D</v>
          </cell>
          <cell r="L761" t="str">
            <v>A</v>
          </cell>
          <cell r="M761" t="str">
            <v>A</v>
          </cell>
          <cell r="N761" t="str">
            <v>B</v>
          </cell>
          <cell r="O761" t="str">
            <v>A</v>
          </cell>
          <cell r="P761" t="str">
            <v>C</v>
          </cell>
          <cell r="Q761" t="str">
            <v>B</v>
          </cell>
          <cell r="R761" t="str">
            <v>A</v>
          </cell>
          <cell r="X761">
            <v>51.3</v>
          </cell>
        </row>
        <row r="762">
          <cell r="C762">
            <v>44095332</v>
          </cell>
          <cell r="D762" t="str">
            <v>ТОВ «ЖЛГК»</v>
          </cell>
          <cell r="E762">
            <v>45782.682800000002</v>
          </cell>
          <cell r="F762">
            <v>45658</v>
          </cell>
          <cell r="G762" t="str">
            <v>D</v>
          </cell>
          <cell r="H762" t="str">
            <v>B</v>
          </cell>
          <cell r="I762" t="str">
            <v>C</v>
          </cell>
          <cell r="J762" t="str">
            <v>A</v>
          </cell>
          <cell r="K762" t="str">
            <v>D</v>
          </cell>
          <cell r="L762" t="str">
            <v>B</v>
          </cell>
          <cell r="M762" t="str">
            <v>A</v>
          </cell>
          <cell r="N762" t="str">
            <v>C</v>
          </cell>
          <cell r="O762" t="str">
            <v>A</v>
          </cell>
          <cell r="P762" t="str">
            <v>B</v>
          </cell>
          <cell r="Q762" t="str">
            <v>B</v>
          </cell>
          <cell r="R762" t="str">
            <v>A</v>
          </cell>
          <cell r="X762">
            <v>44</v>
          </cell>
        </row>
        <row r="763">
          <cell r="C763">
            <v>44098532</v>
          </cell>
          <cell r="D763" t="str">
            <v>ТОВ "БВС РИТЕЙЛ"</v>
          </cell>
          <cell r="E763">
            <v>45665.7255</v>
          </cell>
          <cell r="F763">
            <v>45566</v>
          </cell>
          <cell r="G763" t="str">
            <v>D</v>
          </cell>
          <cell r="H763" t="str">
            <v>B</v>
          </cell>
          <cell r="I763" t="str">
            <v>B</v>
          </cell>
          <cell r="J763" t="str">
            <v>D</v>
          </cell>
          <cell r="K763" t="str">
            <v>C</v>
          </cell>
          <cell r="L763" t="str">
            <v>A</v>
          </cell>
          <cell r="M763" t="str">
            <v>A</v>
          </cell>
          <cell r="N763" t="str">
            <v>B</v>
          </cell>
          <cell r="O763" t="str">
            <v>A</v>
          </cell>
          <cell r="P763" t="str">
            <v>C</v>
          </cell>
          <cell r="Q763" t="str">
            <v>B</v>
          </cell>
          <cell r="R763" t="str">
            <v>B</v>
          </cell>
          <cell r="X763">
            <v>63.7</v>
          </cell>
        </row>
        <row r="764">
          <cell r="C764">
            <v>44098710</v>
          </cell>
          <cell r="D764" t="str">
            <v>ПрАТ "УКРФІНЖИТЛО"</v>
          </cell>
          <cell r="E764">
            <v>45775.705000000002</v>
          </cell>
          <cell r="F764">
            <v>45658</v>
          </cell>
          <cell r="G764" t="str">
            <v>A</v>
          </cell>
          <cell r="H764" t="str">
            <v>A</v>
          </cell>
          <cell r="I764" t="str">
            <v>A</v>
          </cell>
          <cell r="J764" t="str">
            <v>A</v>
          </cell>
          <cell r="K764" t="str">
            <v>D</v>
          </cell>
          <cell r="L764" t="str">
            <v>A</v>
          </cell>
          <cell r="M764" t="str">
            <v>A</v>
          </cell>
          <cell r="N764" t="str">
            <v>B</v>
          </cell>
          <cell r="O764" t="str">
            <v>A</v>
          </cell>
          <cell r="P764" t="str">
            <v>C</v>
          </cell>
          <cell r="Q764" t="str">
            <v>B</v>
          </cell>
          <cell r="R764" t="str">
            <v>A</v>
          </cell>
          <cell r="X764">
            <v>57.300000000000004</v>
          </cell>
        </row>
        <row r="765">
          <cell r="C765">
            <v>44131548</v>
          </cell>
          <cell r="D765" t="str">
            <v>ТОВ "СТІЛПЛАСТ"</v>
          </cell>
          <cell r="E765">
            <v>45848.468200000003</v>
          </cell>
          <cell r="F765">
            <v>45658</v>
          </cell>
          <cell r="G765" t="str">
            <v>E</v>
          </cell>
          <cell r="H765" t="str">
            <v>A</v>
          </cell>
          <cell r="I765" t="str">
            <v>C</v>
          </cell>
          <cell r="J765" t="str">
            <v>A</v>
          </cell>
          <cell r="K765" t="str">
            <v>C</v>
          </cell>
          <cell r="L765" t="str">
            <v>B</v>
          </cell>
          <cell r="M765" t="str">
            <v>A</v>
          </cell>
          <cell r="N765" t="str">
            <v>B</v>
          </cell>
          <cell r="O765" t="str">
            <v>A</v>
          </cell>
          <cell r="P765" t="str">
            <v>C</v>
          </cell>
          <cell r="Q765" t="str">
            <v>B</v>
          </cell>
          <cell r="R765" t="str">
            <v>A</v>
          </cell>
          <cell r="X765">
            <v>45.3</v>
          </cell>
        </row>
        <row r="766">
          <cell r="C766">
            <v>44182000</v>
          </cell>
          <cell r="D766" t="str">
            <v>ТОВ "ПОЛІМЕР ТРЕЙДІНГ"</v>
          </cell>
          <cell r="E766">
            <v>45756.561500000003</v>
          </cell>
          <cell r="F766">
            <v>45658</v>
          </cell>
          <cell r="G766" t="str">
            <v>E</v>
          </cell>
          <cell r="H766" t="str">
            <v>B</v>
          </cell>
          <cell r="I766" t="str">
            <v>A</v>
          </cell>
          <cell r="J766" t="str">
            <v>A</v>
          </cell>
          <cell r="K766" t="str">
            <v>D</v>
          </cell>
          <cell r="L766" t="str">
            <v>A</v>
          </cell>
          <cell r="M766" t="str">
            <v>A</v>
          </cell>
          <cell r="N766" t="str">
            <v>B</v>
          </cell>
          <cell r="O766" t="str">
            <v>A</v>
          </cell>
          <cell r="P766" t="str">
            <v>C</v>
          </cell>
          <cell r="Q766" t="str">
            <v>C</v>
          </cell>
          <cell r="R766" t="str">
            <v>A</v>
          </cell>
          <cell r="X766">
            <v>46.699999999999996</v>
          </cell>
        </row>
        <row r="767">
          <cell r="C767">
            <v>44207700</v>
          </cell>
          <cell r="D767" t="str">
            <v>ПП "ГУРМЕ ГРУП"</v>
          </cell>
          <cell r="E767">
            <v>45870.475599999998</v>
          </cell>
          <cell r="F767">
            <v>45658</v>
          </cell>
          <cell r="G767" t="str">
            <v>E</v>
          </cell>
          <cell r="H767" t="str">
            <v>B</v>
          </cell>
          <cell r="I767" t="str">
            <v>B</v>
          </cell>
          <cell r="J767" t="str">
            <v>A</v>
          </cell>
          <cell r="K767" t="str">
            <v>D</v>
          </cell>
          <cell r="L767" t="str">
            <v>B</v>
          </cell>
          <cell r="M767" t="str">
            <v>A</v>
          </cell>
          <cell r="N767" t="str">
            <v>B</v>
          </cell>
          <cell r="O767" t="str">
            <v>B</v>
          </cell>
          <cell r="P767" t="str">
            <v>C</v>
          </cell>
          <cell r="Q767" t="str">
            <v>C</v>
          </cell>
          <cell r="R767" t="str">
            <v>C</v>
          </cell>
          <cell r="X767">
            <v>36.699999999999996</v>
          </cell>
        </row>
        <row r="768">
          <cell r="C768">
            <v>44235654</v>
          </cell>
          <cell r="D768" t="str">
            <v>ТОВ «АМІКУМ ПЛЮС»</v>
          </cell>
          <cell r="E768">
            <v>45681.486799999999</v>
          </cell>
          <cell r="F768">
            <v>45566</v>
          </cell>
          <cell r="G768" t="str">
            <v>E</v>
          </cell>
          <cell r="H768" t="str">
            <v>B</v>
          </cell>
          <cell r="I768" t="str">
            <v>C</v>
          </cell>
          <cell r="J768" t="str">
            <v>B</v>
          </cell>
          <cell r="K768" t="str">
            <v>D</v>
          </cell>
          <cell r="L768" t="str">
            <v>B</v>
          </cell>
          <cell r="M768" t="str">
            <v>A</v>
          </cell>
          <cell r="N768" t="str">
            <v>B</v>
          </cell>
          <cell r="O768" t="str">
            <v>A</v>
          </cell>
          <cell r="P768" t="str">
            <v>C</v>
          </cell>
          <cell r="Q768" t="str">
            <v>B</v>
          </cell>
          <cell r="R768" t="str">
            <v>A</v>
          </cell>
          <cell r="X768">
            <v>42.9</v>
          </cell>
        </row>
        <row r="769">
          <cell r="C769">
            <v>44287456</v>
          </cell>
          <cell r="D769" t="str">
            <v>ТОВ "ТЕХАВТОФАРТ ПІВДЕНЬ"</v>
          </cell>
          <cell r="E769">
            <v>45713.4427</v>
          </cell>
          <cell r="F769">
            <v>45566</v>
          </cell>
          <cell r="G769" t="str">
            <v>D</v>
          </cell>
          <cell r="H769" t="str">
            <v>B</v>
          </cell>
          <cell r="I769" t="str">
            <v>B</v>
          </cell>
          <cell r="J769" t="str">
            <v>A</v>
          </cell>
          <cell r="K769" t="str">
            <v>D</v>
          </cell>
          <cell r="L769" t="str">
            <v>A</v>
          </cell>
          <cell r="M769" t="str">
            <v>A</v>
          </cell>
          <cell r="N769" t="str">
            <v>B</v>
          </cell>
          <cell r="O769" t="str">
            <v>A</v>
          </cell>
          <cell r="P769" t="str">
            <v>C</v>
          </cell>
          <cell r="Q769" t="str">
            <v>B</v>
          </cell>
          <cell r="R769" t="str">
            <v>A</v>
          </cell>
          <cell r="X769">
            <v>56.500000000000007</v>
          </cell>
        </row>
        <row r="770">
          <cell r="C770">
            <v>44303336</v>
          </cell>
          <cell r="D770" t="str">
            <v>ТОВАРИСТВО З ОБМЕЖЕНОЮ ВІДПОВІДАЛЬНІСТЮ ТД ТРЕЙДАГРОХІМЦЕНТР</v>
          </cell>
          <cell r="E770">
            <v>45903.529499999997</v>
          </cell>
          <cell r="F770">
            <v>45839</v>
          </cell>
          <cell r="G770" t="str">
            <v>E</v>
          </cell>
          <cell r="H770" t="str">
            <v>B</v>
          </cell>
          <cell r="I770" t="str">
            <v>B</v>
          </cell>
          <cell r="J770" t="str">
            <v>B</v>
          </cell>
          <cell r="K770" t="str">
            <v>D</v>
          </cell>
          <cell r="L770" t="str">
            <v>A</v>
          </cell>
          <cell r="M770" t="str">
            <v>A</v>
          </cell>
          <cell r="N770" t="str">
            <v>B</v>
          </cell>
          <cell r="O770" t="str">
            <v>A</v>
          </cell>
          <cell r="P770" t="str">
            <v>C</v>
          </cell>
          <cell r="Q770" t="str">
            <v>B</v>
          </cell>
          <cell r="R770" t="str">
            <v>B</v>
          </cell>
          <cell r="X770">
            <v>52.1</v>
          </cell>
        </row>
        <row r="771">
          <cell r="C771">
            <v>44305251</v>
          </cell>
          <cell r="D771" t="str">
            <v>ТОВ "ЮСА АВТО-ТРЕЙД"</v>
          </cell>
          <cell r="E771">
            <v>45614.5576</v>
          </cell>
          <cell r="F771">
            <v>45474</v>
          </cell>
          <cell r="G771" t="str">
            <v>E</v>
          </cell>
          <cell r="H771" t="str">
            <v>B</v>
          </cell>
          <cell r="I771" t="str">
            <v>B</v>
          </cell>
          <cell r="J771" t="str">
            <v>A</v>
          </cell>
          <cell r="K771" t="str">
            <v>D</v>
          </cell>
          <cell r="L771" t="str">
            <v>A</v>
          </cell>
          <cell r="M771" t="str">
            <v>A</v>
          </cell>
          <cell r="N771" t="str">
            <v>A</v>
          </cell>
          <cell r="O771" t="str">
            <v>A</v>
          </cell>
          <cell r="P771" t="str">
            <v>C</v>
          </cell>
          <cell r="Q771" t="str">
            <v>B</v>
          </cell>
          <cell r="R771" t="str">
            <v>A</v>
          </cell>
          <cell r="X771">
            <v>56.199999999999996</v>
          </cell>
        </row>
        <row r="772">
          <cell r="C772">
            <v>44318405</v>
          </cell>
          <cell r="D772" t="str">
            <v>ТОВ "ВІТАГРО ЕНЕРДЖІ"</v>
          </cell>
          <cell r="E772">
            <v>45944</v>
          </cell>
          <cell r="F772">
            <v>45658</v>
          </cell>
          <cell r="G772" t="str">
            <v>D</v>
          </cell>
          <cell r="H772" t="str">
            <v>B</v>
          </cell>
          <cell r="I772" t="str">
            <v>C</v>
          </cell>
          <cell r="J772" t="str">
            <v>C</v>
          </cell>
          <cell r="K772" t="str">
            <v>D</v>
          </cell>
          <cell r="L772" t="str">
            <v>A</v>
          </cell>
          <cell r="M772" t="str">
            <v>A</v>
          </cell>
          <cell r="N772" t="str">
            <v>B</v>
          </cell>
          <cell r="O772" t="str">
            <v>B</v>
          </cell>
          <cell r="P772" t="str">
            <v>C</v>
          </cell>
          <cell r="Q772" t="str">
            <v>B</v>
          </cell>
          <cell r="R772" t="str">
            <v>A</v>
          </cell>
          <cell r="X772">
            <v>50.5</v>
          </cell>
        </row>
        <row r="773">
          <cell r="C773">
            <v>44334914</v>
          </cell>
          <cell r="D773" t="str">
            <v>ТОВ "ОЕР"</v>
          </cell>
          <cell r="E773">
            <v>45796.6227</v>
          </cell>
          <cell r="F773">
            <v>45748</v>
          </cell>
          <cell r="G773" t="str">
            <v>E</v>
          </cell>
          <cell r="H773" t="str">
            <v>B</v>
          </cell>
          <cell r="I773" t="str">
            <v>B</v>
          </cell>
          <cell r="J773" t="str">
            <v>A</v>
          </cell>
          <cell r="K773" t="str">
            <v>D</v>
          </cell>
          <cell r="L773" t="str">
            <v>A</v>
          </cell>
          <cell r="M773" t="str">
            <v>A</v>
          </cell>
          <cell r="N773" t="str">
            <v>B</v>
          </cell>
          <cell r="O773" t="str">
            <v>A</v>
          </cell>
          <cell r="P773" t="str">
            <v>C</v>
          </cell>
          <cell r="Q773" t="str">
            <v>A</v>
          </cell>
          <cell r="R773" t="str">
            <v>A</v>
          </cell>
          <cell r="X773">
            <v>55.3</v>
          </cell>
        </row>
        <row r="774">
          <cell r="C774">
            <v>44337695</v>
          </cell>
          <cell r="D774" t="str">
            <v>ТОВ "СЛОВО-47"</v>
          </cell>
          <cell r="E774">
            <v>45666</v>
          </cell>
          <cell r="F774">
            <v>45474</v>
          </cell>
          <cell r="G774" t="str">
            <v>E</v>
          </cell>
          <cell r="H774" t="str">
            <v>C</v>
          </cell>
          <cell r="I774" t="str">
            <v>B</v>
          </cell>
          <cell r="J774" t="str">
            <v>B</v>
          </cell>
          <cell r="K774" t="str">
            <v>E</v>
          </cell>
          <cell r="L774" t="str">
            <v>B</v>
          </cell>
          <cell r="M774" t="str">
            <v>B</v>
          </cell>
          <cell r="N774" t="str">
            <v>B</v>
          </cell>
          <cell r="O774" t="str">
            <v>A</v>
          </cell>
          <cell r="P774" t="str">
            <v>C</v>
          </cell>
          <cell r="Q774" t="str">
            <v>C</v>
          </cell>
          <cell r="R774" t="str">
            <v>A</v>
          </cell>
          <cell r="X774">
            <v>39.9</v>
          </cell>
        </row>
        <row r="775">
          <cell r="C775">
            <v>44431653</v>
          </cell>
          <cell r="D775" t="str">
            <v>ТОВ "НВО "УКРОБОРОНТЕХ"</v>
          </cell>
          <cell r="E775">
            <v>45981.639199999998</v>
          </cell>
          <cell r="F775">
            <v>45931</v>
          </cell>
          <cell r="G775" t="str">
            <v>E</v>
          </cell>
          <cell r="H775" t="str">
            <v>A</v>
          </cell>
          <cell r="I775" t="str">
            <v>B</v>
          </cell>
          <cell r="J775" t="str">
            <v>B</v>
          </cell>
          <cell r="K775" t="str">
            <v>D</v>
          </cell>
          <cell r="L775" t="str">
            <v>B</v>
          </cell>
          <cell r="M775" t="str">
            <v>A</v>
          </cell>
          <cell r="N775" t="str">
            <v>B</v>
          </cell>
          <cell r="O775" t="str">
            <v>A</v>
          </cell>
          <cell r="P775" t="str">
            <v>C</v>
          </cell>
          <cell r="Q775" t="str">
            <v>C</v>
          </cell>
          <cell r="R775" t="str">
            <v>A</v>
          </cell>
          <cell r="X775">
            <v>51.5</v>
          </cell>
        </row>
        <row r="776">
          <cell r="C776">
            <v>44476076</v>
          </cell>
          <cell r="D776" t="str">
            <v>ТОВ "ІТ ЕНЕРГІЯ"</v>
          </cell>
          <cell r="E776">
            <v>45824.4499</v>
          </cell>
          <cell r="F776">
            <v>45748</v>
          </cell>
          <cell r="G776" t="str">
            <v>E</v>
          </cell>
          <cell r="H776" t="str">
            <v>B</v>
          </cell>
          <cell r="I776" t="str">
            <v>B</v>
          </cell>
          <cell r="J776" t="str">
            <v>A</v>
          </cell>
          <cell r="K776" t="str">
            <v>E</v>
          </cell>
          <cell r="L776" t="str">
            <v>B</v>
          </cell>
          <cell r="M776" t="str">
            <v>A</v>
          </cell>
          <cell r="N776" t="str">
            <v>B</v>
          </cell>
          <cell r="O776" t="str">
            <v>A</v>
          </cell>
          <cell r="P776" t="str">
            <v>C</v>
          </cell>
          <cell r="Q776" t="str">
            <v>B</v>
          </cell>
          <cell r="R776" t="str">
            <v>B</v>
          </cell>
          <cell r="X776">
            <v>43.3</v>
          </cell>
        </row>
        <row r="777">
          <cell r="C777">
            <v>44482928</v>
          </cell>
          <cell r="D777" t="str">
            <v>ТОВ "СВІТ ЦУКРУ"</v>
          </cell>
          <cell r="E777">
            <v>45643.584199999998</v>
          </cell>
          <cell r="F777">
            <v>45566</v>
          </cell>
          <cell r="G777" t="str">
            <v>E</v>
          </cell>
          <cell r="H777" t="str">
            <v>B</v>
          </cell>
          <cell r="I777" t="str">
            <v>A</v>
          </cell>
          <cell r="J777" t="str">
            <v>B</v>
          </cell>
          <cell r="K777" t="str">
            <v>E</v>
          </cell>
          <cell r="L777" t="str">
            <v>B</v>
          </cell>
          <cell r="M777" t="str">
            <v>A</v>
          </cell>
          <cell r="N777" t="str">
            <v>A</v>
          </cell>
          <cell r="O777" t="str">
            <v>A</v>
          </cell>
          <cell r="P777" t="str">
            <v>C</v>
          </cell>
          <cell r="Q777" t="str">
            <v>B</v>
          </cell>
          <cell r="R777" t="str">
            <v>A</v>
          </cell>
          <cell r="X777">
            <v>48.6</v>
          </cell>
        </row>
        <row r="778">
          <cell r="C778">
            <v>44516967</v>
          </cell>
          <cell r="D778" t="str">
            <v>ТОВ "ЕЛЕКТРО БАЛАНС"</v>
          </cell>
          <cell r="E778">
            <v>45882.594899999996</v>
          </cell>
          <cell r="F778">
            <v>45839</v>
          </cell>
          <cell r="G778" t="str">
            <v>E</v>
          </cell>
          <cell r="H778" t="str">
            <v>B</v>
          </cell>
          <cell r="I778" t="str">
            <v>B</v>
          </cell>
          <cell r="J778" t="str">
            <v>B</v>
          </cell>
          <cell r="K778" t="str">
            <v>E</v>
          </cell>
          <cell r="L778" t="str">
            <v>A</v>
          </cell>
          <cell r="M778" t="str">
            <v>A</v>
          </cell>
          <cell r="N778" t="str">
            <v>B</v>
          </cell>
          <cell r="O778" t="str">
            <v>A</v>
          </cell>
          <cell r="P778" t="str">
            <v>C</v>
          </cell>
          <cell r="Q778" t="str">
            <v>B</v>
          </cell>
          <cell r="R778" t="str">
            <v>A</v>
          </cell>
          <cell r="X778">
            <v>54.500000000000007</v>
          </cell>
        </row>
        <row r="779">
          <cell r="C779">
            <v>44520690</v>
          </cell>
          <cell r="D779" t="str">
            <v>ТОВ "ДРАЙВ ПЕТРОЛ"</v>
          </cell>
          <cell r="E779">
            <v>45748.402099999999</v>
          </cell>
          <cell r="F779">
            <v>45566</v>
          </cell>
          <cell r="G779" t="str">
            <v>E</v>
          </cell>
          <cell r="H779" t="str">
            <v>C</v>
          </cell>
          <cell r="I779" t="str">
            <v>B</v>
          </cell>
          <cell r="J779" t="str">
            <v>C</v>
          </cell>
          <cell r="K779" t="str">
            <v>D</v>
          </cell>
          <cell r="L779" t="str">
            <v>B</v>
          </cell>
          <cell r="M779" t="str">
            <v>A</v>
          </cell>
          <cell r="N779" t="str">
            <v>B</v>
          </cell>
          <cell r="O779" t="str">
            <v>A</v>
          </cell>
          <cell r="P779" t="str">
            <v>C</v>
          </cell>
          <cell r="Q779" t="str">
            <v>C</v>
          </cell>
          <cell r="R779" t="str">
            <v>C</v>
          </cell>
          <cell r="X779">
            <v>44.3</v>
          </cell>
        </row>
        <row r="780">
          <cell r="C780">
            <v>44542948</v>
          </cell>
          <cell r="D780" t="str">
            <v>ТОВ "СП ЧЕРНІГІВ"</v>
          </cell>
          <cell r="E780">
            <v>45861.418100000003</v>
          </cell>
          <cell r="F780">
            <v>45748</v>
          </cell>
          <cell r="G780" t="str">
            <v>E</v>
          </cell>
          <cell r="H780" t="str">
            <v>B</v>
          </cell>
          <cell r="I780" t="str">
            <v>B</v>
          </cell>
          <cell r="J780" t="str">
            <v>C</v>
          </cell>
          <cell r="K780" t="str">
            <v>D</v>
          </cell>
          <cell r="L780" t="str">
            <v>A</v>
          </cell>
          <cell r="M780" t="str">
            <v>A</v>
          </cell>
          <cell r="N780" t="str">
            <v>B</v>
          </cell>
          <cell r="O780" t="str">
            <v>B</v>
          </cell>
          <cell r="P780" t="str">
            <v>C</v>
          </cell>
          <cell r="Q780" t="str">
            <v>B</v>
          </cell>
          <cell r="R780" t="str">
            <v>C</v>
          </cell>
          <cell r="X780">
            <v>48.900000000000006</v>
          </cell>
        </row>
        <row r="781">
          <cell r="C781">
            <v>44557851</v>
          </cell>
          <cell r="D781" t="str">
            <v>ТОВ "АТМ  ЧЕРКАСИ"</v>
          </cell>
          <cell r="E781">
            <v>45905.954299999998</v>
          </cell>
          <cell r="F781">
            <v>45839</v>
          </cell>
          <cell r="G781" t="str">
            <v>E</v>
          </cell>
          <cell r="H781" t="str">
            <v>A</v>
          </cell>
          <cell r="I781" t="str">
            <v>B</v>
          </cell>
          <cell r="J781" t="str">
            <v>C</v>
          </cell>
          <cell r="K781" t="str">
            <v>D</v>
          </cell>
          <cell r="L781" t="str">
            <v>B</v>
          </cell>
          <cell r="M781" t="str">
            <v>A</v>
          </cell>
          <cell r="N781" t="str">
            <v>A</v>
          </cell>
          <cell r="O781" t="str">
            <v>A</v>
          </cell>
          <cell r="P781" t="str">
            <v>C</v>
          </cell>
          <cell r="Q781" t="str">
            <v>B</v>
          </cell>
          <cell r="R781" t="str">
            <v>B</v>
          </cell>
          <cell r="X781">
            <v>55.8</v>
          </cell>
        </row>
        <row r="782">
          <cell r="C782">
            <v>44558944</v>
          </cell>
          <cell r="D782" t="str">
            <v>ТОВ "СНАБ-ЕЛЕКТРО"</v>
          </cell>
          <cell r="E782">
            <v>45706.487399999998</v>
          </cell>
          <cell r="F782">
            <v>45566</v>
          </cell>
          <cell r="G782" t="str">
            <v>E</v>
          </cell>
          <cell r="H782" t="str">
            <v>B</v>
          </cell>
          <cell r="I782" t="str">
            <v>A</v>
          </cell>
          <cell r="J782" t="str">
            <v>A</v>
          </cell>
          <cell r="K782" t="str">
            <v>D</v>
          </cell>
          <cell r="L782" t="str">
            <v>B</v>
          </cell>
          <cell r="M782" t="str">
            <v>A</v>
          </cell>
          <cell r="N782" t="str">
            <v>B</v>
          </cell>
          <cell r="O782" t="str">
            <v>A</v>
          </cell>
          <cell r="P782" t="str">
            <v>C</v>
          </cell>
          <cell r="Q782" t="str">
            <v>B</v>
          </cell>
          <cell r="R782" t="str">
            <v>A</v>
          </cell>
          <cell r="X782">
            <v>43.699999999999996</v>
          </cell>
        </row>
        <row r="783">
          <cell r="C783">
            <v>44592021</v>
          </cell>
          <cell r="D783" t="str">
            <v>ТОВ "МОТОРКАР  ЧЕРКАСИ"</v>
          </cell>
          <cell r="E783">
            <v>45905.954299999998</v>
          </cell>
          <cell r="F783">
            <v>45839</v>
          </cell>
          <cell r="G783" t="str">
            <v>E</v>
          </cell>
          <cell r="H783" t="str">
            <v>A</v>
          </cell>
          <cell r="I783" t="str">
            <v>B</v>
          </cell>
          <cell r="J783" t="str">
            <v>C</v>
          </cell>
          <cell r="K783" t="str">
            <v>D</v>
          </cell>
          <cell r="L783" t="str">
            <v>B</v>
          </cell>
          <cell r="M783" t="str">
            <v>A</v>
          </cell>
          <cell r="N783" t="str">
            <v>A</v>
          </cell>
          <cell r="O783" t="str">
            <v>A</v>
          </cell>
          <cell r="P783" t="str">
            <v>C</v>
          </cell>
          <cell r="Q783" t="str">
            <v>B</v>
          </cell>
          <cell r="R783" t="str">
            <v>B</v>
          </cell>
          <cell r="X783">
            <v>55.8</v>
          </cell>
        </row>
        <row r="784">
          <cell r="C784">
            <v>44624498</v>
          </cell>
          <cell r="D784" t="str">
            <v>ТОВ "ГЛОБАЛ ТОБАККО"</v>
          </cell>
          <cell r="E784">
            <v>45882</v>
          </cell>
          <cell r="F784">
            <v>45748</v>
          </cell>
          <cell r="G784" t="str">
            <v>A</v>
          </cell>
          <cell r="H784" t="str">
            <v>B</v>
          </cell>
          <cell r="I784" t="str">
            <v>C</v>
          </cell>
          <cell r="J784" t="str">
            <v>B</v>
          </cell>
          <cell r="K784" t="str">
            <v>D</v>
          </cell>
          <cell r="L784" t="str">
            <v>B</v>
          </cell>
          <cell r="M784" t="str">
            <v>A</v>
          </cell>
          <cell r="N784" t="str">
            <v>C</v>
          </cell>
          <cell r="O784" t="str">
            <v>B</v>
          </cell>
          <cell r="P784" t="str">
            <v>C</v>
          </cell>
          <cell r="Q784" t="str">
            <v>B</v>
          </cell>
          <cell r="R784" t="str">
            <v>A</v>
          </cell>
          <cell r="X784">
            <v>44.199999999999996</v>
          </cell>
        </row>
        <row r="785">
          <cell r="C785">
            <v>44673090</v>
          </cell>
          <cell r="D785" t="str">
            <v>ТОВ "НЕКСЕН ГРУП"</v>
          </cell>
          <cell r="E785">
            <v>45722.520299999996</v>
          </cell>
          <cell r="F785">
            <v>45474</v>
          </cell>
          <cell r="G785" t="str">
            <v>E</v>
          </cell>
          <cell r="H785" t="str">
            <v>C</v>
          </cell>
          <cell r="I785" t="str">
            <v>A</v>
          </cell>
          <cell r="J785" t="str">
            <v>B</v>
          </cell>
          <cell r="K785" t="str">
            <v>D</v>
          </cell>
          <cell r="L785" t="str">
            <v>B</v>
          </cell>
          <cell r="M785" t="str">
            <v>C</v>
          </cell>
          <cell r="N785" t="str">
            <v>B</v>
          </cell>
          <cell r="O785" t="str">
            <v>A</v>
          </cell>
          <cell r="P785" t="str">
            <v>C</v>
          </cell>
          <cell r="Q785" t="str">
            <v>C</v>
          </cell>
          <cell r="R785" t="str">
            <v>C</v>
          </cell>
          <cell r="X785">
            <v>29.5</v>
          </cell>
        </row>
        <row r="786">
          <cell r="C786">
            <v>44673461</v>
          </cell>
          <cell r="D786" t="str">
            <v>ТОВ "ПОЛЕТЕХНІКА-АГРО"</v>
          </cell>
          <cell r="E786">
            <v>45912.458899999998</v>
          </cell>
          <cell r="F786">
            <v>45839</v>
          </cell>
          <cell r="G786" t="str">
            <v>D</v>
          </cell>
          <cell r="H786" t="str">
            <v>A</v>
          </cell>
          <cell r="I786" t="str">
            <v>C</v>
          </cell>
          <cell r="J786" t="str">
            <v>C</v>
          </cell>
          <cell r="K786" t="str">
            <v>B</v>
          </cell>
          <cell r="L786" t="str">
            <v>B</v>
          </cell>
          <cell r="M786" t="str">
            <v>A</v>
          </cell>
          <cell r="N786" t="str">
            <v>B</v>
          </cell>
          <cell r="O786" t="str">
            <v>A</v>
          </cell>
          <cell r="P786" t="str">
            <v>C</v>
          </cell>
          <cell r="Q786" t="str">
            <v>B</v>
          </cell>
          <cell r="R786" t="str">
            <v>B</v>
          </cell>
          <cell r="X786">
            <v>51.7</v>
          </cell>
        </row>
        <row r="787">
          <cell r="C787">
            <v>44674486</v>
          </cell>
          <cell r="D787" t="str">
            <v>ТОВ "М'ЯСОКОМБІНАТ ТЕРНОПІЛЬСЬКИЙ"</v>
          </cell>
          <cell r="E787">
            <v>45672.716</v>
          </cell>
          <cell r="F787">
            <v>45566</v>
          </cell>
          <cell r="G787" t="str">
            <v>E</v>
          </cell>
          <cell r="H787" t="str">
            <v>B</v>
          </cell>
          <cell r="I787" t="str">
            <v>D</v>
          </cell>
          <cell r="J787" t="str">
            <v>A</v>
          </cell>
          <cell r="K787" t="str">
            <v>D</v>
          </cell>
          <cell r="L787" t="str">
            <v>A</v>
          </cell>
          <cell r="M787" t="str">
            <v>A</v>
          </cell>
          <cell r="N787" t="str">
            <v>A</v>
          </cell>
          <cell r="O787" t="str">
            <v>A</v>
          </cell>
          <cell r="P787" t="str">
            <v>C</v>
          </cell>
          <cell r="Q787" t="str">
            <v>B</v>
          </cell>
          <cell r="R787" t="str">
            <v>A</v>
          </cell>
          <cell r="X787">
            <v>49.4</v>
          </cell>
        </row>
        <row r="788">
          <cell r="C788">
            <v>44707123</v>
          </cell>
          <cell r="D788" t="str">
            <v>ТОВ "М ОЙЛ ТРЕЙД"</v>
          </cell>
          <cell r="E788">
            <v>45709</v>
          </cell>
          <cell r="F788">
            <v>45566</v>
          </cell>
          <cell r="G788" t="str">
            <v>D</v>
          </cell>
          <cell r="H788" t="str">
            <v>B</v>
          </cell>
          <cell r="I788" t="str">
            <v>A</v>
          </cell>
          <cell r="J788" t="str">
            <v>C</v>
          </cell>
          <cell r="K788" t="str">
            <v>B</v>
          </cell>
          <cell r="L788" t="str">
            <v>A</v>
          </cell>
          <cell r="M788" t="str">
            <v>A</v>
          </cell>
          <cell r="N788" t="str">
            <v>B</v>
          </cell>
          <cell r="O788" t="str">
            <v>A</v>
          </cell>
          <cell r="P788" t="str">
            <v>A</v>
          </cell>
          <cell r="Q788" t="str">
            <v>B</v>
          </cell>
          <cell r="R788" t="str">
            <v>B</v>
          </cell>
          <cell r="X788">
            <v>61.900000000000006</v>
          </cell>
        </row>
        <row r="789">
          <cell r="C789">
            <v>44708001</v>
          </cell>
          <cell r="D789" t="str">
            <v>ТОВ "ПРАГА АВТО НА КІЛЬЦЕВІЙ"</v>
          </cell>
          <cell r="E789">
            <v>45831.7091</v>
          </cell>
          <cell r="F789">
            <v>45748</v>
          </cell>
          <cell r="G789" t="str">
            <v>D</v>
          </cell>
          <cell r="H789" t="str">
            <v>B</v>
          </cell>
          <cell r="I789" t="str">
            <v>B</v>
          </cell>
          <cell r="J789" t="str">
            <v>B</v>
          </cell>
          <cell r="K789" t="str">
            <v>D</v>
          </cell>
          <cell r="L789" t="str">
            <v>B</v>
          </cell>
          <cell r="M789" t="str">
            <v>A</v>
          </cell>
          <cell r="N789" t="str">
            <v>A</v>
          </cell>
          <cell r="O789" t="str">
            <v>A</v>
          </cell>
          <cell r="P789" t="str">
            <v>C</v>
          </cell>
          <cell r="Q789" t="str">
            <v>B</v>
          </cell>
          <cell r="R789" t="str">
            <v>B</v>
          </cell>
          <cell r="X789">
            <v>54.2</v>
          </cell>
        </row>
        <row r="790">
          <cell r="C790">
            <v>44722141</v>
          </cell>
          <cell r="D790" t="str">
            <v>ТОВ "КАМІОН-1"</v>
          </cell>
          <cell r="E790">
            <v>45979.5406</v>
          </cell>
          <cell r="F790">
            <v>45931</v>
          </cell>
          <cell r="G790" t="str">
            <v>E</v>
          </cell>
          <cell r="H790" t="str">
            <v>A</v>
          </cell>
          <cell r="I790" t="str">
            <v>B</v>
          </cell>
          <cell r="J790" t="str">
            <v>A</v>
          </cell>
          <cell r="K790" t="str">
            <v>D</v>
          </cell>
          <cell r="L790" t="str">
            <v>A</v>
          </cell>
          <cell r="M790" t="str">
            <v>A</v>
          </cell>
          <cell r="N790" t="str">
            <v>B</v>
          </cell>
          <cell r="O790" t="str">
            <v>A</v>
          </cell>
          <cell r="P790" t="str">
            <v>C</v>
          </cell>
          <cell r="Q790" t="str">
            <v>B</v>
          </cell>
          <cell r="R790" t="str">
            <v>A</v>
          </cell>
          <cell r="X790">
            <v>55.300000000000004</v>
          </cell>
        </row>
        <row r="791">
          <cell r="C791">
            <v>44725907</v>
          </cell>
          <cell r="D791" t="str">
            <v>ТОВ «СКБ ОВТ»</v>
          </cell>
          <cell r="E791">
            <v>45795.580999999998</v>
          </cell>
          <cell r="F791">
            <v>45658</v>
          </cell>
          <cell r="G791" t="str">
            <v>E</v>
          </cell>
          <cell r="H791" t="str">
            <v>A</v>
          </cell>
          <cell r="I791" t="str">
            <v>C</v>
          </cell>
          <cell r="J791" t="str">
            <v>A</v>
          </cell>
          <cell r="K791" t="str">
            <v>B</v>
          </cell>
          <cell r="L791" t="str">
            <v>B</v>
          </cell>
          <cell r="M791" t="str">
            <v>A</v>
          </cell>
          <cell r="N791" t="str">
            <v>B</v>
          </cell>
          <cell r="O791" t="str">
            <v>A</v>
          </cell>
          <cell r="P791" t="str">
            <v>B</v>
          </cell>
          <cell r="Q791" t="str">
            <v>B</v>
          </cell>
          <cell r="R791" t="str">
            <v>C</v>
          </cell>
          <cell r="X791">
            <v>41.900000000000006</v>
          </cell>
        </row>
        <row r="792">
          <cell r="C792">
            <v>44728562</v>
          </cell>
          <cell r="D792" t="str">
            <v>ТОВ "АСТ"</v>
          </cell>
          <cell r="E792">
            <v>45860</v>
          </cell>
          <cell r="F792">
            <v>45748</v>
          </cell>
          <cell r="G792" t="str">
            <v>E</v>
          </cell>
          <cell r="H792" t="str">
            <v>B</v>
          </cell>
          <cell r="I792" t="str">
            <v>C</v>
          </cell>
          <cell r="J792" t="str">
            <v>A</v>
          </cell>
          <cell r="K792" t="str">
            <v>B</v>
          </cell>
          <cell r="L792" t="str">
            <v>B</v>
          </cell>
          <cell r="M792" t="str">
            <v>A</v>
          </cell>
          <cell r="N792" t="str">
            <v>B</v>
          </cell>
          <cell r="O792" t="str">
            <v>A</v>
          </cell>
          <cell r="P792" t="str">
            <v>C</v>
          </cell>
          <cell r="Q792" t="str">
            <v>B</v>
          </cell>
          <cell r="R792" t="str">
            <v>A</v>
          </cell>
          <cell r="X792">
            <v>43.699999999999996</v>
          </cell>
        </row>
        <row r="793">
          <cell r="C793">
            <v>44736615</v>
          </cell>
          <cell r="D793" t="str">
            <v>ТОВ "ДРОПЛА ТЕК"</v>
          </cell>
          <cell r="E793">
            <v>45838.732100000001</v>
          </cell>
          <cell r="F793">
            <v>45658</v>
          </cell>
          <cell r="G793" t="str">
            <v>E</v>
          </cell>
          <cell r="H793" t="str">
            <v>B</v>
          </cell>
          <cell r="I793" t="str">
            <v>B</v>
          </cell>
          <cell r="J793" t="str">
            <v>A</v>
          </cell>
          <cell r="K793" t="str">
            <v>D</v>
          </cell>
          <cell r="L793" t="str">
            <v>A</v>
          </cell>
          <cell r="M793" t="str">
            <v>A</v>
          </cell>
          <cell r="N793" t="str">
            <v>B</v>
          </cell>
          <cell r="O793" t="str">
            <v>A</v>
          </cell>
          <cell r="P793" t="str">
            <v>A</v>
          </cell>
          <cell r="Q793" t="str">
            <v>B</v>
          </cell>
          <cell r="R793" t="str">
            <v>B</v>
          </cell>
          <cell r="X793">
            <v>53.5</v>
          </cell>
        </row>
        <row r="794">
          <cell r="C794">
            <v>44739878</v>
          </cell>
          <cell r="D794" t="str">
            <v>ТОВ "НЕКСЕН ОЙЛ"</v>
          </cell>
          <cell r="E794">
            <v>45722.520299999996</v>
          </cell>
          <cell r="F794">
            <v>45474</v>
          </cell>
          <cell r="G794" t="str">
            <v>E</v>
          </cell>
          <cell r="H794" t="str">
            <v>C</v>
          </cell>
          <cell r="I794" t="str">
            <v>A</v>
          </cell>
          <cell r="J794" t="str">
            <v>B</v>
          </cell>
          <cell r="K794" t="str">
            <v>D</v>
          </cell>
          <cell r="L794" t="str">
            <v>B</v>
          </cell>
          <cell r="M794" t="str">
            <v>C</v>
          </cell>
          <cell r="N794" t="str">
            <v>B</v>
          </cell>
          <cell r="O794" t="str">
            <v>A</v>
          </cell>
          <cell r="P794" t="str">
            <v>C</v>
          </cell>
          <cell r="Q794" t="str">
            <v>C</v>
          </cell>
          <cell r="R794" t="str">
            <v>C</v>
          </cell>
          <cell r="X794">
            <v>29.5</v>
          </cell>
        </row>
        <row r="795">
          <cell r="C795">
            <v>44762781</v>
          </cell>
          <cell r="D795" t="str">
            <v>ТОВ «НУМІС»</v>
          </cell>
          <cell r="E795">
            <v>45810.4712</v>
          </cell>
          <cell r="F795">
            <v>45748</v>
          </cell>
          <cell r="G795" t="str">
            <v>C</v>
          </cell>
          <cell r="H795" t="str">
            <v>C</v>
          </cell>
          <cell r="I795" t="str">
            <v>B</v>
          </cell>
          <cell r="J795" t="str">
            <v>D</v>
          </cell>
          <cell r="K795" t="str">
            <v>D</v>
          </cell>
          <cell r="L795" t="str">
            <v>B</v>
          </cell>
          <cell r="M795" t="str">
            <v>B</v>
          </cell>
          <cell r="N795" t="str">
            <v>B</v>
          </cell>
          <cell r="O795" t="str">
            <v>A</v>
          </cell>
          <cell r="P795" t="str">
            <v>C</v>
          </cell>
          <cell r="Q795" t="str">
            <v>B</v>
          </cell>
          <cell r="R795" t="str">
            <v>B</v>
          </cell>
          <cell r="X795">
            <v>48.5</v>
          </cell>
        </row>
        <row r="796">
          <cell r="C796">
            <v>44763015</v>
          </cell>
          <cell r="D796" t="str">
            <v>ТОВ "ЛІГ 1"</v>
          </cell>
          <cell r="E796">
            <v>45826.77</v>
          </cell>
          <cell r="F796">
            <v>45658</v>
          </cell>
          <cell r="G796" t="str">
            <v>D</v>
          </cell>
          <cell r="H796" t="str">
            <v>B</v>
          </cell>
          <cell r="I796" t="str">
            <v>B</v>
          </cell>
          <cell r="J796" t="str">
            <v>B</v>
          </cell>
          <cell r="K796" t="str">
            <v>B</v>
          </cell>
          <cell r="L796" t="str">
            <v>B</v>
          </cell>
          <cell r="M796" t="str">
            <v>A</v>
          </cell>
          <cell r="N796" t="str">
            <v>B</v>
          </cell>
          <cell r="O796" t="str">
            <v>A</v>
          </cell>
          <cell r="P796" t="str">
            <v>C</v>
          </cell>
          <cell r="Q796" t="str">
            <v>C</v>
          </cell>
          <cell r="R796" t="str">
            <v>C</v>
          </cell>
          <cell r="X796">
            <v>50.3</v>
          </cell>
        </row>
        <row r="797">
          <cell r="C797">
            <v>44763104</v>
          </cell>
          <cell r="D797" t="str">
            <v>ТОВ "ПЕТРОЛ ПАРТНЕР"</v>
          </cell>
          <cell r="E797">
            <v>45894.442600000002</v>
          </cell>
          <cell r="F797">
            <v>45658</v>
          </cell>
          <cell r="G797" t="str">
            <v>C</v>
          </cell>
          <cell r="H797" t="str">
            <v>C</v>
          </cell>
          <cell r="I797" t="str">
            <v>B</v>
          </cell>
          <cell r="J797" t="str">
            <v>D</v>
          </cell>
          <cell r="K797" t="str">
            <v>D</v>
          </cell>
          <cell r="L797" t="str">
            <v>A</v>
          </cell>
          <cell r="M797" t="str">
            <v>A</v>
          </cell>
          <cell r="N797" t="str">
            <v>C</v>
          </cell>
          <cell r="O797" t="str">
            <v>A</v>
          </cell>
          <cell r="P797" t="str">
            <v>A</v>
          </cell>
          <cell r="Q797" t="str">
            <v>A</v>
          </cell>
          <cell r="R797" t="str">
            <v>A</v>
          </cell>
          <cell r="X797">
            <v>68.400000000000006</v>
          </cell>
        </row>
        <row r="798">
          <cell r="C798">
            <v>44768694</v>
          </cell>
          <cell r="D798" t="str">
            <v>ТОВ "Енергія ТЛК"</v>
          </cell>
          <cell r="E798">
            <v>45705.6607</v>
          </cell>
          <cell r="F798">
            <v>45658</v>
          </cell>
          <cell r="G798" t="str">
            <v>E</v>
          </cell>
          <cell r="H798" t="str">
            <v>B</v>
          </cell>
          <cell r="I798" t="str">
            <v>A</v>
          </cell>
          <cell r="J798" t="str">
            <v>A</v>
          </cell>
          <cell r="K798" t="str">
            <v>C</v>
          </cell>
          <cell r="L798" t="str">
            <v>B</v>
          </cell>
          <cell r="M798" t="str">
            <v>A</v>
          </cell>
          <cell r="N798" t="str">
            <v>B</v>
          </cell>
          <cell r="O798" t="str">
            <v>A</v>
          </cell>
          <cell r="P798" t="str">
            <v>C</v>
          </cell>
          <cell r="Q798" t="str">
            <v>B</v>
          </cell>
          <cell r="R798" t="str">
            <v>A</v>
          </cell>
          <cell r="X798">
            <v>46.5</v>
          </cell>
        </row>
        <row r="799">
          <cell r="C799">
            <v>44772543</v>
          </cell>
          <cell r="D799" t="str">
            <v>ТОВ "ТД "ФАВОРИТ АВТО ВІННИЦЯ"</v>
          </cell>
          <cell r="E799">
            <v>45831.7091</v>
          </cell>
          <cell r="F799">
            <v>45748</v>
          </cell>
          <cell r="G799" t="str">
            <v>D</v>
          </cell>
          <cell r="H799" t="str">
            <v>B</v>
          </cell>
          <cell r="I799" t="str">
            <v>B</v>
          </cell>
          <cell r="J799" t="str">
            <v>B</v>
          </cell>
          <cell r="K799" t="str">
            <v>D</v>
          </cell>
          <cell r="L799" t="str">
            <v>B</v>
          </cell>
          <cell r="M799" t="str">
            <v>A</v>
          </cell>
          <cell r="N799" t="str">
            <v>A</v>
          </cell>
          <cell r="O799" t="str">
            <v>A</v>
          </cell>
          <cell r="P799" t="str">
            <v>C</v>
          </cell>
          <cell r="Q799" t="str">
            <v>B</v>
          </cell>
          <cell r="R799" t="str">
            <v>B</v>
          </cell>
          <cell r="X799">
            <v>54.2</v>
          </cell>
        </row>
        <row r="800">
          <cell r="C800">
            <v>44776698</v>
          </cell>
          <cell r="D800" t="str">
            <v>ТОВ «АГРО-СОЛАР»</v>
          </cell>
          <cell r="E800">
            <v>45889.609499999999</v>
          </cell>
          <cell r="F800">
            <v>45748</v>
          </cell>
          <cell r="G800" t="str">
            <v>E</v>
          </cell>
          <cell r="H800" t="str">
            <v>C</v>
          </cell>
          <cell r="I800" t="str">
            <v>B</v>
          </cell>
          <cell r="J800" t="str">
            <v>A</v>
          </cell>
          <cell r="K800" t="str">
            <v>D</v>
          </cell>
          <cell r="L800" t="str">
            <v>A</v>
          </cell>
          <cell r="M800" t="str">
            <v>A</v>
          </cell>
          <cell r="N800" t="str">
            <v>C</v>
          </cell>
          <cell r="O800" t="str">
            <v>A</v>
          </cell>
          <cell r="P800" t="str">
            <v>C</v>
          </cell>
          <cell r="Q800" t="str">
            <v>B</v>
          </cell>
          <cell r="R800" t="str">
            <v>B</v>
          </cell>
          <cell r="X800">
            <v>46.199999999999996</v>
          </cell>
        </row>
        <row r="801">
          <cell r="C801">
            <v>44799717</v>
          </cell>
          <cell r="D801" t="str">
            <v>ТОВ "УАТ"</v>
          </cell>
          <cell r="E801">
            <v>45812.640500000001</v>
          </cell>
          <cell r="F801">
            <v>45658</v>
          </cell>
          <cell r="G801" t="str">
            <v>D</v>
          </cell>
          <cell r="H801" t="str">
            <v>A</v>
          </cell>
          <cell r="I801" t="str">
            <v>B</v>
          </cell>
          <cell r="J801" t="str">
            <v>A</v>
          </cell>
          <cell r="K801" t="str">
            <v>C</v>
          </cell>
          <cell r="L801" t="str">
            <v>A</v>
          </cell>
          <cell r="M801" t="str">
            <v>A</v>
          </cell>
          <cell r="N801" t="str">
            <v>A</v>
          </cell>
          <cell r="O801" t="str">
            <v>A</v>
          </cell>
          <cell r="P801" t="str">
            <v>A</v>
          </cell>
          <cell r="Q801" t="str">
            <v>B</v>
          </cell>
          <cell r="R801" t="str">
            <v>A</v>
          </cell>
          <cell r="X801">
            <v>69.2</v>
          </cell>
        </row>
        <row r="802">
          <cell r="C802">
            <v>44800224</v>
          </cell>
          <cell r="D802" t="str">
            <v>ТОВ "КОМПАНІЯ ОККО-БІЗНЕС"</v>
          </cell>
          <cell r="E802">
            <v>45653.631099999999</v>
          </cell>
          <cell r="F802">
            <v>45474</v>
          </cell>
          <cell r="G802" t="str">
            <v>C</v>
          </cell>
          <cell r="H802" t="str">
            <v>C</v>
          </cell>
          <cell r="I802" t="str">
            <v>B</v>
          </cell>
          <cell r="J802" t="str">
            <v>C</v>
          </cell>
          <cell r="K802" t="str">
            <v>D</v>
          </cell>
          <cell r="L802" t="str">
            <v>A</v>
          </cell>
          <cell r="M802" t="str">
            <v>A</v>
          </cell>
          <cell r="N802" t="str">
            <v>A</v>
          </cell>
          <cell r="O802" t="str">
            <v>B</v>
          </cell>
          <cell r="P802" t="str">
            <v>C</v>
          </cell>
          <cell r="Q802" t="str">
            <v>B</v>
          </cell>
          <cell r="R802" t="str">
            <v>A</v>
          </cell>
          <cell r="X802">
            <v>60.599999999999994</v>
          </cell>
        </row>
        <row r="803">
          <cell r="C803">
            <v>44800308</v>
          </cell>
          <cell r="D803" t="str">
            <v>ТОВ "ПЕТРОЛ КОНТРАКТ"</v>
          </cell>
          <cell r="E803">
            <v>45894.442600000002</v>
          </cell>
          <cell r="F803">
            <v>45658</v>
          </cell>
          <cell r="G803" t="str">
            <v>C</v>
          </cell>
          <cell r="H803" t="str">
            <v>C</v>
          </cell>
          <cell r="I803" t="str">
            <v>B</v>
          </cell>
          <cell r="J803" t="str">
            <v>D</v>
          </cell>
          <cell r="K803" t="str">
            <v>D</v>
          </cell>
          <cell r="L803" t="str">
            <v>A</v>
          </cell>
          <cell r="M803" t="str">
            <v>A</v>
          </cell>
          <cell r="N803" t="str">
            <v>C</v>
          </cell>
          <cell r="O803" t="str">
            <v>A</v>
          </cell>
          <cell r="P803" t="str">
            <v>A</v>
          </cell>
          <cell r="Q803" t="str">
            <v>A</v>
          </cell>
          <cell r="R803" t="str">
            <v>A</v>
          </cell>
          <cell r="X803">
            <v>68.400000000000006</v>
          </cell>
        </row>
        <row r="804">
          <cell r="C804">
            <v>44806137</v>
          </cell>
          <cell r="D804" t="str">
            <v>ТОВ "САЙН ІНЖИНІРИНГ"</v>
          </cell>
          <cell r="E804">
            <v>45949.817999999999</v>
          </cell>
          <cell r="F804">
            <v>45839</v>
          </cell>
          <cell r="G804" t="str">
            <v>E</v>
          </cell>
          <cell r="H804" t="str">
            <v>B</v>
          </cell>
          <cell r="I804" t="str">
            <v>B</v>
          </cell>
          <cell r="J804" t="str">
            <v>A</v>
          </cell>
          <cell r="K804" t="str">
            <v>A</v>
          </cell>
          <cell r="L804" t="str">
            <v>A</v>
          </cell>
          <cell r="M804" t="str">
            <v>A</v>
          </cell>
          <cell r="N804" t="str">
            <v>A</v>
          </cell>
          <cell r="O804" t="str">
            <v>A</v>
          </cell>
          <cell r="P804" t="str">
            <v>A</v>
          </cell>
          <cell r="Q804" t="str">
            <v>B</v>
          </cell>
          <cell r="R804" t="str">
            <v>A</v>
          </cell>
          <cell r="X804">
            <v>65.2</v>
          </cell>
        </row>
        <row r="805">
          <cell r="C805">
            <v>44812334</v>
          </cell>
          <cell r="D805" t="str">
            <v>ТзОВ "ДіСіЕм Енерджі"</v>
          </cell>
          <cell r="E805">
            <v>45959.499000000003</v>
          </cell>
          <cell r="F805">
            <v>45839</v>
          </cell>
          <cell r="G805" t="str">
            <v>E</v>
          </cell>
          <cell r="H805" t="str">
            <v>B</v>
          </cell>
          <cell r="I805" t="str">
            <v>B</v>
          </cell>
          <cell r="J805" t="str">
            <v>A</v>
          </cell>
          <cell r="K805" t="str">
            <v>D</v>
          </cell>
          <cell r="L805" t="str">
            <v>A</v>
          </cell>
          <cell r="M805" t="str">
            <v>A</v>
          </cell>
          <cell r="N805" t="str">
            <v>B</v>
          </cell>
          <cell r="O805" t="str">
            <v>A</v>
          </cell>
          <cell r="P805" t="str">
            <v>C</v>
          </cell>
          <cell r="Q805" t="str">
            <v>C</v>
          </cell>
          <cell r="R805" t="str">
            <v>A</v>
          </cell>
          <cell r="X805">
            <v>51.099999999999994</v>
          </cell>
        </row>
        <row r="806">
          <cell r="C806">
            <v>44817091</v>
          </cell>
          <cell r="D806" t="str">
            <v>ТОВ "ДК "МІРАНА"</v>
          </cell>
          <cell r="E806">
            <v>45786.691599999998</v>
          </cell>
          <cell r="F806">
            <v>45658</v>
          </cell>
          <cell r="G806" t="str">
            <v>D</v>
          </cell>
          <cell r="H806" t="str">
            <v>B</v>
          </cell>
          <cell r="I806" t="str">
            <v>B</v>
          </cell>
          <cell r="J806" t="str">
            <v>A</v>
          </cell>
          <cell r="K806" t="str">
            <v>D</v>
          </cell>
          <cell r="L806" t="str">
            <v>B</v>
          </cell>
          <cell r="M806" t="str">
            <v>A</v>
          </cell>
          <cell r="N806" t="str">
            <v>B</v>
          </cell>
          <cell r="O806" t="str">
            <v>B</v>
          </cell>
          <cell r="P806" t="str">
            <v>B</v>
          </cell>
          <cell r="Q806" t="str">
            <v>C</v>
          </cell>
          <cell r="R806" t="str">
            <v>A</v>
          </cell>
          <cell r="X806">
            <v>48.1</v>
          </cell>
        </row>
        <row r="807">
          <cell r="C807">
            <v>44821396</v>
          </cell>
          <cell r="D807" t="str">
            <v>ТОВ "ФОРСАЖ ЕНЕРДЖІ КОМПАНІ"</v>
          </cell>
          <cell r="E807">
            <v>45741</v>
          </cell>
          <cell r="F807">
            <v>45566</v>
          </cell>
          <cell r="G807" t="str">
            <v>E</v>
          </cell>
          <cell r="H807" t="str">
            <v>C</v>
          </cell>
          <cell r="I807" t="str">
            <v>A</v>
          </cell>
          <cell r="J807" t="str">
            <v>A</v>
          </cell>
          <cell r="K807" t="str">
            <v>D</v>
          </cell>
          <cell r="L807" t="str">
            <v>B</v>
          </cell>
          <cell r="M807" t="str">
            <v>A</v>
          </cell>
          <cell r="N807" t="str">
            <v>B</v>
          </cell>
          <cell r="O807" t="str">
            <v>A</v>
          </cell>
          <cell r="P807" t="str">
            <v>C</v>
          </cell>
          <cell r="Q807" t="str">
            <v>B</v>
          </cell>
          <cell r="R807" t="str">
            <v>A</v>
          </cell>
          <cell r="X807">
            <v>42.1</v>
          </cell>
        </row>
        <row r="808">
          <cell r="C808">
            <v>44825343</v>
          </cell>
          <cell r="D808" t="str">
            <v>ТОВ "КІБЕРСАЙД"</v>
          </cell>
          <cell r="E808">
            <v>45790.791400000002</v>
          </cell>
          <cell r="F808">
            <v>45658</v>
          </cell>
          <cell r="G808" t="str">
            <v>E</v>
          </cell>
          <cell r="H808" t="str">
            <v>B</v>
          </cell>
          <cell r="I808" t="str">
            <v>B</v>
          </cell>
          <cell r="J808" t="str">
            <v>A</v>
          </cell>
          <cell r="K808" t="str">
            <v>C</v>
          </cell>
          <cell r="L808" t="str">
            <v>B</v>
          </cell>
          <cell r="M808" t="str">
            <v>A</v>
          </cell>
          <cell r="N808" t="str">
            <v>B</v>
          </cell>
          <cell r="O808" t="str">
            <v>A</v>
          </cell>
          <cell r="P808" t="str">
            <v>C</v>
          </cell>
          <cell r="Q808" t="str">
            <v>B</v>
          </cell>
          <cell r="R808" t="str">
            <v>A</v>
          </cell>
          <cell r="X808">
            <v>50.9</v>
          </cell>
        </row>
        <row r="809">
          <cell r="C809">
            <v>44829898</v>
          </cell>
          <cell r="D809" t="str">
            <v>ТОВ "ОЛІЯ ДОБРА"</v>
          </cell>
          <cell r="E809">
            <v>45768.490299999998</v>
          </cell>
          <cell r="F809">
            <v>45658</v>
          </cell>
          <cell r="G809" t="str">
            <v>E</v>
          </cell>
          <cell r="H809" t="str">
            <v>C</v>
          </cell>
          <cell r="I809" t="str">
            <v>C</v>
          </cell>
          <cell r="J809" t="str">
            <v>B</v>
          </cell>
          <cell r="K809" t="str">
            <v>D</v>
          </cell>
          <cell r="L809" t="str">
            <v>B</v>
          </cell>
          <cell r="M809" t="str">
            <v>A</v>
          </cell>
          <cell r="N809" t="str">
            <v>B</v>
          </cell>
          <cell r="O809" t="str">
            <v>A</v>
          </cell>
          <cell r="P809" t="str">
            <v>C</v>
          </cell>
          <cell r="Q809" t="str">
            <v>C</v>
          </cell>
          <cell r="R809" t="str">
            <v>A</v>
          </cell>
          <cell r="X809">
            <v>39.5</v>
          </cell>
        </row>
        <row r="810">
          <cell r="C810">
            <v>44838860</v>
          </cell>
          <cell r="D810" t="str">
            <v>ПП "ОККО-СЕРВІС"</v>
          </cell>
          <cell r="E810">
            <v>45653.631099999999</v>
          </cell>
          <cell r="F810">
            <v>45474</v>
          </cell>
          <cell r="G810" t="str">
            <v>C</v>
          </cell>
          <cell r="H810" t="str">
            <v>C</v>
          </cell>
          <cell r="I810" t="str">
            <v>B</v>
          </cell>
          <cell r="J810" t="str">
            <v>C</v>
          </cell>
          <cell r="K810" t="str">
            <v>D</v>
          </cell>
          <cell r="L810" t="str">
            <v>A</v>
          </cell>
          <cell r="M810" t="str">
            <v>A</v>
          </cell>
          <cell r="N810" t="str">
            <v>A</v>
          </cell>
          <cell r="O810" t="str">
            <v>B</v>
          </cell>
          <cell r="P810" t="str">
            <v>C</v>
          </cell>
          <cell r="Q810" t="str">
            <v>B</v>
          </cell>
          <cell r="R810" t="str">
            <v>A</v>
          </cell>
          <cell r="X810">
            <v>60.599999999999994</v>
          </cell>
        </row>
        <row r="811">
          <cell r="C811">
            <v>44842725</v>
          </cell>
          <cell r="D811" t="str">
            <v>ТОВ "КПК"</v>
          </cell>
          <cell r="E811">
            <v>45826.77</v>
          </cell>
          <cell r="F811">
            <v>45658</v>
          </cell>
          <cell r="G811" t="str">
            <v>D</v>
          </cell>
          <cell r="H811" t="str">
            <v>B</v>
          </cell>
          <cell r="I811" t="str">
            <v>B</v>
          </cell>
          <cell r="J811" t="str">
            <v>B</v>
          </cell>
          <cell r="K811" t="str">
            <v>B</v>
          </cell>
          <cell r="L811" t="str">
            <v>B</v>
          </cell>
          <cell r="M811" t="str">
            <v>A</v>
          </cell>
          <cell r="N811" t="str">
            <v>B</v>
          </cell>
          <cell r="O811" t="str">
            <v>A</v>
          </cell>
          <cell r="P811" t="str">
            <v>C</v>
          </cell>
          <cell r="Q811" t="str">
            <v>C</v>
          </cell>
          <cell r="R811" t="str">
            <v>C</v>
          </cell>
          <cell r="X811">
            <v>50.3</v>
          </cell>
        </row>
        <row r="812">
          <cell r="C812">
            <v>44843210</v>
          </cell>
          <cell r="D812" t="str">
            <v>ТОВ "ПРОНАФТА"</v>
          </cell>
          <cell r="E812">
            <v>45989.595800000003</v>
          </cell>
          <cell r="F812">
            <v>45931</v>
          </cell>
          <cell r="G812" t="str">
            <v>E</v>
          </cell>
          <cell r="H812" t="str">
            <v>B</v>
          </cell>
          <cell r="I812" t="str">
            <v>B</v>
          </cell>
          <cell r="J812" t="str">
            <v>A</v>
          </cell>
          <cell r="K812" t="str">
            <v>D</v>
          </cell>
          <cell r="L812" t="str">
            <v>A</v>
          </cell>
          <cell r="M812" t="str">
            <v>B</v>
          </cell>
          <cell r="N812" t="str">
            <v>B</v>
          </cell>
          <cell r="O812" t="str">
            <v>A</v>
          </cell>
          <cell r="P812" t="str">
            <v>C</v>
          </cell>
          <cell r="Q812" t="str">
            <v>B</v>
          </cell>
          <cell r="R812" t="str">
            <v>A</v>
          </cell>
          <cell r="X812">
            <v>46.5</v>
          </cell>
        </row>
        <row r="813">
          <cell r="C813">
            <v>44849275</v>
          </cell>
          <cell r="D813" t="str">
            <v>ТОВ "ОККО-ЕКСПРЕС"</v>
          </cell>
          <cell r="E813">
            <v>45653.631099999999</v>
          </cell>
          <cell r="F813">
            <v>45474</v>
          </cell>
          <cell r="G813" t="str">
            <v>C</v>
          </cell>
          <cell r="H813" t="str">
            <v>C</v>
          </cell>
          <cell r="I813" t="str">
            <v>B</v>
          </cell>
          <cell r="J813" t="str">
            <v>C</v>
          </cell>
          <cell r="K813" t="str">
            <v>D</v>
          </cell>
          <cell r="L813" t="str">
            <v>A</v>
          </cell>
          <cell r="M813" t="str">
            <v>A</v>
          </cell>
          <cell r="N813" t="str">
            <v>A</v>
          </cell>
          <cell r="O813" t="str">
            <v>B</v>
          </cell>
          <cell r="P813" t="str">
            <v>C</v>
          </cell>
          <cell r="Q813" t="str">
            <v>B</v>
          </cell>
          <cell r="R813" t="str">
            <v>A</v>
          </cell>
          <cell r="X813">
            <v>60.599999999999994</v>
          </cell>
        </row>
        <row r="814">
          <cell r="C814">
            <v>44850804</v>
          </cell>
          <cell r="D814" t="str">
            <v>ТОВ "ТОМ ТРАНС УКРАЇНА"</v>
          </cell>
          <cell r="E814">
            <v>45519.641100000001</v>
          </cell>
          <cell r="F814">
            <v>45474</v>
          </cell>
          <cell r="G814" t="str">
            <v>E</v>
          </cell>
          <cell r="H814" t="str">
            <v>B</v>
          </cell>
          <cell r="I814" t="str">
            <v>B</v>
          </cell>
          <cell r="J814" t="str">
            <v>A</v>
          </cell>
          <cell r="K814" t="str">
            <v>D</v>
          </cell>
          <cell r="L814" t="str">
            <v>A</v>
          </cell>
          <cell r="M814" t="str">
            <v>A</v>
          </cell>
          <cell r="N814" t="str">
            <v>B</v>
          </cell>
          <cell r="O814" t="str">
            <v>A</v>
          </cell>
          <cell r="P814" t="str">
            <v>B</v>
          </cell>
          <cell r="Q814" t="str">
            <v>B</v>
          </cell>
          <cell r="R814" t="str">
            <v>C</v>
          </cell>
          <cell r="X814">
            <v>48.7</v>
          </cell>
        </row>
        <row r="815">
          <cell r="C815">
            <v>44856476</v>
          </cell>
          <cell r="D815" t="str">
            <v>ТОВ "АОИЛ"</v>
          </cell>
          <cell r="E815">
            <v>45938.511700000003</v>
          </cell>
          <cell r="F815">
            <v>45839</v>
          </cell>
          <cell r="G815" t="str">
            <v>D</v>
          </cell>
          <cell r="H815" t="str">
            <v>B</v>
          </cell>
          <cell r="I815" t="str">
            <v>D</v>
          </cell>
          <cell r="J815" t="str">
            <v>A</v>
          </cell>
          <cell r="K815" t="str">
            <v>A</v>
          </cell>
          <cell r="L815" t="str">
            <v>A</v>
          </cell>
          <cell r="M815" t="str">
            <v>A</v>
          </cell>
          <cell r="N815" t="str">
            <v>A</v>
          </cell>
          <cell r="O815" t="str">
            <v>A</v>
          </cell>
          <cell r="P815" t="str">
            <v>B</v>
          </cell>
          <cell r="Q815" t="str">
            <v>B</v>
          </cell>
          <cell r="R815" t="str">
            <v>A</v>
          </cell>
          <cell r="X815">
            <v>59.6</v>
          </cell>
        </row>
        <row r="816">
          <cell r="C816">
            <v>44868696</v>
          </cell>
          <cell r="D816" t="str">
            <v>ТОВ "ГРАНОВА УКРАЇНА"</v>
          </cell>
          <cell r="E816">
            <v>45916.530500000001</v>
          </cell>
          <cell r="F816">
            <v>45839</v>
          </cell>
          <cell r="G816" t="str">
            <v>E</v>
          </cell>
          <cell r="H816" t="str">
            <v>A</v>
          </cell>
          <cell r="I816" t="str">
            <v>B</v>
          </cell>
          <cell r="J816" t="str">
            <v>B</v>
          </cell>
          <cell r="K816" t="str">
            <v>B</v>
          </cell>
          <cell r="L816" t="str">
            <v>B</v>
          </cell>
          <cell r="M816" t="str">
            <v>A</v>
          </cell>
          <cell r="N816" t="str">
            <v>B</v>
          </cell>
          <cell r="O816" t="str">
            <v>A</v>
          </cell>
          <cell r="P816" t="str">
            <v>A</v>
          </cell>
          <cell r="Q816" t="str">
            <v>A</v>
          </cell>
          <cell r="R816" t="str">
            <v>C</v>
          </cell>
          <cell r="X816">
            <v>57.5</v>
          </cell>
        </row>
        <row r="817">
          <cell r="C817">
            <v>44878589</v>
          </cell>
          <cell r="D817" t="str">
            <v>ТОВ "ТОЛК УКРАЇНА"</v>
          </cell>
          <cell r="E817">
            <v>45919.419800000003</v>
          </cell>
          <cell r="F817">
            <v>45748</v>
          </cell>
          <cell r="G817" t="str">
            <v>C</v>
          </cell>
          <cell r="H817" t="str">
            <v>A</v>
          </cell>
          <cell r="I817" t="str">
            <v>A</v>
          </cell>
          <cell r="J817" t="str">
            <v>A</v>
          </cell>
          <cell r="K817" t="str">
            <v>D</v>
          </cell>
          <cell r="L817" t="str">
            <v>A</v>
          </cell>
          <cell r="M817" t="str">
            <v>A</v>
          </cell>
          <cell r="N817" t="str">
            <v>B</v>
          </cell>
          <cell r="O817" t="str">
            <v>A</v>
          </cell>
          <cell r="P817" t="str">
            <v>C</v>
          </cell>
          <cell r="Q817" t="str">
            <v>B</v>
          </cell>
          <cell r="R817" t="str">
            <v>A</v>
          </cell>
          <cell r="X817">
            <v>54.9</v>
          </cell>
        </row>
        <row r="818">
          <cell r="C818">
            <v>44882993</v>
          </cell>
          <cell r="D818" t="str">
            <v>ТОВ "ТД "ФАВОРИТ АВТО"</v>
          </cell>
          <cell r="E818">
            <v>45831.7091</v>
          </cell>
          <cell r="F818">
            <v>45748</v>
          </cell>
          <cell r="G818" t="str">
            <v>D</v>
          </cell>
          <cell r="H818" t="str">
            <v>B</v>
          </cell>
          <cell r="I818" t="str">
            <v>B</v>
          </cell>
          <cell r="J818" t="str">
            <v>B</v>
          </cell>
          <cell r="K818" t="str">
            <v>D</v>
          </cell>
          <cell r="L818" t="str">
            <v>B</v>
          </cell>
          <cell r="M818" t="str">
            <v>A</v>
          </cell>
          <cell r="N818" t="str">
            <v>A</v>
          </cell>
          <cell r="O818" t="str">
            <v>A</v>
          </cell>
          <cell r="P818" t="str">
            <v>C</v>
          </cell>
          <cell r="Q818" t="str">
            <v>B</v>
          </cell>
          <cell r="R818" t="str">
            <v>B</v>
          </cell>
          <cell r="X818">
            <v>54.2</v>
          </cell>
        </row>
        <row r="819">
          <cell r="C819">
            <v>44895101</v>
          </cell>
          <cell r="D819" t="str">
            <v>ТОВ "ДЛС"</v>
          </cell>
          <cell r="E819">
            <v>45898.4755</v>
          </cell>
          <cell r="F819">
            <v>45839</v>
          </cell>
          <cell r="G819" t="str">
            <v>C</v>
          </cell>
          <cell r="H819" t="str">
            <v>B</v>
          </cell>
          <cell r="I819" t="str">
            <v>C</v>
          </cell>
          <cell r="J819" t="str">
            <v>A</v>
          </cell>
          <cell r="K819" t="str">
            <v>D</v>
          </cell>
          <cell r="L819" t="str">
            <v>B</v>
          </cell>
          <cell r="M819" t="str">
            <v>A</v>
          </cell>
          <cell r="N819" t="str">
            <v>C</v>
          </cell>
          <cell r="O819" t="str">
            <v>A</v>
          </cell>
          <cell r="P819" t="str">
            <v>C</v>
          </cell>
          <cell r="Q819" t="str">
            <v>B</v>
          </cell>
          <cell r="R819" t="str">
            <v>B</v>
          </cell>
          <cell r="X819">
            <v>39</v>
          </cell>
        </row>
        <row r="820">
          <cell r="C820">
            <v>44910606</v>
          </cell>
          <cell r="D820" t="str">
            <v>ТОВ "СКАЙ ФОРТРЕС"</v>
          </cell>
          <cell r="E820">
            <v>45919.7287</v>
          </cell>
          <cell r="F820">
            <v>45839</v>
          </cell>
          <cell r="G820" t="str">
            <v>E</v>
          </cell>
          <cell r="H820" t="str">
            <v>A</v>
          </cell>
          <cell r="I820" t="str">
            <v>A</v>
          </cell>
          <cell r="J820" t="str">
            <v>A</v>
          </cell>
          <cell r="K820" t="str">
            <v>B</v>
          </cell>
          <cell r="L820" t="str">
            <v>B</v>
          </cell>
          <cell r="M820" t="str">
            <v>A</v>
          </cell>
          <cell r="N820" t="str">
            <v>A</v>
          </cell>
          <cell r="O820" t="str">
            <v>A</v>
          </cell>
          <cell r="P820" t="str">
            <v>B</v>
          </cell>
          <cell r="Q820" t="str">
            <v>B</v>
          </cell>
          <cell r="R820" t="str">
            <v>B</v>
          </cell>
          <cell r="X820">
            <v>51.199999999999996</v>
          </cell>
        </row>
        <row r="821">
          <cell r="C821">
            <v>44912632</v>
          </cell>
          <cell r="D821" t="str">
            <v>ТОВ "ЕЙРЛОДЖИКС"</v>
          </cell>
          <cell r="E821">
            <v>45771.643700000001</v>
          </cell>
          <cell r="F821">
            <v>45658</v>
          </cell>
          <cell r="G821" t="str">
            <v>E</v>
          </cell>
          <cell r="H821" t="str">
            <v>C</v>
          </cell>
          <cell r="I821" t="str">
            <v>A</v>
          </cell>
          <cell r="J821" t="str">
            <v>A</v>
          </cell>
          <cell r="K821" t="str">
            <v>A</v>
          </cell>
          <cell r="L821" t="str">
            <v>A</v>
          </cell>
          <cell r="M821" t="str">
            <v>A</v>
          </cell>
          <cell r="N821" t="str">
            <v>B</v>
          </cell>
          <cell r="O821" t="str">
            <v>A</v>
          </cell>
          <cell r="P821" t="str">
            <v>C</v>
          </cell>
          <cell r="Q821" t="str">
            <v>B</v>
          </cell>
          <cell r="R821" t="str">
            <v>A</v>
          </cell>
          <cell r="X821">
            <v>51.7</v>
          </cell>
        </row>
        <row r="822">
          <cell r="C822">
            <v>44918165</v>
          </cell>
          <cell r="D822" t="str">
            <v>ТОВ "ТП "АГРОХІМ-ПАРТНЕР"</v>
          </cell>
          <cell r="E822">
            <v>45705.498099999997</v>
          </cell>
          <cell r="F822">
            <v>45566</v>
          </cell>
          <cell r="G822" t="str">
            <v>E</v>
          </cell>
          <cell r="H822" t="str">
            <v>C</v>
          </cell>
          <cell r="I822" t="str">
            <v>B</v>
          </cell>
          <cell r="J822" t="str">
            <v>C</v>
          </cell>
          <cell r="K822" t="str">
            <v>D</v>
          </cell>
          <cell r="L822" t="str">
            <v>B</v>
          </cell>
          <cell r="M822" t="str">
            <v>B</v>
          </cell>
          <cell r="N822" t="str">
            <v>C</v>
          </cell>
          <cell r="O822" t="str">
            <v>A</v>
          </cell>
          <cell r="P822" t="str">
            <v>C</v>
          </cell>
          <cell r="Q822" t="str">
            <v>C</v>
          </cell>
          <cell r="R822" t="str">
            <v>C</v>
          </cell>
          <cell r="X822">
            <v>36.399999999999991</v>
          </cell>
        </row>
        <row r="823">
          <cell r="C823">
            <v>44931872</v>
          </cell>
          <cell r="D823" t="str">
            <v>ТОВ "КАСТОР-ТРЕЙДІНГ"</v>
          </cell>
          <cell r="E823">
            <v>45645.523500000003</v>
          </cell>
          <cell r="F823">
            <v>45566</v>
          </cell>
          <cell r="G823" t="str">
            <v>E</v>
          </cell>
          <cell r="H823" t="str">
            <v>B</v>
          </cell>
          <cell r="I823" t="str">
            <v>C</v>
          </cell>
          <cell r="J823" t="str">
            <v>A</v>
          </cell>
          <cell r="K823" t="str">
            <v>D</v>
          </cell>
          <cell r="L823" t="str">
            <v>A</v>
          </cell>
          <cell r="M823" t="str">
            <v>A</v>
          </cell>
          <cell r="N823" t="str">
            <v>B</v>
          </cell>
          <cell r="O823" t="str">
            <v>A</v>
          </cell>
          <cell r="P823" t="str">
            <v>C</v>
          </cell>
          <cell r="Q823" t="str">
            <v>B</v>
          </cell>
          <cell r="R823" t="str">
            <v>B</v>
          </cell>
          <cell r="X823">
            <v>41.3</v>
          </cell>
        </row>
        <row r="824">
          <cell r="C824">
            <v>44932656</v>
          </cell>
          <cell r="D824" t="str">
            <v>ТОВ "АйЕс Еріал Віклз"</v>
          </cell>
          <cell r="E824">
            <v>45925.5455</v>
          </cell>
          <cell r="F824">
            <v>45839</v>
          </cell>
          <cell r="G824" t="str">
            <v>E</v>
          </cell>
          <cell r="H824" t="str">
            <v>B</v>
          </cell>
          <cell r="I824" t="str">
            <v>B</v>
          </cell>
          <cell r="J824" t="str">
            <v>A</v>
          </cell>
          <cell r="K824" t="str">
            <v>B</v>
          </cell>
          <cell r="L824" t="str">
            <v>B</v>
          </cell>
          <cell r="M824" t="str">
            <v>A</v>
          </cell>
          <cell r="N824" t="str">
            <v>A</v>
          </cell>
          <cell r="O824" t="str">
            <v>A</v>
          </cell>
          <cell r="P824" t="str">
            <v>C</v>
          </cell>
          <cell r="Q824" t="str">
            <v>B</v>
          </cell>
          <cell r="R824" t="str">
            <v>A</v>
          </cell>
          <cell r="X824">
            <v>55</v>
          </cell>
        </row>
        <row r="825">
          <cell r="C825">
            <v>44941278</v>
          </cell>
          <cell r="D825" t="str">
            <v>ТОВ "ПРОТЕЙП"</v>
          </cell>
          <cell r="E825">
            <v>45531.643300000003</v>
          </cell>
          <cell r="F825">
            <v>45474</v>
          </cell>
          <cell r="G825" t="str">
            <v>E</v>
          </cell>
          <cell r="H825" t="str">
            <v>B</v>
          </cell>
          <cell r="I825" t="str">
            <v>B</v>
          </cell>
          <cell r="J825" t="str">
            <v>A</v>
          </cell>
          <cell r="K825" t="str">
            <v>D</v>
          </cell>
          <cell r="L825" t="str">
            <v>A</v>
          </cell>
          <cell r="M825" t="str">
            <v>A</v>
          </cell>
          <cell r="N825" t="str">
            <v>B</v>
          </cell>
          <cell r="O825" t="str">
            <v>A</v>
          </cell>
          <cell r="P825" t="str">
            <v>C</v>
          </cell>
          <cell r="Q825" t="str">
            <v>B</v>
          </cell>
          <cell r="R825" t="str">
            <v>A</v>
          </cell>
          <cell r="X825">
            <v>52.9</v>
          </cell>
        </row>
        <row r="826">
          <cell r="C826">
            <v>44963443</v>
          </cell>
          <cell r="D826" t="str">
            <v>ТОВ "АМТРІКС"</v>
          </cell>
          <cell r="E826">
            <v>45729.685799999999</v>
          </cell>
          <cell r="F826">
            <v>45658</v>
          </cell>
          <cell r="G826" t="str">
            <v>E</v>
          </cell>
          <cell r="H826" t="str">
            <v>B</v>
          </cell>
          <cell r="I826" t="str">
            <v>C</v>
          </cell>
          <cell r="J826" t="str">
            <v>A</v>
          </cell>
          <cell r="K826" t="str">
            <v>D</v>
          </cell>
          <cell r="L826" t="str">
            <v>A</v>
          </cell>
          <cell r="M826" t="str">
            <v>A</v>
          </cell>
          <cell r="N826" t="str">
            <v>B</v>
          </cell>
          <cell r="O826" t="str">
            <v>A</v>
          </cell>
          <cell r="P826" t="str">
            <v>B</v>
          </cell>
          <cell r="Q826" t="str">
            <v>B</v>
          </cell>
          <cell r="R826" t="str">
            <v>B</v>
          </cell>
          <cell r="X826">
            <v>43.1</v>
          </cell>
        </row>
        <row r="827">
          <cell r="C827">
            <v>44972374</v>
          </cell>
          <cell r="D827" t="str">
            <v>ТОВ "ШАТО ОЛЬВІЯ"</v>
          </cell>
          <cell r="E827">
            <v>45548.633800000003</v>
          </cell>
          <cell r="F827">
            <v>45474</v>
          </cell>
          <cell r="G827" t="str">
            <v>E</v>
          </cell>
          <cell r="H827" t="str">
            <v>A</v>
          </cell>
          <cell r="I827" t="str">
            <v>B</v>
          </cell>
          <cell r="J827" t="str">
            <v>A</v>
          </cell>
          <cell r="K827" t="str">
            <v>B</v>
          </cell>
          <cell r="L827" t="str">
            <v>A</v>
          </cell>
          <cell r="M827" t="str">
            <v>A</v>
          </cell>
          <cell r="N827" t="str">
            <v>B</v>
          </cell>
          <cell r="O827" t="str">
            <v>A</v>
          </cell>
          <cell r="P827" t="str">
            <v>C</v>
          </cell>
          <cell r="Q827" t="str">
            <v>C</v>
          </cell>
          <cell r="R827" t="str">
            <v>A</v>
          </cell>
          <cell r="X827">
            <v>57.099999999999994</v>
          </cell>
        </row>
        <row r="828">
          <cell r="C828">
            <v>44978837</v>
          </cell>
          <cell r="D828" t="str">
            <v>ТОВ "БПЛА-сервіс"</v>
          </cell>
          <cell r="E828">
            <v>45985.6057</v>
          </cell>
          <cell r="F828">
            <v>45839</v>
          </cell>
          <cell r="G828" t="str">
            <v>D</v>
          </cell>
          <cell r="H828" t="str">
            <v>C</v>
          </cell>
          <cell r="I828" t="str">
            <v>D</v>
          </cell>
          <cell r="J828" t="str">
            <v>A</v>
          </cell>
          <cell r="K828" t="str">
            <v>B</v>
          </cell>
          <cell r="L828" t="str">
            <v>B</v>
          </cell>
          <cell r="M828" t="str">
            <v>A</v>
          </cell>
          <cell r="N828" t="str">
            <v>B</v>
          </cell>
          <cell r="O828" t="str">
            <v>A</v>
          </cell>
          <cell r="P828" t="str">
            <v>B</v>
          </cell>
          <cell r="Q828" t="str">
            <v>B</v>
          </cell>
          <cell r="R828" t="str">
            <v>C</v>
          </cell>
          <cell r="X828">
            <v>42.7</v>
          </cell>
        </row>
        <row r="829">
          <cell r="C829">
            <v>45001340</v>
          </cell>
          <cell r="D829" t="str">
            <v>ТОВ "ХОЛД КАРГО-МАРІН"</v>
          </cell>
          <cell r="E829">
            <v>45796.491399999999</v>
          </cell>
          <cell r="F829">
            <v>45658</v>
          </cell>
          <cell r="G829" t="str">
            <v>E</v>
          </cell>
          <cell r="H829" t="str">
            <v>B</v>
          </cell>
          <cell r="I829" t="str">
            <v>B</v>
          </cell>
          <cell r="J829" t="str">
            <v>A</v>
          </cell>
          <cell r="K829" t="str">
            <v>D</v>
          </cell>
          <cell r="L829" t="str">
            <v>B</v>
          </cell>
          <cell r="M829" t="str">
            <v>A</v>
          </cell>
          <cell r="N829" t="str">
            <v>B</v>
          </cell>
          <cell r="O829" t="str">
            <v>A</v>
          </cell>
          <cell r="P829" t="str">
            <v>C</v>
          </cell>
          <cell r="Q829" t="str">
            <v>B</v>
          </cell>
          <cell r="R829" t="str">
            <v>A</v>
          </cell>
          <cell r="X829">
            <v>48.1</v>
          </cell>
        </row>
        <row r="830">
          <cell r="C830">
            <v>45006793</v>
          </cell>
          <cell r="D830" t="str">
            <v>ТОВ "УАК"</v>
          </cell>
          <cell r="E830">
            <v>45714.402699999999</v>
          </cell>
          <cell r="F830">
            <v>45658</v>
          </cell>
          <cell r="G830" t="str">
            <v>E</v>
          </cell>
          <cell r="H830" t="str">
            <v>B</v>
          </cell>
          <cell r="I830" t="str">
            <v>B</v>
          </cell>
          <cell r="J830" t="str">
            <v>A</v>
          </cell>
          <cell r="K830" t="str">
            <v>D</v>
          </cell>
          <cell r="L830" t="str">
            <v>A</v>
          </cell>
          <cell r="M830" t="str">
            <v>A</v>
          </cell>
          <cell r="N830" t="str">
            <v>B</v>
          </cell>
          <cell r="O830" t="str">
            <v>A</v>
          </cell>
          <cell r="P830" t="str">
            <v>A</v>
          </cell>
          <cell r="Q830" t="str">
            <v>B</v>
          </cell>
          <cell r="R830" t="str">
            <v>C</v>
          </cell>
          <cell r="X830">
            <v>51.1</v>
          </cell>
        </row>
        <row r="831">
          <cell r="C831">
            <v>45007577</v>
          </cell>
          <cell r="D831" t="str">
            <v>ТОВ "СК "КОЛІБРІ"</v>
          </cell>
          <cell r="E831">
            <v>45950</v>
          </cell>
          <cell r="F831">
            <v>45658</v>
          </cell>
          <cell r="G831" t="str">
            <v>E</v>
          </cell>
          <cell r="H831" t="str">
            <v>B</v>
          </cell>
          <cell r="I831" t="str">
            <v>B</v>
          </cell>
          <cell r="J831" t="str">
            <v>A</v>
          </cell>
          <cell r="K831" t="str">
            <v>D</v>
          </cell>
          <cell r="L831" t="str">
            <v>B</v>
          </cell>
          <cell r="M831" t="str">
            <v>A</v>
          </cell>
          <cell r="N831" t="str">
            <v>B</v>
          </cell>
          <cell r="O831" t="str">
            <v>A</v>
          </cell>
          <cell r="P831" t="str">
            <v>C</v>
          </cell>
          <cell r="Q831" t="str">
            <v>C</v>
          </cell>
          <cell r="R831" t="str">
            <v>A</v>
          </cell>
          <cell r="X831">
            <v>46.3</v>
          </cell>
        </row>
        <row r="832">
          <cell r="C832">
            <v>45018662</v>
          </cell>
          <cell r="D832" t="str">
            <v>ТОВ "ДЖЕЙКЕЙ ЛЕНД  ВІКЛЗ"</v>
          </cell>
          <cell r="E832">
            <v>45925.5455</v>
          </cell>
          <cell r="F832">
            <v>45839</v>
          </cell>
          <cell r="G832" t="str">
            <v>E</v>
          </cell>
          <cell r="H832" t="str">
            <v>B</v>
          </cell>
          <cell r="I832" t="str">
            <v>B</v>
          </cell>
          <cell r="J832" t="str">
            <v>A</v>
          </cell>
          <cell r="K832" t="str">
            <v>B</v>
          </cell>
          <cell r="L832" t="str">
            <v>B</v>
          </cell>
          <cell r="M832" t="str">
            <v>A</v>
          </cell>
          <cell r="N832" t="str">
            <v>A</v>
          </cell>
          <cell r="O832" t="str">
            <v>A</v>
          </cell>
          <cell r="P832" t="str">
            <v>C</v>
          </cell>
          <cell r="Q832" t="str">
            <v>B</v>
          </cell>
          <cell r="R832" t="str">
            <v>A</v>
          </cell>
          <cell r="X832">
            <v>55</v>
          </cell>
        </row>
        <row r="833">
          <cell r="C833">
            <v>45022223</v>
          </cell>
          <cell r="D833" t="str">
            <v>ТОВ "Дімакс Трейд"</v>
          </cell>
          <cell r="E833">
            <v>45789.406600000002</v>
          </cell>
          <cell r="F833">
            <v>45658</v>
          </cell>
          <cell r="G833" t="str">
            <v>E</v>
          </cell>
          <cell r="H833" t="str">
            <v>A</v>
          </cell>
          <cell r="I833" t="str">
            <v>B</v>
          </cell>
          <cell r="J833" t="str">
            <v>A</v>
          </cell>
          <cell r="K833" t="str">
            <v>B</v>
          </cell>
          <cell r="L833" t="str">
            <v>B</v>
          </cell>
          <cell r="M833" t="str">
            <v>A</v>
          </cell>
          <cell r="N833" t="str">
            <v>B</v>
          </cell>
          <cell r="O833" t="str">
            <v>A</v>
          </cell>
          <cell r="P833" t="str">
            <v>C</v>
          </cell>
          <cell r="Q833" t="str">
            <v>B</v>
          </cell>
          <cell r="R833" t="str">
            <v>C</v>
          </cell>
          <cell r="X833">
            <v>48.1</v>
          </cell>
        </row>
        <row r="834">
          <cell r="C834">
            <v>45024000</v>
          </cell>
          <cell r="D834" t="str">
            <v>ТОВ "3Д-ТЕХ"</v>
          </cell>
          <cell r="E834">
            <v>45908.614300000001</v>
          </cell>
          <cell r="F834">
            <v>45658</v>
          </cell>
          <cell r="G834" t="str">
            <v>E</v>
          </cell>
          <cell r="H834" t="str">
            <v>B</v>
          </cell>
          <cell r="I834" t="str">
            <v>B</v>
          </cell>
          <cell r="J834" t="str">
            <v>A</v>
          </cell>
          <cell r="K834" t="str">
            <v>B</v>
          </cell>
          <cell r="L834" t="str">
            <v>A</v>
          </cell>
          <cell r="M834" t="str">
            <v>A</v>
          </cell>
          <cell r="N834" t="str">
            <v>B</v>
          </cell>
          <cell r="O834" t="str">
            <v>A</v>
          </cell>
          <cell r="P834" t="str">
            <v>C</v>
          </cell>
          <cell r="Q834" t="str">
            <v>B</v>
          </cell>
          <cell r="R834" t="str">
            <v>C</v>
          </cell>
          <cell r="X834">
            <v>50.500000000000007</v>
          </cell>
        </row>
        <row r="835">
          <cell r="C835">
            <v>45029192</v>
          </cell>
          <cell r="D835" t="str">
            <v>ТОВ "ШЕФІР ІНВЕСТМЕНТС"</v>
          </cell>
          <cell r="E835">
            <v>45730.524599999997</v>
          </cell>
          <cell r="F835">
            <v>45566</v>
          </cell>
          <cell r="G835" t="str">
            <v>E</v>
          </cell>
          <cell r="H835" t="str">
            <v>B</v>
          </cell>
          <cell r="I835" t="str">
            <v>C</v>
          </cell>
          <cell r="J835" t="str">
            <v>C</v>
          </cell>
          <cell r="K835" t="str">
            <v>E</v>
          </cell>
          <cell r="L835" t="str">
            <v>C</v>
          </cell>
          <cell r="M835" t="str">
            <v>B</v>
          </cell>
          <cell r="N835" t="str">
            <v>B</v>
          </cell>
          <cell r="O835" t="str">
            <v>A</v>
          </cell>
          <cell r="P835" t="str">
            <v>C</v>
          </cell>
          <cell r="Q835" t="str">
            <v>B</v>
          </cell>
          <cell r="R835" t="str">
            <v>B</v>
          </cell>
          <cell r="X835">
            <v>33.700000000000003</v>
          </cell>
        </row>
        <row r="836">
          <cell r="C836">
            <v>45052970</v>
          </cell>
          <cell r="D836" t="str">
            <v>ТОВ "КОМПОЗИТ ПРОДУКТ"</v>
          </cell>
          <cell r="E836">
            <v>45748</v>
          </cell>
          <cell r="F836">
            <v>45658</v>
          </cell>
          <cell r="G836" t="str">
            <v>D</v>
          </cell>
          <cell r="H836" t="str">
            <v>B</v>
          </cell>
          <cell r="I836" t="str">
            <v>B</v>
          </cell>
          <cell r="J836" t="str">
            <v>A</v>
          </cell>
          <cell r="K836" t="str">
            <v>C</v>
          </cell>
          <cell r="L836" t="str">
            <v>A</v>
          </cell>
          <cell r="M836" t="str">
            <v>A</v>
          </cell>
          <cell r="N836" t="str">
            <v>A</v>
          </cell>
          <cell r="O836" t="str">
            <v>A</v>
          </cell>
          <cell r="P836" t="str">
            <v>B</v>
          </cell>
          <cell r="Q836" t="str">
            <v>B</v>
          </cell>
          <cell r="R836" t="str">
            <v>B</v>
          </cell>
          <cell r="X836">
            <v>60.800000000000004</v>
          </cell>
        </row>
        <row r="837">
          <cell r="C837">
            <v>45055636</v>
          </cell>
          <cell r="D837" t="str">
            <v>ТОВ "ОМЕГА //"</v>
          </cell>
          <cell r="E837">
            <v>45849.703000000001</v>
          </cell>
          <cell r="F837">
            <v>45748</v>
          </cell>
          <cell r="G837" t="str">
            <v>C</v>
          </cell>
          <cell r="H837" t="str">
            <v>C</v>
          </cell>
          <cell r="I837" t="str">
            <v>B</v>
          </cell>
          <cell r="J837" t="str">
            <v>D</v>
          </cell>
          <cell r="K837" t="str">
            <v>C</v>
          </cell>
          <cell r="L837" t="str">
            <v>A</v>
          </cell>
          <cell r="M837" t="str">
            <v>A</v>
          </cell>
          <cell r="N837" t="str">
            <v>A</v>
          </cell>
          <cell r="O837" t="str">
            <v>A</v>
          </cell>
          <cell r="P837" t="str">
            <v>C</v>
          </cell>
          <cell r="Q837" t="str">
            <v>B</v>
          </cell>
          <cell r="R837" t="str">
            <v>B</v>
          </cell>
          <cell r="X837">
            <v>65.8</v>
          </cell>
        </row>
        <row r="838">
          <cell r="C838">
            <v>45057790</v>
          </cell>
          <cell r="D838" t="str">
            <v>ТОВ "НЕЖИТЬ"</v>
          </cell>
          <cell r="E838">
            <v>45667.448799999998</v>
          </cell>
          <cell r="F838">
            <v>45566</v>
          </cell>
          <cell r="G838" t="str">
            <v>E</v>
          </cell>
          <cell r="H838" t="str">
            <v>A</v>
          </cell>
          <cell r="I838" t="str">
            <v>A</v>
          </cell>
          <cell r="J838" t="str">
            <v>A</v>
          </cell>
          <cell r="K838" t="str">
            <v>D</v>
          </cell>
          <cell r="L838" t="str">
            <v>A</v>
          </cell>
          <cell r="M838" t="str">
            <v>A</v>
          </cell>
          <cell r="N838" t="str">
            <v>A</v>
          </cell>
          <cell r="O838" t="str">
            <v>A</v>
          </cell>
          <cell r="P838" t="str">
            <v>A</v>
          </cell>
          <cell r="Q838" t="str">
            <v>B</v>
          </cell>
          <cell r="R838" t="str">
            <v>A</v>
          </cell>
          <cell r="X838">
            <v>58.4</v>
          </cell>
        </row>
        <row r="839">
          <cell r="C839">
            <v>45059562</v>
          </cell>
          <cell r="D839" t="str">
            <v>ТОВ "ГРІНТЕХ ХАРВЕСТ"</v>
          </cell>
          <cell r="E839">
            <v>45937.532800000001</v>
          </cell>
          <cell r="F839">
            <v>45839</v>
          </cell>
          <cell r="G839" t="str">
            <v>D</v>
          </cell>
          <cell r="H839" t="str">
            <v>B</v>
          </cell>
          <cell r="I839" t="str">
            <v>B</v>
          </cell>
          <cell r="J839" t="str">
            <v>A</v>
          </cell>
          <cell r="K839" t="str">
            <v>D</v>
          </cell>
          <cell r="L839" t="str">
            <v>A</v>
          </cell>
          <cell r="M839" t="str">
            <v>A</v>
          </cell>
          <cell r="N839" t="str">
            <v>B</v>
          </cell>
          <cell r="O839" t="str">
            <v>A</v>
          </cell>
          <cell r="P839" t="str">
            <v>B</v>
          </cell>
          <cell r="Q839" t="str">
            <v>B</v>
          </cell>
          <cell r="R839" t="str">
            <v>A</v>
          </cell>
          <cell r="X839">
            <v>58.300000000000011</v>
          </cell>
        </row>
        <row r="840">
          <cell r="C840">
            <v>45061021</v>
          </cell>
          <cell r="D840" t="str">
            <v>ТОВ "БІОТЕМА"</v>
          </cell>
          <cell r="E840">
            <v>45751</v>
          </cell>
          <cell r="F840">
            <v>45658</v>
          </cell>
          <cell r="G840" t="str">
            <v>E</v>
          </cell>
          <cell r="H840" t="str">
            <v>B</v>
          </cell>
          <cell r="I840" t="str">
            <v>B</v>
          </cell>
          <cell r="J840" t="str">
            <v>A</v>
          </cell>
          <cell r="K840" t="str">
            <v>D</v>
          </cell>
          <cell r="L840" t="str">
            <v>A</v>
          </cell>
          <cell r="M840" t="str">
            <v>A</v>
          </cell>
          <cell r="N840" t="str">
            <v>B</v>
          </cell>
          <cell r="O840" t="str">
            <v>A</v>
          </cell>
          <cell r="P840" t="str">
            <v>C</v>
          </cell>
          <cell r="Q840" t="str">
            <v>B</v>
          </cell>
          <cell r="R840" t="str">
            <v>A</v>
          </cell>
          <cell r="X840">
            <v>52.9</v>
          </cell>
        </row>
        <row r="841">
          <cell r="C841">
            <v>45067154</v>
          </cell>
          <cell r="D841" t="str">
            <v>ТОВ "КРІСТАЛ АЛЬЯНС ТРЕЙД"</v>
          </cell>
          <cell r="E841">
            <v>45880.410499999998</v>
          </cell>
          <cell r="F841">
            <v>45748</v>
          </cell>
          <cell r="G841" t="str">
            <v>E</v>
          </cell>
          <cell r="H841" t="str">
            <v>B</v>
          </cell>
          <cell r="I841" t="str">
            <v>B</v>
          </cell>
          <cell r="J841" t="str">
            <v>D</v>
          </cell>
          <cell r="K841" t="str">
            <v>D</v>
          </cell>
          <cell r="L841" t="str">
            <v>B</v>
          </cell>
          <cell r="M841" t="str">
            <v>A</v>
          </cell>
          <cell r="N841" t="str">
            <v>B</v>
          </cell>
          <cell r="O841" t="str">
            <v>B</v>
          </cell>
          <cell r="P841" t="str">
            <v>B</v>
          </cell>
          <cell r="Q841" t="str">
            <v>B</v>
          </cell>
          <cell r="R841" t="str">
            <v>C</v>
          </cell>
          <cell r="X841">
            <v>48.300000000000004</v>
          </cell>
        </row>
        <row r="842">
          <cell r="C842">
            <v>45075280</v>
          </cell>
          <cell r="D842" t="str">
            <v>ТОВ "СТОРКВЕЙ"</v>
          </cell>
          <cell r="E842">
            <v>45919.811399999999</v>
          </cell>
          <cell r="F842">
            <v>45658</v>
          </cell>
          <cell r="G842" t="str">
            <v>E</v>
          </cell>
          <cell r="H842" t="str">
            <v>B</v>
          </cell>
          <cell r="I842" t="str">
            <v>B</v>
          </cell>
          <cell r="J842" t="str">
            <v>A</v>
          </cell>
          <cell r="K842" t="str">
            <v>C</v>
          </cell>
          <cell r="L842" t="str">
            <v>A</v>
          </cell>
          <cell r="M842" t="str">
            <v>A</v>
          </cell>
          <cell r="N842" t="str">
            <v>B</v>
          </cell>
          <cell r="O842" t="str">
            <v>A</v>
          </cell>
          <cell r="P842" t="str">
            <v>C</v>
          </cell>
          <cell r="Q842" t="str">
            <v>B</v>
          </cell>
          <cell r="R842" t="str">
            <v>A</v>
          </cell>
          <cell r="X842">
            <v>55.7</v>
          </cell>
        </row>
        <row r="843">
          <cell r="C843">
            <v>45078590</v>
          </cell>
          <cell r="D843" t="str">
            <v>ТОВ "ПРЕМІУМ-ОІЛ"</v>
          </cell>
          <cell r="E843">
            <v>45961.629200000003</v>
          </cell>
          <cell r="F843">
            <v>45839</v>
          </cell>
          <cell r="G843" t="str">
            <v>E</v>
          </cell>
          <cell r="H843" t="str">
            <v>B</v>
          </cell>
          <cell r="I843" t="str">
            <v>A</v>
          </cell>
          <cell r="J843" t="str">
            <v>A</v>
          </cell>
          <cell r="K843" t="str">
            <v>D</v>
          </cell>
          <cell r="L843" t="str">
            <v>A</v>
          </cell>
          <cell r="M843" t="str">
            <v>A</v>
          </cell>
          <cell r="N843" t="str">
            <v>B</v>
          </cell>
          <cell r="O843" t="str">
            <v>A</v>
          </cell>
          <cell r="P843" t="str">
            <v>C</v>
          </cell>
          <cell r="Q843" t="str">
            <v>B</v>
          </cell>
          <cell r="R843" t="str">
            <v>A</v>
          </cell>
          <cell r="X843">
            <v>48.5</v>
          </cell>
        </row>
        <row r="844">
          <cell r="C844">
            <v>45093095</v>
          </cell>
          <cell r="D844" t="str">
            <v>ТОВАРИСТВО З ОБМЕЖЕНОЮ ВІДПОВІДАЛЬНІСТЮ СПЕКТР НАФТА</v>
          </cell>
          <cell r="E844">
            <v>45833.661099999998</v>
          </cell>
          <cell r="F844">
            <v>45748</v>
          </cell>
          <cell r="G844" t="str">
            <v>E</v>
          </cell>
          <cell r="H844" t="str">
            <v>B</v>
          </cell>
          <cell r="I844" t="str">
            <v>A</v>
          </cell>
          <cell r="J844" t="str">
            <v>C</v>
          </cell>
          <cell r="K844" t="str">
            <v>A</v>
          </cell>
          <cell r="L844" t="str">
            <v>B</v>
          </cell>
          <cell r="M844" t="str">
            <v>B</v>
          </cell>
          <cell r="N844" t="str">
            <v>B</v>
          </cell>
          <cell r="O844" t="str">
            <v>B</v>
          </cell>
          <cell r="P844" t="str">
            <v>C</v>
          </cell>
          <cell r="Q844" t="str">
            <v>B</v>
          </cell>
          <cell r="R844" t="str">
            <v>B</v>
          </cell>
          <cell r="X844">
            <v>40.5</v>
          </cell>
        </row>
        <row r="845">
          <cell r="C845">
            <v>45111522</v>
          </cell>
          <cell r="D845" t="str">
            <v>ТОВ "БЛЕК ОІЛ ТРЕЙД"</v>
          </cell>
          <cell r="E845">
            <v>45930.775800000003</v>
          </cell>
          <cell r="F845">
            <v>45748</v>
          </cell>
          <cell r="G845" t="str">
            <v>E</v>
          </cell>
          <cell r="H845" t="str">
            <v>B</v>
          </cell>
          <cell r="I845" t="str">
            <v>A</v>
          </cell>
          <cell r="J845" t="str">
            <v>A</v>
          </cell>
          <cell r="K845" t="str">
            <v>D</v>
          </cell>
          <cell r="L845" t="str">
            <v>B</v>
          </cell>
          <cell r="M845" t="str">
            <v>B</v>
          </cell>
          <cell r="N845" t="str">
            <v>D</v>
          </cell>
          <cell r="O845" t="str">
            <v>B</v>
          </cell>
          <cell r="P845" t="str">
            <v>C</v>
          </cell>
          <cell r="Q845" t="str">
            <v>C</v>
          </cell>
          <cell r="R845" t="str">
            <v>A</v>
          </cell>
          <cell r="X845">
            <v>29.200000000000003</v>
          </cell>
        </row>
        <row r="846">
          <cell r="C846">
            <v>45119157</v>
          </cell>
          <cell r="D846" t="str">
            <v>ТОВ "ТК" БЕЛТРАНС"</v>
          </cell>
          <cell r="E846">
            <v>45973.512799999997</v>
          </cell>
          <cell r="F846">
            <v>45658</v>
          </cell>
          <cell r="G846" t="str">
            <v>E</v>
          </cell>
          <cell r="H846" t="str">
            <v>B</v>
          </cell>
          <cell r="I846" t="str">
            <v>B</v>
          </cell>
          <cell r="J846" t="str">
            <v>A</v>
          </cell>
          <cell r="K846" t="str">
            <v>D</v>
          </cell>
          <cell r="L846" t="str">
            <v>A</v>
          </cell>
          <cell r="M846" t="str">
            <v>A</v>
          </cell>
          <cell r="N846" t="str">
            <v>B</v>
          </cell>
          <cell r="O846" t="str">
            <v>A</v>
          </cell>
          <cell r="P846" t="str">
            <v>C</v>
          </cell>
          <cell r="Q846" t="str">
            <v>B</v>
          </cell>
          <cell r="R846" t="str">
            <v>A</v>
          </cell>
          <cell r="X846">
            <v>52.9</v>
          </cell>
        </row>
        <row r="847">
          <cell r="C847">
            <v>45136856</v>
          </cell>
          <cell r="D847" t="str">
            <v>ТОВ "УБМ"</v>
          </cell>
          <cell r="E847">
            <v>45825</v>
          </cell>
          <cell r="F847">
            <v>45658</v>
          </cell>
          <cell r="G847" t="str">
            <v>B</v>
          </cell>
          <cell r="H847" t="str">
            <v>B</v>
          </cell>
          <cell r="I847" t="str">
            <v>B</v>
          </cell>
          <cell r="J847" t="str">
            <v>C</v>
          </cell>
          <cell r="K847" t="str">
            <v>D</v>
          </cell>
          <cell r="L847" t="str">
            <v>A</v>
          </cell>
          <cell r="M847" t="str">
            <v>C</v>
          </cell>
          <cell r="N847" t="str">
            <v>A</v>
          </cell>
          <cell r="O847" t="str">
            <v>A</v>
          </cell>
          <cell r="P847" t="str">
            <v>C</v>
          </cell>
          <cell r="Q847" t="str">
            <v>B</v>
          </cell>
          <cell r="R847" t="str">
            <v>A</v>
          </cell>
          <cell r="X847">
            <v>62.2</v>
          </cell>
        </row>
        <row r="848">
          <cell r="C848">
            <v>45144076</v>
          </cell>
          <cell r="D848" t="str">
            <v>ТОВ "БУРНАС ВАЙНЕРІ"</v>
          </cell>
          <cell r="E848">
            <v>45930.962699999996</v>
          </cell>
          <cell r="F848">
            <v>45839</v>
          </cell>
          <cell r="G848" t="str">
            <v>E</v>
          </cell>
          <cell r="H848" t="str">
            <v>B</v>
          </cell>
          <cell r="I848" t="str">
            <v>B</v>
          </cell>
          <cell r="J848" t="str">
            <v>A</v>
          </cell>
          <cell r="K848" t="str">
            <v>D</v>
          </cell>
          <cell r="L848" t="str">
            <v>B</v>
          </cell>
          <cell r="M848" t="str">
            <v>D</v>
          </cell>
          <cell r="N848" t="str">
            <v>B</v>
          </cell>
          <cell r="O848" t="str">
            <v>A</v>
          </cell>
          <cell r="P848" t="str">
            <v>C</v>
          </cell>
          <cell r="Q848" t="str">
            <v>C</v>
          </cell>
          <cell r="R848" t="str">
            <v>A</v>
          </cell>
          <cell r="X848">
            <v>38.299999999999997</v>
          </cell>
        </row>
        <row r="849">
          <cell r="C849">
            <v>45156296</v>
          </cell>
          <cell r="D849" t="str">
            <v>ТОВ "МЕТСИС"</v>
          </cell>
          <cell r="E849">
            <v>45797.688699999999</v>
          </cell>
          <cell r="F849">
            <v>45658</v>
          </cell>
          <cell r="G849" t="str">
            <v>E</v>
          </cell>
          <cell r="H849" t="str">
            <v>B</v>
          </cell>
          <cell r="I849" t="str">
            <v>B</v>
          </cell>
          <cell r="J849" t="str">
            <v>A</v>
          </cell>
          <cell r="K849" t="str">
            <v>D</v>
          </cell>
          <cell r="L849" t="str">
            <v>B</v>
          </cell>
          <cell r="M849" t="str">
            <v>A</v>
          </cell>
          <cell r="N849" t="str">
            <v>A</v>
          </cell>
          <cell r="O849" t="str">
            <v>A</v>
          </cell>
          <cell r="P849" t="str">
            <v>C</v>
          </cell>
          <cell r="Q849" t="str">
            <v>B</v>
          </cell>
          <cell r="R849" t="str">
            <v>B</v>
          </cell>
          <cell r="X849">
            <v>47.8</v>
          </cell>
        </row>
        <row r="850">
          <cell r="C850">
            <v>45173055</v>
          </cell>
          <cell r="D850" t="str">
            <v>ТОВ "ІДЛ  ГЛАСС"</v>
          </cell>
          <cell r="E850">
            <v>45956</v>
          </cell>
          <cell r="F850">
            <v>45658</v>
          </cell>
          <cell r="G850" t="str">
            <v>E</v>
          </cell>
          <cell r="H850" t="str">
            <v>C</v>
          </cell>
          <cell r="I850" t="str">
            <v>D</v>
          </cell>
          <cell r="J850" t="str">
            <v>A</v>
          </cell>
          <cell r="K850" t="str">
            <v>E</v>
          </cell>
          <cell r="L850" t="str">
            <v>B</v>
          </cell>
          <cell r="M850" t="str">
            <v>A</v>
          </cell>
          <cell r="N850" t="str">
            <v>B</v>
          </cell>
          <cell r="O850" t="str">
            <v>A</v>
          </cell>
          <cell r="P850" t="str">
            <v>C</v>
          </cell>
          <cell r="Q850" t="str">
            <v>B</v>
          </cell>
          <cell r="R850" t="str">
            <v>C</v>
          </cell>
          <cell r="X850">
            <v>32.5</v>
          </cell>
        </row>
        <row r="851">
          <cell r="C851">
            <v>45186404</v>
          </cell>
          <cell r="D851" t="str">
            <v>ТОВ "ВИРІЙ ІНДАСТРІ"</v>
          </cell>
          <cell r="E851">
            <v>45757.729399999997</v>
          </cell>
          <cell r="F851">
            <v>45658</v>
          </cell>
          <cell r="G851" t="str">
            <v>E</v>
          </cell>
          <cell r="H851" t="str">
            <v>B</v>
          </cell>
          <cell r="I851" t="str">
            <v>B</v>
          </cell>
          <cell r="J851" t="str">
            <v>A</v>
          </cell>
          <cell r="K851" t="str">
            <v>D</v>
          </cell>
          <cell r="L851" t="str">
            <v>A</v>
          </cell>
          <cell r="M851" t="str">
            <v>A</v>
          </cell>
          <cell r="N851" t="str">
            <v>B</v>
          </cell>
          <cell r="O851" t="str">
            <v>A</v>
          </cell>
          <cell r="P851" t="str">
            <v>C</v>
          </cell>
          <cell r="Q851" t="str">
            <v>B</v>
          </cell>
          <cell r="R851" t="str">
            <v>A</v>
          </cell>
          <cell r="X851">
            <v>52.9</v>
          </cell>
        </row>
        <row r="852">
          <cell r="C852">
            <v>45187790</v>
          </cell>
          <cell r="D852" t="str">
            <v>ТОВ "ТК ОРІОН ГРУП"</v>
          </cell>
          <cell r="E852">
            <v>45621.923300000002</v>
          </cell>
          <cell r="F852">
            <v>45566</v>
          </cell>
          <cell r="G852" t="str">
            <v>E</v>
          </cell>
          <cell r="H852" t="str">
            <v>B</v>
          </cell>
          <cell r="I852" t="str">
            <v>A</v>
          </cell>
          <cell r="J852" t="str">
            <v>A</v>
          </cell>
          <cell r="K852" t="str">
            <v>D</v>
          </cell>
          <cell r="L852" t="str">
            <v>A</v>
          </cell>
          <cell r="M852" t="str">
            <v>A</v>
          </cell>
          <cell r="N852" t="str">
            <v>B</v>
          </cell>
          <cell r="O852" t="str">
            <v>A</v>
          </cell>
          <cell r="P852" t="str">
            <v>C</v>
          </cell>
          <cell r="Q852" t="str">
            <v>B</v>
          </cell>
          <cell r="R852" t="str">
            <v>A</v>
          </cell>
          <cell r="X852">
            <v>48.5</v>
          </cell>
        </row>
        <row r="853">
          <cell r="C853">
            <v>45192334</v>
          </cell>
          <cell r="D853" t="str">
            <v>ТОВ "АКВАФЕМІЛІ"</v>
          </cell>
          <cell r="E853">
            <v>45808.024799999999</v>
          </cell>
          <cell r="F853">
            <v>45658</v>
          </cell>
          <cell r="G853" t="str">
            <v>E</v>
          </cell>
          <cell r="H853" t="str">
            <v>B</v>
          </cell>
          <cell r="I853" t="str">
            <v>B</v>
          </cell>
          <cell r="J853" t="str">
            <v>A</v>
          </cell>
          <cell r="K853" t="str">
            <v>B</v>
          </cell>
          <cell r="L853" t="str">
            <v>A</v>
          </cell>
          <cell r="M853" t="str">
            <v>A</v>
          </cell>
          <cell r="N853" t="str">
            <v>B</v>
          </cell>
          <cell r="O853" t="str">
            <v>A</v>
          </cell>
          <cell r="P853" t="str">
            <v>C</v>
          </cell>
          <cell r="Q853" t="str">
            <v>B</v>
          </cell>
          <cell r="R853" t="str">
            <v>A</v>
          </cell>
          <cell r="X853">
            <v>56.500000000000007</v>
          </cell>
        </row>
        <row r="854">
          <cell r="C854">
            <v>45194719</v>
          </cell>
          <cell r="D854" t="str">
            <v>ТОВ "ПРОДЕК"</v>
          </cell>
          <cell r="E854">
            <v>45665.731399999997</v>
          </cell>
          <cell r="F854">
            <v>45566</v>
          </cell>
          <cell r="G854" t="str">
            <v>E</v>
          </cell>
          <cell r="H854" t="str">
            <v>B</v>
          </cell>
          <cell r="I854" t="str">
            <v>A</v>
          </cell>
          <cell r="J854" t="str">
            <v>A</v>
          </cell>
          <cell r="K854" t="str">
            <v>D</v>
          </cell>
          <cell r="L854" t="str">
            <v>A</v>
          </cell>
          <cell r="M854" t="str">
            <v>A</v>
          </cell>
          <cell r="N854" t="str">
            <v>B</v>
          </cell>
          <cell r="O854" t="str">
            <v>A</v>
          </cell>
          <cell r="P854" t="str">
            <v>C</v>
          </cell>
          <cell r="Q854" t="str">
            <v>B</v>
          </cell>
          <cell r="R854" t="str">
            <v>C</v>
          </cell>
          <cell r="X854">
            <v>42.5</v>
          </cell>
        </row>
        <row r="855">
          <cell r="C855">
            <v>45209976</v>
          </cell>
          <cell r="D855" t="str">
            <v>ТОВ "Х.АгроТранс"</v>
          </cell>
          <cell r="E855">
            <v>45775.468800000002</v>
          </cell>
          <cell r="F855">
            <v>45658</v>
          </cell>
          <cell r="G855" t="str">
            <v>E</v>
          </cell>
          <cell r="H855" t="str">
            <v>B</v>
          </cell>
          <cell r="I855" t="str">
            <v>B</v>
          </cell>
          <cell r="J855" t="str">
            <v>A</v>
          </cell>
          <cell r="K855" t="str">
            <v>D</v>
          </cell>
          <cell r="L855" t="str">
            <v>B</v>
          </cell>
          <cell r="M855" t="str">
            <v>A</v>
          </cell>
          <cell r="N855" t="str">
            <v>A</v>
          </cell>
          <cell r="O855" t="str">
            <v>A</v>
          </cell>
          <cell r="P855" t="str">
            <v>B</v>
          </cell>
          <cell r="Q855" t="str">
            <v>A</v>
          </cell>
          <cell r="R855" t="str">
            <v>B</v>
          </cell>
          <cell r="X855">
            <v>52</v>
          </cell>
        </row>
        <row r="856">
          <cell r="C856">
            <v>45280158</v>
          </cell>
          <cell r="D856" t="str">
            <v>ТОВ "ФІЛД ФАРМ"</v>
          </cell>
          <cell r="E856">
            <v>45762.421999999999</v>
          </cell>
          <cell r="F856">
            <v>45658</v>
          </cell>
          <cell r="G856" t="str">
            <v>E</v>
          </cell>
          <cell r="H856" t="str">
            <v>B</v>
          </cell>
          <cell r="I856" t="str">
            <v>B</v>
          </cell>
          <cell r="J856" t="str">
            <v>A</v>
          </cell>
          <cell r="K856" t="str">
            <v>D</v>
          </cell>
          <cell r="L856" t="str">
            <v>A</v>
          </cell>
          <cell r="M856" t="str">
            <v>A</v>
          </cell>
          <cell r="N856" t="str">
            <v>B</v>
          </cell>
          <cell r="O856" t="str">
            <v>A</v>
          </cell>
          <cell r="P856" t="str">
            <v>B</v>
          </cell>
          <cell r="Q856" t="str">
            <v>B</v>
          </cell>
          <cell r="R856" t="str">
            <v>A</v>
          </cell>
          <cell r="X856">
            <v>54.7</v>
          </cell>
        </row>
        <row r="857">
          <cell r="C857">
            <v>45283536</v>
          </cell>
          <cell r="D857" t="str">
            <v>ТОВ "ПРОГРЕС 2010"</v>
          </cell>
          <cell r="E857">
            <v>45566.586000000003</v>
          </cell>
          <cell r="F857">
            <v>45474</v>
          </cell>
          <cell r="G857" t="str">
            <v>E</v>
          </cell>
          <cell r="H857" t="str">
            <v>A</v>
          </cell>
          <cell r="I857" t="str">
            <v>B</v>
          </cell>
          <cell r="J857" t="str">
            <v>A</v>
          </cell>
          <cell r="K857" t="str">
            <v>D</v>
          </cell>
          <cell r="L857" t="str">
            <v>A</v>
          </cell>
          <cell r="M857" t="str">
            <v>A</v>
          </cell>
          <cell r="N857" t="str">
            <v>B</v>
          </cell>
          <cell r="O857" t="str">
            <v>A</v>
          </cell>
          <cell r="P857" t="str">
            <v>C</v>
          </cell>
          <cell r="Q857" t="str">
            <v>C</v>
          </cell>
          <cell r="R857" t="str">
            <v>A</v>
          </cell>
          <cell r="X857">
            <v>53.5</v>
          </cell>
        </row>
        <row r="858">
          <cell r="C858">
            <v>45291222</v>
          </cell>
          <cell r="D858" t="str">
            <v>ТОВ "РАРОГ АЕРОСПЕЙС"</v>
          </cell>
          <cell r="E858">
            <v>45754.414100000002</v>
          </cell>
          <cell r="F858">
            <v>45658</v>
          </cell>
          <cell r="G858" t="str">
            <v>E</v>
          </cell>
          <cell r="H858" t="str">
            <v>B</v>
          </cell>
          <cell r="I858" t="str">
            <v>B</v>
          </cell>
          <cell r="J858" t="str">
            <v>A</v>
          </cell>
          <cell r="K858" t="str">
            <v>D</v>
          </cell>
          <cell r="L858" t="str">
            <v>A</v>
          </cell>
          <cell r="M858" t="str">
            <v>A</v>
          </cell>
          <cell r="N858" t="str">
            <v>A</v>
          </cell>
          <cell r="O858" t="str">
            <v>A</v>
          </cell>
          <cell r="P858" t="str">
            <v>C</v>
          </cell>
          <cell r="Q858" t="str">
            <v>B</v>
          </cell>
          <cell r="R858" t="str">
            <v>A</v>
          </cell>
          <cell r="X858">
            <v>56.199999999999996</v>
          </cell>
        </row>
        <row r="859">
          <cell r="C859">
            <v>45301675</v>
          </cell>
          <cell r="D859" t="str">
            <v>ТОВ "СПЕЦПРИЛАД"</v>
          </cell>
          <cell r="E859">
            <v>45925.706100000003</v>
          </cell>
          <cell r="F859">
            <v>45839</v>
          </cell>
          <cell r="G859" t="str">
            <v>E</v>
          </cell>
          <cell r="H859" t="str">
            <v>C</v>
          </cell>
          <cell r="I859" t="str">
            <v>B</v>
          </cell>
          <cell r="J859" t="str">
            <v>A</v>
          </cell>
          <cell r="K859" t="str">
            <v>C</v>
          </cell>
          <cell r="L859" t="str">
            <v>A</v>
          </cell>
          <cell r="M859" t="str">
            <v>A</v>
          </cell>
          <cell r="N859" t="str">
            <v>B</v>
          </cell>
          <cell r="O859" t="str">
            <v>A</v>
          </cell>
          <cell r="P859" t="str">
            <v>C</v>
          </cell>
          <cell r="Q859" t="str">
            <v>B</v>
          </cell>
          <cell r="R859" t="str">
            <v>A</v>
          </cell>
          <cell r="X859">
            <v>54.1</v>
          </cell>
        </row>
        <row r="860">
          <cell r="C860">
            <v>45304681</v>
          </cell>
          <cell r="D860" t="str">
            <v>ТОВ "ГЛОБАЛ МАРК"</v>
          </cell>
          <cell r="E860">
            <v>45824.416700000002</v>
          </cell>
          <cell r="F860">
            <v>45658</v>
          </cell>
          <cell r="G860" t="str">
            <v>E</v>
          </cell>
          <cell r="H860" t="str">
            <v>B</v>
          </cell>
          <cell r="I860" t="str">
            <v>A</v>
          </cell>
          <cell r="J860" t="str">
            <v>A</v>
          </cell>
          <cell r="K860" t="str">
            <v>D</v>
          </cell>
          <cell r="L860" t="str">
            <v>A</v>
          </cell>
          <cell r="M860" t="str">
            <v>A</v>
          </cell>
          <cell r="N860" t="str">
            <v>C</v>
          </cell>
          <cell r="O860" t="str">
            <v>A</v>
          </cell>
          <cell r="P860" t="str">
            <v>A</v>
          </cell>
          <cell r="Q860" t="str">
            <v>B</v>
          </cell>
          <cell r="R860" t="str">
            <v>A</v>
          </cell>
          <cell r="X860">
            <v>51.2</v>
          </cell>
        </row>
        <row r="861">
          <cell r="C861">
            <v>45318652</v>
          </cell>
          <cell r="D861" t="str">
            <v>ТОВ "МРІЯ 4.5.0 "</v>
          </cell>
          <cell r="E861">
            <v>45761.704299999998</v>
          </cell>
          <cell r="F861">
            <v>45658</v>
          </cell>
          <cell r="G861" t="str">
            <v>E</v>
          </cell>
          <cell r="H861" t="str">
            <v>B</v>
          </cell>
          <cell r="I861" t="str">
            <v>B</v>
          </cell>
          <cell r="J861" t="str">
            <v>A</v>
          </cell>
          <cell r="K861" t="str">
            <v>D</v>
          </cell>
          <cell r="L861" t="str">
            <v>A</v>
          </cell>
          <cell r="M861" t="str">
            <v>A</v>
          </cell>
          <cell r="N861" t="str">
            <v>B</v>
          </cell>
          <cell r="O861" t="str">
            <v>A</v>
          </cell>
          <cell r="P861" t="str">
            <v>A</v>
          </cell>
          <cell r="Q861" t="str">
            <v>B</v>
          </cell>
          <cell r="R861" t="str">
            <v>A</v>
          </cell>
          <cell r="X861">
            <v>57.1</v>
          </cell>
        </row>
        <row r="862">
          <cell r="C862">
            <v>45320719</v>
          </cell>
          <cell r="D862" t="str">
            <v>ТОВ "ХІМРЕЗЕРВ-УКРАЇНА"</v>
          </cell>
          <cell r="E862">
            <v>45566.586000000003</v>
          </cell>
          <cell r="F862">
            <v>45474</v>
          </cell>
          <cell r="G862" t="str">
            <v>E</v>
          </cell>
          <cell r="H862" t="str">
            <v>A</v>
          </cell>
          <cell r="I862" t="str">
            <v>B</v>
          </cell>
          <cell r="J862" t="str">
            <v>A</v>
          </cell>
          <cell r="K862" t="str">
            <v>D</v>
          </cell>
          <cell r="L862" t="str">
            <v>A</v>
          </cell>
          <cell r="M862" t="str">
            <v>A</v>
          </cell>
          <cell r="N862" t="str">
            <v>B</v>
          </cell>
          <cell r="O862" t="str">
            <v>A</v>
          </cell>
          <cell r="P862" t="str">
            <v>C</v>
          </cell>
          <cell r="Q862" t="str">
            <v>C</v>
          </cell>
          <cell r="R862" t="str">
            <v>A</v>
          </cell>
          <cell r="X862">
            <v>53.5</v>
          </cell>
        </row>
        <row r="863">
          <cell r="C863">
            <v>45332739</v>
          </cell>
          <cell r="D863" t="str">
            <v>ТОВ "ЛОКАЛСТОР"</v>
          </cell>
          <cell r="E863">
            <v>45826.916700000002</v>
          </cell>
          <cell r="F863">
            <v>45748</v>
          </cell>
          <cell r="G863" t="str">
            <v>E</v>
          </cell>
          <cell r="H863" t="str">
            <v>A</v>
          </cell>
          <cell r="I863" t="str">
            <v>B</v>
          </cell>
          <cell r="J863" t="str">
            <v>A</v>
          </cell>
          <cell r="K863" t="str">
            <v>C</v>
          </cell>
          <cell r="L863" t="str">
            <v>A</v>
          </cell>
          <cell r="M863" t="str">
            <v>A</v>
          </cell>
          <cell r="N863" t="str">
            <v>B</v>
          </cell>
          <cell r="O863" t="str">
            <v>A</v>
          </cell>
          <cell r="P863" t="str">
            <v>B</v>
          </cell>
          <cell r="Q863" t="str">
            <v>B</v>
          </cell>
          <cell r="R863" t="str">
            <v>A</v>
          </cell>
          <cell r="X863">
            <v>59.900000000000006</v>
          </cell>
        </row>
        <row r="864">
          <cell r="C864">
            <v>45335238</v>
          </cell>
          <cell r="D864" t="str">
            <v>ТОВ "ДЖІА"</v>
          </cell>
          <cell r="E864">
            <v>45925.706100000003</v>
          </cell>
          <cell r="F864">
            <v>45839</v>
          </cell>
          <cell r="G864" t="str">
            <v>E</v>
          </cell>
          <cell r="H864" t="str">
            <v>C</v>
          </cell>
          <cell r="I864" t="str">
            <v>B</v>
          </cell>
          <cell r="J864" t="str">
            <v>A</v>
          </cell>
          <cell r="K864" t="str">
            <v>C</v>
          </cell>
          <cell r="L864" t="str">
            <v>A</v>
          </cell>
          <cell r="M864" t="str">
            <v>A</v>
          </cell>
          <cell r="N864" t="str">
            <v>B</v>
          </cell>
          <cell r="O864" t="str">
            <v>A</v>
          </cell>
          <cell r="P864" t="str">
            <v>C</v>
          </cell>
          <cell r="Q864" t="str">
            <v>B</v>
          </cell>
          <cell r="R864" t="str">
            <v>A</v>
          </cell>
          <cell r="X864">
            <v>54.1</v>
          </cell>
        </row>
        <row r="865">
          <cell r="C865">
            <v>45336121</v>
          </cell>
          <cell r="D865" t="str">
            <v>ТОВ "КЛАС І К 8"</v>
          </cell>
          <cell r="E865">
            <v>45898.599199999997</v>
          </cell>
          <cell r="F865">
            <v>45839</v>
          </cell>
          <cell r="G865" t="str">
            <v>E</v>
          </cell>
          <cell r="H865" t="str">
            <v>B</v>
          </cell>
          <cell r="I865" t="str">
            <v>C</v>
          </cell>
          <cell r="J865" t="str">
            <v>A</v>
          </cell>
          <cell r="K865" t="str">
            <v>D</v>
          </cell>
          <cell r="L865" t="str">
            <v>A</v>
          </cell>
          <cell r="M865" t="str">
            <v>A</v>
          </cell>
          <cell r="N865" t="str">
            <v>B</v>
          </cell>
          <cell r="O865" t="str">
            <v>A</v>
          </cell>
          <cell r="P865" t="str">
            <v>C</v>
          </cell>
          <cell r="Q865" t="str">
            <v>B</v>
          </cell>
          <cell r="R865" t="str">
            <v>C</v>
          </cell>
          <cell r="X865">
            <v>38.9</v>
          </cell>
        </row>
        <row r="866">
          <cell r="C866">
            <v>45342459</v>
          </cell>
          <cell r="D866" t="str">
            <v>ТОВ "ДЕСЕМБЕР ВАН РНД"</v>
          </cell>
          <cell r="E866">
            <v>45838.597199999997</v>
          </cell>
          <cell r="F866">
            <v>45658</v>
          </cell>
          <cell r="G866" t="str">
            <v>E</v>
          </cell>
          <cell r="H866" t="str">
            <v>C</v>
          </cell>
          <cell r="I866" t="str">
            <v>C</v>
          </cell>
          <cell r="J866" t="str">
            <v>A</v>
          </cell>
          <cell r="K866" t="str">
            <v>B</v>
          </cell>
          <cell r="L866" t="str">
            <v>B</v>
          </cell>
          <cell r="M866" t="str">
            <v>A</v>
          </cell>
          <cell r="N866" t="str">
            <v>B</v>
          </cell>
          <cell r="O866" t="str">
            <v>A</v>
          </cell>
          <cell r="P866" t="str">
            <v>C</v>
          </cell>
          <cell r="Q866" t="str">
            <v>B</v>
          </cell>
          <cell r="R866" t="str">
            <v>A</v>
          </cell>
          <cell r="X866">
            <v>42.1</v>
          </cell>
        </row>
        <row r="867">
          <cell r="C867">
            <v>45351684</v>
          </cell>
          <cell r="D867" t="str">
            <v>ТОВ "ЮТ КОМПАНІ"</v>
          </cell>
          <cell r="E867">
            <v>45721.500399999997</v>
          </cell>
          <cell r="F867">
            <v>45658</v>
          </cell>
          <cell r="G867" t="str">
            <v>E</v>
          </cell>
          <cell r="H867" t="str">
            <v>A</v>
          </cell>
          <cell r="I867" t="str">
            <v>C</v>
          </cell>
          <cell r="J867" t="str">
            <v>A</v>
          </cell>
          <cell r="K867" t="str">
            <v>D</v>
          </cell>
          <cell r="L867" t="str">
            <v>B</v>
          </cell>
          <cell r="M867" t="str">
            <v>A</v>
          </cell>
          <cell r="N867" t="str">
            <v>B</v>
          </cell>
          <cell r="O867" t="str">
            <v>B</v>
          </cell>
          <cell r="P867" t="str">
            <v>C</v>
          </cell>
          <cell r="Q867" t="str">
            <v>B</v>
          </cell>
          <cell r="R867" t="str">
            <v>C</v>
          </cell>
          <cell r="X867">
            <v>32.9</v>
          </cell>
        </row>
        <row r="868">
          <cell r="C868">
            <v>45355940</v>
          </cell>
          <cell r="D868" t="str">
            <v>ТОВ "АСГАРДА ЮГ"</v>
          </cell>
          <cell r="E868">
            <v>45793.7696</v>
          </cell>
          <cell r="F868">
            <v>45658</v>
          </cell>
          <cell r="G868" t="str">
            <v>E</v>
          </cell>
          <cell r="H868" t="str">
            <v>B</v>
          </cell>
          <cell r="I868" t="str">
            <v>B</v>
          </cell>
          <cell r="J868" t="str">
            <v>A</v>
          </cell>
          <cell r="K868" t="str">
            <v>D</v>
          </cell>
          <cell r="L868" t="str">
            <v>A</v>
          </cell>
          <cell r="M868" t="str">
            <v>A</v>
          </cell>
          <cell r="N868" t="str">
            <v>C</v>
          </cell>
          <cell r="O868" t="str">
            <v>B</v>
          </cell>
          <cell r="P868" t="str">
            <v>C</v>
          </cell>
          <cell r="Q868" t="str">
            <v>B</v>
          </cell>
          <cell r="R868" t="str">
            <v>A</v>
          </cell>
          <cell r="X868">
            <v>47.8</v>
          </cell>
        </row>
        <row r="869">
          <cell r="C869">
            <v>45358391</v>
          </cell>
          <cell r="D869" t="str">
            <v>ТОВ "ХАЙ-ЕНЕРДЖІ-ТРЕЙД"</v>
          </cell>
          <cell r="E869">
            <v>45890</v>
          </cell>
          <cell r="F869">
            <v>45839</v>
          </cell>
          <cell r="G869" t="str">
            <v>E</v>
          </cell>
          <cell r="H869" t="str">
            <v>A</v>
          </cell>
          <cell r="I869" t="str">
            <v>B</v>
          </cell>
          <cell r="J869" t="str">
            <v>A</v>
          </cell>
          <cell r="K869" t="str">
            <v>D</v>
          </cell>
          <cell r="L869" t="str">
            <v>A</v>
          </cell>
          <cell r="M869" t="str">
            <v>A</v>
          </cell>
          <cell r="N869" t="str">
            <v>B</v>
          </cell>
          <cell r="O869" t="str">
            <v>A</v>
          </cell>
          <cell r="P869" t="str">
            <v>C</v>
          </cell>
          <cell r="Q869" t="str">
            <v>B</v>
          </cell>
          <cell r="R869" t="str">
            <v>A</v>
          </cell>
          <cell r="X869">
            <v>55.300000000000004</v>
          </cell>
        </row>
        <row r="870">
          <cell r="C870">
            <v>45359809</v>
          </cell>
          <cell r="D870" t="str">
            <v>ТОВ "ХАБИКС"</v>
          </cell>
          <cell r="E870">
            <v>45967.499900000003</v>
          </cell>
          <cell r="F870">
            <v>45839</v>
          </cell>
          <cell r="G870" t="str">
            <v>E</v>
          </cell>
          <cell r="H870" t="str">
            <v>C</v>
          </cell>
          <cell r="I870" t="str">
            <v>B</v>
          </cell>
          <cell r="J870" t="str">
            <v>A</v>
          </cell>
          <cell r="K870" t="str">
            <v>D</v>
          </cell>
          <cell r="L870" t="str">
            <v>A</v>
          </cell>
          <cell r="M870" t="str">
            <v>A</v>
          </cell>
          <cell r="N870" t="str">
            <v>B</v>
          </cell>
          <cell r="O870" t="str">
            <v>A</v>
          </cell>
          <cell r="P870" t="str">
            <v>A</v>
          </cell>
          <cell r="Q870" t="str">
            <v>B</v>
          </cell>
          <cell r="R870" t="str">
            <v>A</v>
          </cell>
          <cell r="X870">
            <v>55.5</v>
          </cell>
        </row>
        <row r="871">
          <cell r="C871">
            <v>45370466</v>
          </cell>
          <cell r="D871" t="str">
            <v>ТОВ "ТЕНКОР"</v>
          </cell>
          <cell r="E871">
            <v>45840.804300000003</v>
          </cell>
          <cell r="F871">
            <v>45748</v>
          </cell>
          <cell r="G871" t="str">
            <v>E</v>
          </cell>
          <cell r="H871" t="str">
            <v>B</v>
          </cell>
          <cell r="I871" t="str">
            <v>B</v>
          </cell>
          <cell r="J871" t="str">
            <v>A</v>
          </cell>
          <cell r="K871" t="str">
            <v>B</v>
          </cell>
          <cell r="L871" t="str">
            <v>A</v>
          </cell>
          <cell r="M871" t="str">
            <v>A</v>
          </cell>
          <cell r="N871" t="str">
            <v>B</v>
          </cell>
          <cell r="O871" t="str">
            <v>A</v>
          </cell>
          <cell r="P871" t="str">
            <v>B</v>
          </cell>
          <cell r="Q871" t="str">
            <v>B</v>
          </cell>
          <cell r="R871" t="str">
            <v>C</v>
          </cell>
          <cell r="X871">
            <v>52.300000000000011</v>
          </cell>
        </row>
        <row r="872">
          <cell r="C872">
            <v>45391560</v>
          </cell>
          <cell r="D872" t="str">
            <v>ТОВ "БАКАЛІСТ"</v>
          </cell>
          <cell r="E872">
            <v>45926.595000000001</v>
          </cell>
          <cell r="F872">
            <v>45839</v>
          </cell>
          <cell r="G872" t="str">
            <v>E</v>
          </cell>
          <cell r="H872" t="str">
            <v>A</v>
          </cell>
          <cell r="I872" t="str">
            <v>A</v>
          </cell>
          <cell r="J872" t="str">
            <v>A</v>
          </cell>
          <cell r="K872" t="str">
            <v>A</v>
          </cell>
          <cell r="L872" t="str">
            <v>A</v>
          </cell>
          <cell r="M872" t="str">
            <v>A</v>
          </cell>
          <cell r="N872" t="str">
            <v>B</v>
          </cell>
          <cell r="O872" t="str">
            <v>A</v>
          </cell>
          <cell r="P872" t="str">
            <v>C</v>
          </cell>
          <cell r="Q872" t="str">
            <v>B</v>
          </cell>
          <cell r="R872" t="str">
            <v>A</v>
          </cell>
          <cell r="X872">
            <v>55.7</v>
          </cell>
        </row>
        <row r="873">
          <cell r="C873">
            <v>45404264</v>
          </cell>
          <cell r="D873" t="str">
            <v>ТОВ "АВТОМИР-Н"</v>
          </cell>
          <cell r="E873">
            <v>45926.4833</v>
          </cell>
          <cell r="F873">
            <v>45839</v>
          </cell>
          <cell r="G873" t="str">
            <v>D</v>
          </cell>
          <cell r="H873" t="str">
            <v>A</v>
          </cell>
          <cell r="I873" t="str">
            <v>C</v>
          </cell>
          <cell r="J873" t="str">
            <v>B</v>
          </cell>
          <cell r="K873" t="str">
            <v>C</v>
          </cell>
          <cell r="L873" t="str">
            <v>A</v>
          </cell>
          <cell r="M873" t="str">
            <v>A</v>
          </cell>
          <cell r="N873" t="str">
            <v>B</v>
          </cell>
          <cell r="O873" t="str">
            <v>A</v>
          </cell>
          <cell r="P873" t="str">
            <v>A</v>
          </cell>
          <cell r="Q873" t="str">
            <v>B</v>
          </cell>
          <cell r="R873" t="str">
            <v>A</v>
          </cell>
          <cell r="X873">
            <v>60.7</v>
          </cell>
        </row>
        <row r="874">
          <cell r="C874">
            <v>45455408</v>
          </cell>
          <cell r="D874" t="str">
            <v>ТОВ КРИСТАЛ ДЕНТАЛ</v>
          </cell>
          <cell r="E874">
            <v>45953.709300000002</v>
          </cell>
          <cell r="F874">
            <v>45839</v>
          </cell>
          <cell r="G874" t="str">
            <v>E</v>
          </cell>
          <cell r="H874" t="str">
            <v>C</v>
          </cell>
          <cell r="I874" t="str">
            <v>B</v>
          </cell>
          <cell r="J874" t="str">
            <v>A</v>
          </cell>
          <cell r="K874" t="str">
            <v>C</v>
          </cell>
          <cell r="L874" t="str">
            <v>A</v>
          </cell>
          <cell r="M874" t="str">
            <v>A</v>
          </cell>
          <cell r="N874" t="str">
            <v>B</v>
          </cell>
          <cell r="O874" t="str">
            <v>A</v>
          </cell>
          <cell r="P874" t="str">
            <v>C</v>
          </cell>
          <cell r="Q874" t="str">
            <v>B</v>
          </cell>
          <cell r="R874" t="str">
            <v>C</v>
          </cell>
          <cell r="X874">
            <v>48.1</v>
          </cell>
        </row>
        <row r="875">
          <cell r="C875">
            <v>45495042</v>
          </cell>
          <cell r="D875" t="str">
            <v>ТОВ "ФОГ ЮА 2"</v>
          </cell>
          <cell r="E875">
            <v>45917.687899999997</v>
          </cell>
          <cell r="F875">
            <v>45839</v>
          </cell>
          <cell r="G875" t="str">
            <v>E</v>
          </cell>
          <cell r="H875" t="str">
            <v>B</v>
          </cell>
          <cell r="I875" t="str">
            <v>C</v>
          </cell>
          <cell r="J875" t="str">
            <v>A</v>
          </cell>
          <cell r="K875" t="str">
            <v>B</v>
          </cell>
          <cell r="L875" t="str">
            <v>B</v>
          </cell>
          <cell r="M875" t="str">
            <v>B</v>
          </cell>
          <cell r="N875" t="str">
            <v>B</v>
          </cell>
          <cell r="O875" t="str">
            <v>A</v>
          </cell>
          <cell r="P875" t="str">
            <v>B</v>
          </cell>
          <cell r="Q875" t="str">
            <v>B</v>
          </cell>
          <cell r="R875" t="str">
            <v>C</v>
          </cell>
          <cell r="X875">
            <v>33.1</v>
          </cell>
        </row>
        <row r="876">
          <cell r="C876">
            <v>45502929</v>
          </cell>
          <cell r="D876" t="str">
            <v>ТОВ "ВІКТОРІСОФТ"</v>
          </cell>
          <cell r="E876">
            <v>45906.020400000001</v>
          </cell>
          <cell r="F876">
            <v>45839</v>
          </cell>
          <cell r="G876" t="str">
            <v>E</v>
          </cell>
          <cell r="H876" t="str">
            <v>B</v>
          </cell>
          <cell r="I876" t="str">
            <v>B</v>
          </cell>
          <cell r="J876" t="str">
            <v>A</v>
          </cell>
          <cell r="K876" t="str">
            <v>B</v>
          </cell>
          <cell r="L876" t="str">
            <v>A</v>
          </cell>
          <cell r="M876" t="str">
            <v>A</v>
          </cell>
          <cell r="N876" t="str">
            <v>B</v>
          </cell>
          <cell r="O876" t="str">
            <v>A</v>
          </cell>
          <cell r="P876" t="str">
            <v>C</v>
          </cell>
          <cell r="Q876" t="str">
            <v>B</v>
          </cell>
          <cell r="R876" t="str">
            <v>A</v>
          </cell>
          <cell r="X876">
            <v>56.500000000000007</v>
          </cell>
        </row>
        <row r="877">
          <cell r="C877">
            <v>45509201</v>
          </cell>
          <cell r="D877" t="str">
            <v>ПП "ВК Гармонія Смаку"</v>
          </cell>
          <cell r="E877">
            <v>45870.475599999998</v>
          </cell>
          <cell r="F877">
            <v>45658</v>
          </cell>
          <cell r="G877" t="str">
            <v>E</v>
          </cell>
          <cell r="H877" t="str">
            <v>B</v>
          </cell>
          <cell r="I877" t="str">
            <v>B</v>
          </cell>
          <cell r="J877" t="str">
            <v>A</v>
          </cell>
          <cell r="K877" t="str">
            <v>D</v>
          </cell>
          <cell r="L877" t="str">
            <v>B</v>
          </cell>
          <cell r="M877" t="str">
            <v>A</v>
          </cell>
          <cell r="N877" t="str">
            <v>B</v>
          </cell>
          <cell r="O877" t="str">
            <v>B</v>
          </cell>
          <cell r="P877" t="str">
            <v>C</v>
          </cell>
          <cell r="Q877" t="str">
            <v>C</v>
          </cell>
          <cell r="R877" t="str">
            <v>C</v>
          </cell>
          <cell r="X877">
            <v>36.699999999999996</v>
          </cell>
        </row>
        <row r="878">
          <cell r="C878">
            <v>45522641</v>
          </cell>
          <cell r="D878" t="str">
            <v>ТОВ «Брент Рітейл»</v>
          </cell>
          <cell r="E878">
            <v>45939.6299</v>
          </cell>
          <cell r="F878">
            <v>45839</v>
          </cell>
          <cell r="G878" t="str">
            <v>E</v>
          </cell>
          <cell r="H878" t="str">
            <v>B</v>
          </cell>
          <cell r="I878" t="str">
            <v>B</v>
          </cell>
          <cell r="J878" t="str">
            <v>B</v>
          </cell>
          <cell r="K878" t="str">
            <v>D</v>
          </cell>
          <cell r="L878" t="str">
            <v>B</v>
          </cell>
          <cell r="M878" t="str">
            <v>B</v>
          </cell>
          <cell r="N878" t="str">
            <v>B</v>
          </cell>
          <cell r="O878" t="str">
            <v>B</v>
          </cell>
          <cell r="P878" t="str">
            <v>C</v>
          </cell>
          <cell r="Q878" t="str">
            <v>C</v>
          </cell>
          <cell r="R878" t="str">
            <v>B</v>
          </cell>
          <cell r="X878">
            <v>35.5</v>
          </cell>
        </row>
        <row r="879">
          <cell r="C879">
            <v>45525417</v>
          </cell>
          <cell r="D879" t="str">
            <v>ТОВ "СТР"</v>
          </cell>
          <cell r="E879">
            <v>45722.520299999996</v>
          </cell>
          <cell r="F879">
            <v>45474</v>
          </cell>
          <cell r="G879" t="str">
            <v>E</v>
          </cell>
          <cell r="H879" t="str">
            <v>C</v>
          </cell>
          <cell r="I879" t="str">
            <v>A</v>
          </cell>
          <cell r="J879" t="str">
            <v>B</v>
          </cell>
          <cell r="K879" t="str">
            <v>D</v>
          </cell>
          <cell r="L879" t="str">
            <v>B</v>
          </cell>
          <cell r="M879" t="str">
            <v>C</v>
          </cell>
          <cell r="N879" t="str">
            <v>B</v>
          </cell>
          <cell r="O879" t="str">
            <v>A</v>
          </cell>
          <cell r="P879" t="str">
            <v>C</v>
          </cell>
          <cell r="Q879" t="str">
            <v>C</v>
          </cell>
          <cell r="R879" t="str">
            <v>C</v>
          </cell>
          <cell r="X879">
            <v>29.5</v>
          </cell>
        </row>
        <row r="880">
          <cell r="C880">
            <v>45712841</v>
          </cell>
          <cell r="D880" t="str">
            <v>ТОВ "ВІОЛА ФС"</v>
          </cell>
          <cell r="E880">
            <v>45965.636599999998</v>
          </cell>
          <cell r="F880">
            <v>45839</v>
          </cell>
          <cell r="G880" t="str">
            <v>D</v>
          </cell>
          <cell r="H880" t="str">
            <v>B</v>
          </cell>
          <cell r="I880" t="str">
            <v>B</v>
          </cell>
          <cell r="J880" t="str">
            <v>C</v>
          </cell>
          <cell r="K880" t="str">
            <v>C</v>
          </cell>
          <cell r="L880" t="str">
            <v>A</v>
          </cell>
          <cell r="M880" t="str">
            <v>A</v>
          </cell>
          <cell r="N880" t="str">
            <v>A</v>
          </cell>
          <cell r="O880" t="str">
            <v>A</v>
          </cell>
          <cell r="P880" t="str">
            <v>A</v>
          </cell>
          <cell r="Q880" t="str">
            <v>A</v>
          </cell>
          <cell r="R880" t="str">
            <v>B</v>
          </cell>
          <cell r="X880">
            <v>71.200000000000017</v>
          </cell>
        </row>
        <row r="881">
          <cell r="C881">
            <v>45729593</v>
          </cell>
          <cell r="D881" t="str">
            <v>ТОВ «ІННОВО КІДС»</v>
          </cell>
          <cell r="E881">
            <v>45881.635000000002</v>
          </cell>
          <cell r="F881">
            <v>45658</v>
          </cell>
          <cell r="G881" t="str">
            <v>E</v>
          </cell>
          <cell r="H881" t="str">
            <v>B</v>
          </cell>
          <cell r="I881" t="str">
            <v>B</v>
          </cell>
          <cell r="J881" t="str">
            <v>D</v>
          </cell>
          <cell r="K881" t="str">
            <v>D</v>
          </cell>
          <cell r="L881" t="str">
            <v>B</v>
          </cell>
          <cell r="M881" t="str">
            <v>A</v>
          </cell>
          <cell r="N881" t="str">
            <v>B</v>
          </cell>
          <cell r="O881" t="str">
            <v>A</v>
          </cell>
          <cell r="P881" t="str">
            <v>C</v>
          </cell>
          <cell r="Q881" t="str">
            <v>B</v>
          </cell>
          <cell r="R881" t="str">
            <v>A</v>
          </cell>
          <cell r="X881">
            <v>56.1</v>
          </cell>
        </row>
        <row r="882">
          <cell r="C882">
            <v>45759853</v>
          </cell>
          <cell r="D882" t="str">
            <v>ТОВ "ПЕНТОПАК УКРАЇНА"</v>
          </cell>
          <cell r="E882">
            <v>45862.927300000003</v>
          </cell>
          <cell r="F882">
            <v>45748</v>
          </cell>
          <cell r="G882" t="str">
            <v>E</v>
          </cell>
          <cell r="H882" t="str">
            <v>B</v>
          </cell>
          <cell r="I882" t="str">
            <v>C</v>
          </cell>
          <cell r="J882" t="str">
            <v>A</v>
          </cell>
          <cell r="K882" t="str">
            <v>D</v>
          </cell>
          <cell r="L882" t="str">
            <v>A</v>
          </cell>
          <cell r="M882" t="str">
            <v>A</v>
          </cell>
          <cell r="N882" t="str">
            <v>B</v>
          </cell>
          <cell r="O882" t="str">
            <v>A</v>
          </cell>
          <cell r="P882" t="str">
            <v>C</v>
          </cell>
          <cell r="Q882" t="str">
            <v>C</v>
          </cell>
          <cell r="R882" t="str">
            <v>A</v>
          </cell>
          <cell r="X882">
            <v>43.099999999999994</v>
          </cell>
        </row>
        <row r="883">
          <cell r="C883">
            <v>45787571</v>
          </cell>
          <cell r="D883" t="str">
            <v>ТОВ "АЙС ЛОГІСТИК ГРУП"</v>
          </cell>
          <cell r="E883">
            <v>45933.659500000002</v>
          </cell>
          <cell r="F883">
            <v>45748</v>
          </cell>
          <cell r="G883" t="str">
            <v>E</v>
          </cell>
          <cell r="H883" t="str">
            <v>C</v>
          </cell>
          <cell r="I883" t="str">
            <v>B</v>
          </cell>
          <cell r="J883" t="str">
            <v>A</v>
          </cell>
          <cell r="K883" t="str">
            <v>C</v>
          </cell>
          <cell r="L883" t="str">
            <v>A</v>
          </cell>
          <cell r="M883" t="str">
            <v>A</v>
          </cell>
          <cell r="N883" t="str">
            <v>A</v>
          </cell>
          <cell r="O883" t="str">
            <v>A</v>
          </cell>
          <cell r="P883" t="str">
            <v>C</v>
          </cell>
          <cell r="Q883" t="str">
            <v>B</v>
          </cell>
          <cell r="R883" t="str">
            <v>A</v>
          </cell>
          <cell r="X883">
            <v>57.4</v>
          </cell>
        </row>
        <row r="884">
          <cell r="C884">
            <v>2834002935</v>
          </cell>
          <cell r="D884" t="str">
            <v>Костенко Ярослав Валерійович</v>
          </cell>
          <cell r="E884">
            <v>45959</v>
          </cell>
          <cell r="F884">
            <v>45658</v>
          </cell>
          <cell r="G884" t="str">
            <v>E</v>
          </cell>
          <cell r="H884" t="str">
            <v>B</v>
          </cell>
          <cell r="I884" t="str">
            <v>B</v>
          </cell>
          <cell r="J884" t="str">
            <v>B</v>
          </cell>
          <cell r="K884" t="str">
            <v>D</v>
          </cell>
          <cell r="L884" t="str">
            <v>C</v>
          </cell>
          <cell r="M884" t="str">
            <v>A</v>
          </cell>
          <cell r="N884" t="str">
            <v>A</v>
          </cell>
          <cell r="O884" t="str">
            <v>B</v>
          </cell>
          <cell r="P884" t="str">
            <v>C</v>
          </cell>
          <cell r="Q884" t="str">
            <v>B</v>
          </cell>
          <cell r="R884" t="str">
            <v>A</v>
          </cell>
          <cell r="X884">
            <v>49.8</v>
          </cell>
        </row>
        <row r="885">
          <cell r="C885">
            <v>3138416621</v>
          </cell>
          <cell r="D885" t="str">
            <v>Шевченко Тетяна Сергіївна</v>
          </cell>
          <cell r="E885">
            <v>45959</v>
          </cell>
          <cell r="F885">
            <v>45658</v>
          </cell>
          <cell r="G885" t="str">
            <v>E</v>
          </cell>
          <cell r="H885" t="str">
            <v>B</v>
          </cell>
          <cell r="I885" t="str">
            <v>B</v>
          </cell>
          <cell r="J885" t="str">
            <v>B</v>
          </cell>
          <cell r="K885" t="str">
            <v>D</v>
          </cell>
          <cell r="L885" t="str">
            <v>C</v>
          </cell>
          <cell r="M885" t="str">
            <v>A</v>
          </cell>
          <cell r="N885" t="str">
            <v>A</v>
          </cell>
          <cell r="O885" t="str">
            <v>B</v>
          </cell>
          <cell r="P885" t="str">
            <v>C</v>
          </cell>
          <cell r="Q885" t="str">
            <v>B</v>
          </cell>
          <cell r="R885" t="str">
            <v>A</v>
          </cell>
          <cell r="X885">
            <v>49.8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6"/>
  <sheetViews>
    <sheetView workbookViewId="0">
      <selection activeCell="A1" sqref="A1"/>
    </sheetView>
  </sheetViews>
  <sheetFormatPr baseColWidth="8" defaultRowHeight="15"/>
  <sheetData>
    <row r="1">
      <c r="A1" s="66" t="inlineStr">
        <is>
          <t>DFE505EE-5D9F-2EC8-B525-295C695989FF</t>
        </is>
      </c>
      <c r="B1" s="66" t="inlineStr">
        <is>
          <t>Утверждена</t>
        </is>
      </c>
      <c r="C1" s="66" t="inlineStr">
        <is>
          <t>155555</t>
        </is>
      </c>
      <c r="D1" s="66" t="inlineStr">
        <is>
          <t>АТ "Білочка"</t>
        </is>
      </c>
      <c r="E1" s="66" t="inlineStr">
        <is>
          <t>2025-10-15 00:00:00</t>
        </is>
      </c>
      <c r="F1" s="66" t="inlineStr">
        <is>
          <t>2025-07-01 00:00:00</t>
        </is>
      </c>
      <c r="G1" s="66" t="inlineStr">
        <is>
          <t>D</t>
        </is>
      </c>
      <c r="H1" s="66" t="inlineStr">
        <is>
          <t>B</t>
        </is>
      </c>
      <c r="I1" s="66" t="inlineStr">
        <is>
          <t>B.1</t>
        </is>
      </c>
      <c r="J1" s="66" t="inlineStr">
        <is>
          <t>C</t>
        </is>
      </c>
      <c r="K1" s="66" t="inlineStr">
        <is>
          <t>F</t>
        </is>
      </c>
      <c r="L1" s="66" t="inlineStr">
        <is>
          <t>A</t>
        </is>
      </c>
      <c r="M1" s="66" t="inlineStr">
        <is>
          <t>A.1</t>
        </is>
      </c>
      <c r="N1" s="66" t="inlineStr">
        <is>
          <t>B.2</t>
        </is>
      </c>
      <c r="O1" s="66" t="inlineStr">
        <is>
          <t>A.2</t>
        </is>
      </c>
      <c r="P1" s="66" t="inlineStr">
        <is>
          <t>C.1</t>
        </is>
      </c>
      <c r="Q1" s="66" t="inlineStr">
        <is>
          <t>B.3</t>
        </is>
      </c>
      <c r="R1" s="66" t="inlineStr">
        <is>
          <t>B.4</t>
        </is>
      </c>
      <c r="S1" s="66" t="inlineStr">
        <is>
          <t>Unnamed: 18</t>
        </is>
      </c>
      <c r="T1" s="66" t="inlineStr">
        <is>
          <t>Unnamed: 19</t>
        </is>
      </c>
      <c r="U1" s="66" t="inlineStr">
        <is>
          <t>Unnamed: 20</t>
        </is>
      </c>
      <c r="V1" s="66" t="inlineStr">
        <is>
          <t>Unnamed: 21</t>
        </is>
      </c>
      <c r="W1" s="66" t="inlineStr">
        <is>
          <t>Unnamed: 22</t>
        </is>
      </c>
      <c r="X1" s="66" t="inlineStr">
        <is>
          <t>55.3</t>
        </is>
      </c>
      <c r="Y1" s="66" t="inlineStr">
        <is>
          <t>0</t>
        </is>
      </c>
      <c r="Z1" s="66" t="inlineStr">
        <is>
          <t>0.1</t>
        </is>
      </c>
      <c r="AA1" s="66" t="inlineStr">
        <is>
          <t>0.2</t>
        </is>
      </c>
      <c r="AB1" s="66" t="inlineStr">
        <is>
          <t>0.3</t>
        </is>
      </c>
      <c r="AC1" s="66" t="inlineStr">
        <is>
          <t>0.4</t>
        </is>
      </c>
      <c r="AD1" s="66" t="inlineStr">
        <is>
          <t>0.5</t>
        </is>
      </c>
      <c r="AE1" s="66" t="inlineStr">
        <is>
          <t>0.6</t>
        </is>
      </c>
      <c r="AF1" s="66" t="inlineStr">
        <is>
          <t>0.7</t>
        </is>
      </c>
      <c r="AG1" s="66" t="inlineStr">
        <is>
          <t>0.8</t>
        </is>
      </c>
      <c r="AH1" s="66" t="inlineStr">
        <is>
          <t>0.9</t>
        </is>
      </c>
      <c r="AI1" s="66" t="inlineStr">
        <is>
          <t>0.10</t>
        </is>
      </c>
      <c r="AJ1" s="66" t="inlineStr">
        <is>
          <t>0.11</t>
        </is>
      </c>
      <c r="AK1" s="66" t="inlineStr">
        <is>
          <t>0.12</t>
        </is>
      </c>
      <c r="AL1" s="66" t="inlineStr">
        <is>
          <t>0.13</t>
        </is>
      </c>
      <c r="AM1" s="66" t="inlineStr">
        <is>
          <t>0.14</t>
        </is>
      </c>
      <c r="AN1" s="66" t="inlineStr">
        <is>
          <t>Unnamed: 39</t>
        </is>
      </c>
      <c r="AO1" s="66" t="inlineStr">
        <is>
          <t>Unnamed: 40</t>
        </is>
      </c>
      <c r="AP1" s="66" t="inlineStr">
        <is>
          <t>Unnamed: 41</t>
        </is>
      </c>
      <c r="AQ1" s="66" t="inlineStr">
        <is>
          <t>Unnamed: 42</t>
        </is>
      </c>
      <c r="AR1" s="66" t="inlineStr">
        <is>
          <t>Unnamed: 43</t>
        </is>
      </c>
      <c r="AS1" s="66" t="inlineStr">
        <is>
          <t>0.15</t>
        </is>
      </c>
      <c r="AT1" s="66" t="inlineStr">
        <is>
          <t>0.16</t>
        </is>
      </c>
      <c r="AU1" s="66" t="inlineStr">
        <is>
          <t>0.17</t>
        </is>
      </c>
      <c r="AV1" s="66" t="inlineStr">
        <is>
          <t>Unnamed: 47</t>
        </is>
      </c>
      <c r="AW1" s="66" t="inlineStr">
        <is>
          <t>Unnamed: 48</t>
        </is>
      </c>
      <c r="AX1" s="66" t="inlineStr">
        <is>
          <t>Unnamed: 49</t>
        </is>
      </c>
      <c r="AY1" s="66" t="inlineStr">
        <is>
          <t>Unnamed: 50</t>
        </is>
      </c>
      <c r="AZ1" s="66" t="inlineStr">
        <is>
          <t>Unnamed: 51</t>
        </is>
      </c>
      <c r="BA1" s="66" t="inlineStr">
        <is>
          <t>Unnamed: 52</t>
        </is>
      </c>
      <c r="BB1" s="66" t="inlineStr">
        <is>
          <t>Unnamed: 53</t>
        </is>
      </c>
      <c r="BC1" s="66" t="inlineStr">
        <is>
          <t>Unnamed: 54</t>
        </is>
      </c>
      <c r="BD1" s="66" t="inlineStr">
        <is>
          <t>Unnamed: 55</t>
        </is>
      </c>
      <c r="BE1" s="66" t="inlineStr">
        <is>
          <t>50BDC290-5B5C-229D-B55E-12B0BDB925CE</t>
        </is>
      </c>
      <c r="BF1" s="66" t="inlineStr">
        <is>
          <t>Утверждена.1</t>
        </is>
      </c>
      <c r="BG1" s="66" t="inlineStr">
        <is>
          <t>211111</t>
        </is>
      </c>
      <c r="BH1" s="66" t="inlineStr">
        <is>
          <t>Unnamed: 59</t>
        </is>
      </c>
      <c r="BI1" s="66" t="inlineStr">
        <is>
          <t>2024-04-13 00:00:00</t>
        </is>
      </c>
      <c r="BJ1" s="66" t="inlineStr">
        <is>
          <t>2025-04-01 00:00:00</t>
        </is>
      </c>
      <c r="BK1" s="66" t="inlineStr">
        <is>
          <t>D.1</t>
        </is>
      </c>
      <c r="BL1" s="66" t="inlineStr">
        <is>
          <t>B.5</t>
        </is>
      </c>
      <c r="BM1" s="66" t="inlineStr">
        <is>
          <t>B.6</t>
        </is>
      </c>
      <c r="BN1" s="66" t="inlineStr">
        <is>
          <t>2013</t>
        </is>
      </c>
      <c r="BO1" s="66" t="inlineStr">
        <is>
          <t>C.2</t>
        </is>
      </c>
      <c r="BP1" s="66" t="inlineStr">
        <is>
          <t>A.3</t>
        </is>
      </c>
      <c r="BQ1" s="66" t="inlineStr">
        <is>
          <t>B.7</t>
        </is>
      </c>
      <c r="BR1" s="66" t="inlineStr">
        <is>
          <t>B.8</t>
        </is>
      </c>
      <c r="BS1" s="66" t="inlineStr">
        <is>
          <t>A.4</t>
        </is>
      </c>
      <c r="BT1" s="66" t="inlineStr">
        <is>
          <t>B.9</t>
        </is>
      </c>
      <c r="BU1" s="66" t="inlineStr">
        <is>
          <t>B.10</t>
        </is>
      </c>
      <c r="BV1" s="66" t="inlineStr">
        <is>
          <t>A.5</t>
        </is>
      </c>
      <c r="BW1" s="66" t="inlineStr">
        <is>
          <t>Unnamed: 74</t>
        </is>
      </c>
      <c r="BX1" s="66" t="inlineStr">
        <is>
          <t>Unnamed: 75</t>
        </is>
      </c>
      <c r="BY1" s="66" t="inlineStr">
        <is>
          <t>Unnamed: 76</t>
        </is>
      </c>
      <c r="BZ1" s="66" t="inlineStr">
        <is>
          <t>Unnamed: 77</t>
        </is>
      </c>
      <c r="CA1" s="66" t="inlineStr">
        <is>
          <t>Unnamed: 78</t>
        </is>
      </c>
      <c r="CB1" s="66" t="inlineStr">
        <is>
          <t>UID заявки</t>
        </is>
      </c>
      <c r="CC1" s="66" t="inlineStr">
        <is>
          <t>Статус</t>
        </is>
      </c>
      <c r="CD1" s="66" t="inlineStr">
        <is>
          <t>ОКПО</t>
        </is>
      </c>
      <c r="CE1" s="66" t="inlineStr">
        <is>
          <t>Клиент</t>
        </is>
      </c>
      <c r="CF1" s="66" t="inlineStr">
        <is>
          <t>Дата установки статуса_Модифікована</t>
        </is>
      </c>
      <c r="CG1" s="66" t="inlineStr">
        <is>
          <t>Дата 1</t>
        </is>
      </c>
      <c r="CH1" s="66" t="inlineStr">
        <is>
          <t>Балл</t>
        </is>
      </c>
      <c r="CI1" s="66" t="inlineStr">
        <is>
          <t>qq1</t>
        </is>
      </c>
      <c r="CJ1" s="66" t="inlineStr">
        <is>
          <t>qq2</t>
        </is>
      </c>
      <c r="CK1" s="66" t="inlineStr">
        <is>
          <t>qq3</t>
        </is>
      </c>
      <c r="CL1" s="66" t="inlineStr">
        <is>
          <t>qq4</t>
        </is>
      </c>
      <c r="CM1" s="66" t="inlineStr">
        <is>
          <t>qq5</t>
        </is>
      </c>
      <c r="CN1" s="66" t="inlineStr">
        <is>
          <t>qq6</t>
        </is>
      </c>
      <c r="CO1" s="66" t="inlineStr">
        <is>
          <t>qq7</t>
        </is>
      </c>
      <c r="CP1" s="66" t="inlineStr">
        <is>
          <t>qq8</t>
        </is>
      </c>
      <c r="CQ1" s="66" t="inlineStr">
        <is>
          <t>qq9</t>
        </is>
      </c>
      <c r="CR1" s="66" t="inlineStr">
        <is>
          <t>qq10</t>
        </is>
      </c>
      <c r="CS1" s="66" t="inlineStr">
        <is>
          <t>qq11</t>
        </is>
      </c>
      <c r="CT1" s="66" t="inlineStr">
        <is>
          <t>qq12</t>
        </is>
      </c>
      <c r="CU1" s="66" t="inlineStr">
        <is>
          <t>qq13</t>
        </is>
      </c>
      <c r="CV1" s="66" t="inlineStr">
        <is>
          <t>qq14</t>
        </is>
      </c>
      <c r="CW1" s="66" t="inlineStr">
        <is>
          <t>qq15</t>
        </is>
      </c>
      <c r="CX1" s="66" t="inlineStr">
        <is>
          <t>qq16</t>
        </is>
      </c>
      <c r="CY1" s="66" t="inlineStr">
        <is>
          <t>qq17</t>
        </is>
      </c>
    </row>
    <row r="2">
      <c r="CB2" t="inlineStr">
        <is>
          <t>5B665B06-0BB1-295B-B159-980D66DBEB22</t>
        </is>
      </c>
      <c r="CC2" t="inlineStr">
        <is>
          <t>Утверждена</t>
        </is>
      </c>
      <c r="CD2" t="n">
        <v>111111</v>
      </c>
      <c r="CF2" s="71" t="n">
        <v>45975</v>
      </c>
      <c r="CG2" s="68" t="n">
        <v>45931</v>
      </c>
      <c r="CI2" t="inlineStr">
        <is>
          <t>A</t>
        </is>
      </c>
      <c r="CJ2" t="inlineStr">
        <is>
          <t>B</t>
        </is>
      </c>
      <c r="CK2" t="inlineStr">
        <is>
          <t>B</t>
        </is>
      </c>
      <c r="CL2" t="n">
        <v>2023</v>
      </c>
      <c r="CM2" t="inlineStr">
        <is>
          <t>B</t>
        </is>
      </c>
      <c r="CN2" t="inlineStr">
        <is>
          <t>A</t>
        </is>
      </c>
      <c r="CO2" t="inlineStr">
        <is>
          <t>A</t>
        </is>
      </c>
      <c r="CP2" t="inlineStr">
        <is>
          <t>A</t>
        </is>
      </c>
      <c r="CQ2" t="inlineStr">
        <is>
          <t>A</t>
        </is>
      </c>
      <c r="CR2" t="inlineStr">
        <is>
          <t>C</t>
        </is>
      </c>
      <c r="CS2" t="inlineStr">
        <is>
          <t>A</t>
        </is>
      </c>
      <c r="CT2" t="inlineStr">
        <is>
          <t>A</t>
        </is>
      </c>
    </row>
    <row r="3">
      <c r="CB3" t="inlineStr">
        <is>
          <t>9BCC5028-95F0-2F19-B51C-D05915F5666B</t>
        </is>
      </c>
      <c r="CC3" t="inlineStr">
        <is>
          <t>Утверждена</t>
        </is>
      </c>
      <c r="CD3" t="n">
        <v>133333</v>
      </c>
      <c r="CF3" s="71" t="n">
        <v>46005</v>
      </c>
      <c r="CG3" s="68" t="n">
        <v>45931</v>
      </c>
      <c r="CI3" t="inlineStr">
        <is>
          <t>B</t>
        </is>
      </c>
      <c r="CJ3" t="inlineStr">
        <is>
          <t>A</t>
        </is>
      </c>
      <c r="CK3" t="inlineStr">
        <is>
          <t>B</t>
        </is>
      </c>
      <c r="CL3" t="n">
        <v>2023</v>
      </c>
      <c r="CM3" t="inlineStr">
        <is>
          <t>F</t>
        </is>
      </c>
      <c r="CN3" t="inlineStr">
        <is>
          <t>B</t>
        </is>
      </c>
      <c r="CO3" t="inlineStr">
        <is>
          <t>A</t>
        </is>
      </c>
      <c r="CP3" t="inlineStr">
        <is>
          <t>B</t>
        </is>
      </c>
      <c r="CQ3" t="inlineStr">
        <is>
          <t>A</t>
        </is>
      </c>
      <c r="CR3" t="inlineStr">
        <is>
          <t>D</t>
        </is>
      </c>
      <c r="CS3" t="inlineStr">
        <is>
          <t>D</t>
        </is>
      </c>
      <c r="CT3" t="inlineStr">
        <is>
          <t>C</t>
        </is>
      </c>
    </row>
    <row r="4">
      <c r="CB4" t="inlineStr">
        <is>
          <t>DFE505EE-5D9F-2EC8-B525-295C695989FF</t>
        </is>
      </c>
      <c r="CC4" t="inlineStr">
        <is>
          <t>Утверждена</t>
        </is>
      </c>
      <c r="CD4" t="n">
        <v>155555</v>
      </c>
      <c r="CF4" s="71" t="n">
        <v>45945</v>
      </c>
      <c r="CG4" s="68" t="n">
        <v>45839</v>
      </c>
      <c r="CI4" t="inlineStr">
        <is>
          <t>D</t>
        </is>
      </c>
      <c r="CJ4" t="inlineStr">
        <is>
          <t>B</t>
        </is>
      </c>
      <c r="CK4" t="inlineStr">
        <is>
          <t>B</t>
        </is>
      </c>
      <c r="CL4" t="n">
        <v>2018</v>
      </c>
      <c r="CM4" t="inlineStr">
        <is>
          <t>F</t>
        </is>
      </c>
      <c r="CN4" t="inlineStr">
        <is>
          <t>A</t>
        </is>
      </c>
      <c r="CO4" t="inlineStr">
        <is>
          <t>A</t>
        </is>
      </c>
      <c r="CP4" t="inlineStr">
        <is>
          <t>B</t>
        </is>
      </c>
      <c r="CQ4" t="inlineStr">
        <is>
          <t>A</t>
        </is>
      </c>
      <c r="CR4" t="inlineStr">
        <is>
          <t>C</t>
        </is>
      </c>
      <c r="CS4" t="inlineStr">
        <is>
          <t>B</t>
        </is>
      </c>
      <c r="CT4" t="inlineStr">
        <is>
          <t>B</t>
        </is>
      </c>
    </row>
    <row r="5">
      <c r="CB5" t="inlineStr">
        <is>
          <t>50BDC290-5B5C-229D-B55E-12B0BDB925CE</t>
        </is>
      </c>
      <c r="CC5" t="inlineStr">
        <is>
          <t>Утверждена</t>
        </is>
      </c>
      <c r="CD5" t="n">
        <v>211111</v>
      </c>
      <c r="CF5" s="71" t="n">
        <v>45395</v>
      </c>
      <c r="CG5" s="68" t="n">
        <v>45748</v>
      </c>
      <c r="CI5" t="inlineStr">
        <is>
          <t>D</t>
        </is>
      </c>
      <c r="CJ5" t="inlineStr">
        <is>
          <t>B</t>
        </is>
      </c>
      <c r="CK5" t="inlineStr">
        <is>
          <t>B</t>
        </is>
      </c>
      <c r="CL5" t="n">
        <v>2013</v>
      </c>
      <c r="CM5" t="inlineStr">
        <is>
          <t>C</t>
        </is>
      </c>
      <c r="CN5" t="inlineStr">
        <is>
          <t>A</t>
        </is>
      </c>
      <c r="CO5" t="inlineStr">
        <is>
          <t>B</t>
        </is>
      </c>
      <c r="CP5" t="inlineStr">
        <is>
          <t>B</t>
        </is>
      </c>
      <c r="CQ5" t="inlineStr">
        <is>
          <t>A</t>
        </is>
      </c>
      <c r="CR5" t="inlineStr">
        <is>
          <t>B</t>
        </is>
      </c>
      <c r="CS5" t="inlineStr">
        <is>
          <t>B</t>
        </is>
      </c>
      <c r="CT5" t="inlineStr">
        <is>
          <t>A</t>
        </is>
      </c>
    </row>
    <row r="6">
      <c r="CB6" t="inlineStr">
        <is>
          <t>B52F69DF-9918-290B-89EE-BE5818B61899</t>
        </is>
      </c>
      <c r="CC6" t="inlineStr">
        <is>
          <t>Утверждена</t>
        </is>
      </c>
      <c r="CD6" t="n">
        <v>255555</v>
      </c>
      <c r="CF6" s="71" t="n">
        <v>45376</v>
      </c>
      <c r="CG6" s="68" t="n">
        <v>45566</v>
      </c>
      <c r="CI6" t="inlineStr">
        <is>
          <t>C</t>
        </is>
      </c>
      <c r="CJ6" t="inlineStr">
        <is>
          <t>C</t>
        </is>
      </c>
      <c r="CK6" t="inlineStr">
        <is>
          <t>B</t>
        </is>
      </c>
      <c r="CL6" t="n">
        <v>2020</v>
      </c>
      <c r="CM6" t="inlineStr">
        <is>
          <t>E</t>
        </is>
      </c>
      <c r="CN6" t="inlineStr">
        <is>
          <t>A</t>
        </is>
      </c>
      <c r="CO6" t="inlineStr">
        <is>
          <t>A</t>
        </is>
      </c>
      <c r="CP6" t="inlineStr">
        <is>
          <t>B</t>
        </is>
      </c>
      <c r="CQ6" t="inlineStr">
        <is>
          <t>A</t>
        </is>
      </c>
      <c r="CR6" t="inlineStr">
        <is>
          <t>C</t>
        </is>
      </c>
      <c r="CS6" t="inlineStr">
        <is>
          <t>B</t>
        </is>
      </c>
      <c r="CT6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B1:AV23"/>
  <sheetViews>
    <sheetView zoomScale="60" zoomScaleNormal="60" workbookViewId="0">
      <selection activeCell="S7" sqref="S7"/>
    </sheetView>
  </sheetViews>
  <sheetFormatPr baseColWidth="8" defaultRowHeight="14.5"/>
  <cols>
    <col width="5.6328125" customWidth="1" style="16" min="1" max="1"/>
    <col width="27" customWidth="1" style="16" min="2" max="2"/>
    <col width="5.36328125" customWidth="1" style="16" min="3" max="3"/>
    <col width="7.08984375" customWidth="1" style="16" min="4" max="12"/>
    <col width="8.453125" customWidth="1" style="16" min="13" max="13"/>
    <col width="7.08984375" customWidth="1" style="16" min="14" max="14"/>
    <col width="8.36328125" customWidth="1" style="16" min="15" max="15"/>
    <col width="7.08984375" customWidth="1" style="16" min="16" max="18"/>
    <col width="6.36328125" customWidth="1" style="16" min="19" max="29"/>
  </cols>
  <sheetData>
    <row r="1" ht="15" customHeight="1" s="16" thickBot="1">
      <c r="D1" s="6" t="inlineStr">
        <is>
          <t>A</t>
        </is>
      </c>
      <c r="E1" s="6" t="inlineStr">
        <is>
          <t>B</t>
        </is>
      </c>
      <c r="F1" s="6" t="inlineStr">
        <is>
          <t>C</t>
        </is>
      </c>
      <c r="G1" s="6" t="inlineStr">
        <is>
          <t>D</t>
        </is>
      </c>
      <c r="H1" s="6" t="inlineStr">
        <is>
          <t>E</t>
        </is>
      </c>
      <c r="I1" s="6" t="inlineStr">
        <is>
          <t>F</t>
        </is>
      </c>
      <c r="J1" s="6" t="inlineStr">
        <is>
          <t>G</t>
        </is>
      </c>
      <c r="K1" s="6" t="inlineStr">
        <is>
          <t>H</t>
        </is>
      </c>
      <c r="L1" s="6" t="inlineStr">
        <is>
          <t>I</t>
        </is>
      </c>
      <c r="M1" t="inlineStr">
        <is>
          <t>вес вопроса</t>
        </is>
      </c>
      <c r="S1" t="inlineStr">
        <is>
          <t>&lt;10</t>
        </is>
      </c>
      <c r="T1" s="7" t="n">
        <v>1</v>
      </c>
      <c r="U1" s="7" t="n">
        <v>2</v>
      </c>
      <c r="V1" s="7" t="n">
        <v>3</v>
      </c>
      <c r="W1" s="7" t="n">
        <v>4</v>
      </c>
      <c r="X1" s="7" t="n">
        <v>5</v>
      </c>
      <c r="Y1" s="7" t="n">
        <v>6</v>
      </c>
      <c r="Z1" s="7" t="n">
        <v>7</v>
      </c>
      <c r="AA1" s="7" t="n">
        <v>8</v>
      </c>
      <c r="AB1" s="7" t="n">
        <v>9</v>
      </c>
    </row>
    <row r="2" ht="15" customHeight="1" s="16" thickBot="1">
      <c r="B2" s="26" t="inlineStr">
        <is>
          <t>Рынок, на котором работает клиент &amp; Позиция на рынке</t>
        </is>
      </c>
      <c r="C2" s="9" t="n">
        <v>1</v>
      </c>
      <c r="D2" t="n">
        <v>80</v>
      </c>
      <c r="E2" t="n">
        <v>100</v>
      </c>
      <c r="F2" t="n">
        <v>50</v>
      </c>
      <c r="G2" t="n">
        <v>45</v>
      </c>
      <c r="H2" t="n">
        <v>0</v>
      </c>
      <c r="M2" s="29" t="n">
        <v>0.06</v>
      </c>
      <c r="N2" s="57" t="n"/>
      <c r="O2" s="69">
        <f>MIN(D2:G2)*M2</f>
        <v/>
      </c>
      <c r="Q2" s="57" t="n">
        <v>0.001</v>
      </c>
      <c r="S2" s="7" t="n">
        <v>1</v>
      </c>
      <c r="T2" s="12" t="n">
        <v>100</v>
      </c>
      <c r="U2" t="n">
        <v>0</v>
      </c>
      <c r="V2" t="n">
        <v>0</v>
      </c>
      <c r="W2" t="n">
        <v>-5</v>
      </c>
      <c r="X2" t="n">
        <v>-15</v>
      </c>
      <c r="Y2" t="n">
        <v>-50</v>
      </c>
      <c r="Z2" t="n">
        <v>-80</v>
      </c>
      <c r="AA2" t="n">
        <v>-90</v>
      </c>
      <c r="AB2" t="n">
        <v>-100</v>
      </c>
      <c r="AF2" s="34" t="n">
        <v>1</v>
      </c>
      <c r="AG2" s="34" t="n">
        <v>2</v>
      </c>
      <c r="AH2" s="34" t="n">
        <v>3</v>
      </c>
      <c r="AI2" s="34" t="n">
        <v>4</v>
      </c>
      <c r="AJ2" s="34" t="n">
        <v>5</v>
      </c>
      <c r="AK2" s="34" t="n">
        <v>6</v>
      </c>
      <c r="AL2" s="34" t="n">
        <v>7</v>
      </c>
      <c r="AM2" s="34" t="n">
        <v>8</v>
      </c>
      <c r="AN2" s="34" t="n">
        <v>9</v>
      </c>
      <c r="AO2" s="34" t="n">
        <v>10</v>
      </c>
      <c r="AP2" s="34" t="n">
        <v>11</v>
      </c>
      <c r="AQ2" s="34" t="n">
        <v>12</v>
      </c>
      <c r="AR2" s="34" t="n">
        <v>13</v>
      </c>
      <c r="AS2" s="34" t="n">
        <v>14</v>
      </c>
      <c r="AT2" s="34" t="n">
        <v>15</v>
      </c>
      <c r="AU2" s="34" t="n">
        <v>16</v>
      </c>
      <c r="AV2" s="34" t="n">
        <v>17</v>
      </c>
    </row>
    <row r="3" ht="15" customHeight="1" s="16" thickBot="1">
      <c r="B3" s="26" t="inlineStr">
        <is>
          <t>Уровень валютных рисков</t>
        </is>
      </c>
      <c r="C3" s="9" t="n">
        <v>2</v>
      </c>
      <c r="D3" t="n">
        <v>100</v>
      </c>
      <c r="E3" t="n">
        <v>70</v>
      </c>
      <c r="F3" t="n">
        <v>50</v>
      </c>
      <c r="G3" t="n">
        <v>0</v>
      </c>
      <c r="M3" s="29" t="n">
        <v>0.06</v>
      </c>
      <c r="N3" s="57" t="n"/>
      <c r="O3" s="69">
        <f>MIN(D3:F3)*M3</f>
        <v/>
      </c>
      <c r="Q3" s="70" t="n"/>
      <c r="S3" s="7" t="n">
        <v>2</v>
      </c>
      <c r="T3" t="n">
        <v>100</v>
      </c>
      <c r="U3" s="12" t="n">
        <v>100</v>
      </c>
      <c r="V3" t="n">
        <v>0</v>
      </c>
      <c r="W3" t="n">
        <v>-5</v>
      </c>
      <c r="X3" t="n">
        <v>-15</v>
      </c>
      <c r="Y3" t="n">
        <v>-40</v>
      </c>
      <c r="Z3" t="n">
        <v>-75</v>
      </c>
      <c r="AA3" t="n">
        <v>-85</v>
      </c>
      <c r="AB3" t="n">
        <v>-100</v>
      </c>
      <c r="AE3" s="6" t="inlineStr">
        <is>
          <t>A</t>
        </is>
      </c>
      <c r="AF3" s="48" t="n">
        <v>80</v>
      </c>
      <c r="AG3" s="48" t="n">
        <v>100</v>
      </c>
      <c r="AH3" s="48" t="n">
        <v>45</v>
      </c>
      <c r="AI3" s="48" t="n">
        <v>0</v>
      </c>
      <c r="AJ3" s="48" t="n">
        <v>100</v>
      </c>
      <c r="AK3" s="48" t="n">
        <v>100</v>
      </c>
      <c r="AL3" s="48" t="n">
        <v>100</v>
      </c>
      <c r="AM3" s="48" t="n">
        <v>100</v>
      </c>
      <c r="AN3" s="48" t="n">
        <v>100</v>
      </c>
      <c r="AO3" s="48" t="n">
        <v>100</v>
      </c>
      <c r="AP3" s="48" t="n">
        <v>100</v>
      </c>
      <c r="AQ3" s="48" t="n">
        <v>100</v>
      </c>
      <c r="AR3" s="33" t="n">
        <v>0</v>
      </c>
      <c r="AS3" s="33" t="n">
        <v>0</v>
      </c>
      <c r="AT3" s="33" t="n">
        <v>0</v>
      </c>
      <c r="AU3" s="33" t="n">
        <v>0</v>
      </c>
      <c r="AV3" s="33" t="n">
        <v>0</v>
      </c>
    </row>
    <row r="4" ht="15" customHeight="1" s="16" thickBot="1">
      <c r="B4" s="26" t="inlineStr">
        <is>
          <t>Уровень рисков, связанных с финансовой, инвестиционной и рыночной политикой, планами компании по долгам и инвестициям</t>
        </is>
      </c>
      <c r="C4" s="9" t="n">
        <v>3</v>
      </c>
      <c r="D4" t="n">
        <v>45</v>
      </c>
      <c r="E4" t="n">
        <v>100</v>
      </c>
      <c r="F4" t="n">
        <v>0</v>
      </c>
      <c r="G4" t="n">
        <v>15</v>
      </c>
      <c r="M4" s="29" t="n">
        <v>0.06</v>
      </c>
      <c r="N4" s="57" t="n"/>
      <c r="O4" s="69">
        <f>MIN(G4)*M4</f>
        <v/>
      </c>
      <c r="Q4" s="70" t="n"/>
      <c r="S4" s="7" t="n">
        <v>3</v>
      </c>
      <c r="T4" t="n">
        <v>100</v>
      </c>
      <c r="U4" t="n">
        <v>100</v>
      </c>
      <c r="V4" s="12" t="n">
        <v>100</v>
      </c>
      <c r="W4" t="n">
        <v>-5</v>
      </c>
      <c r="X4" t="n">
        <v>-10</v>
      </c>
      <c r="Y4" t="n">
        <v>-35</v>
      </c>
      <c r="Z4" t="n">
        <v>-70</v>
      </c>
      <c r="AA4" t="n">
        <v>-80</v>
      </c>
      <c r="AB4" t="n">
        <v>-100</v>
      </c>
      <c r="AE4" s="6" t="inlineStr">
        <is>
          <t>B</t>
        </is>
      </c>
      <c r="AF4" s="48" t="n">
        <v>100</v>
      </c>
      <c r="AG4" s="48" t="n">
        <v>70</v>
      </c>
      <c r="AH4" s="48" t="n">
        <v>100</v>
      </c>
      <c r="AI4" s="48" t="n">
        <v>35</v>
      </c>
      <c r="AJ4" s="48" t="n">
        <v>85</v>
      </c>
      <c r="AK4" s="48" t="n">
        <v>40</v>
      </c>
      <c r="AL4" s="48" t="n">
        <v>20</v>
      </c>
      <c r="AM4" s="48" t="n">
        <v>45</v>
      </c>
      <c r="AN4" s="48" t="n">
        <v>40</v>
      </c>
      <c r="AO4" s="48" t="n">
        <v>60</v>
      </c>
      <c r="AP4" s="48" t="n">
        <v>60</v>
      </c>
      <c r="AQ4" s="48" t="n">
        <v>40</v>
      </c>
      <c r="AR4" s="33" t="n">
        <v>0</v>
      </c>
      <c r="AS4" s="33" t="n">
        <v>0</v>
      </c>
      <c r="AT4" s="33" t="n">
        <v>0</v>
      </c>
      <c r="AU4" s="33" t="n">
        <v>0</v>
      </c>
      <c r="AV4" s="33" t="n">
        <v>0</v>
      </c>
    </row>
    <row r="5" ht="15" customHeight="1" s="16" thickBot="1">
      <c r="B5" s="26" t="inlineStr">
        <is>
          <t>Кредитная история с банком (год получения первого продукта)</t>
        </is>
      </c>
      <c r="C5" s="9" t="n">
        <v>4</v>
      </c>
      <c r="D5" t="n">
        <v>0</v>
      </c>
      <c r="E5" t="n">
        <v>35</v>
      </c>
      <c r="F5" t="n">
        <v>70</v>
      </c>
      <c r="G5" t="n">
        <v>100</v>
      </c>
      <c r="M5" s="29" t="n">
        <v>0.06</v>
      </c>
      <c r="N5" s="57" t="n"/>
      <c r="O5" s="69">
        <f>MIN(E5:L5)*M5</f>
        <v/>
      </c>
      <c r="Q5" s="70" t="n"/>
      <c r="S5" s="7" t="n">
        <v>4</v>
      </c>
      <c r="T5" t="n">
        <v>100</v>
      </c>
      <c r="U5" t="n">
        <v>100</v>
      </c>
      <c r="V5" t="n">
        <v>100</v>
      </c>
      <c r="W5" s="12" t="n">
        <v>100</v>
      </c>
      <c r="X5" t="n">
        <v>-10</v>
      </c>
      <c r="Y5" t="n">
        <v>-30</v>
      </c>
      <c r="Z5" t="n">
        <v>-60</v>
      </c>
      <c r="AA5" t="n">
        <v>-75</v>
      </c>
      <c r="AB5" t="n">
        <v>-100</v>
      </c>
      <c r="AE5" s="6" t="inlineStr">
        <is>
          <t>C</t>
        </is>
      </c>
      <c r="AF5" s="48" t="n">
        <v>50</v>
      </c>
      <c r="AG5" s="48" t="n">
        <v>50</v>
      </c>
      <c r="AH5" s="48" t="n">
        <v>0</v>
      </c>
      <c r="AI5" s="48" t="n">
        <v>70</v>
      </c>
      <c r="AJ5" s="48" t="n">
        <v>75</v>
      </c>
      <c r="AK5" s="48" t="n">
        <v>30</v>
      </c>
      <c r="AL5" s="48" t="n">
        <v>5</v>
      </c>
      <c r="AM5" s="48" t="n">
        <v>20</v>
      </c>
      <c r="AN5" s="48" t="n">
        <v>0</v>
      </c>
      <c r="AO5" s="48" t="n">
        <v>30</v>
      </c>
      <c r="AP5" s="48" t="n">
        <v>30</v>
      </c>
      <c r="AQ5" s="48" t="n">
        <v>0</v>
      </c>
      <c r="AR5" s="33" t="n">
        <v>0</v>
      </c>
      <c r="AS5" s="33" t="n">
        <v>0</v>
      </c>
      <c r="AT5" s="33" t="n">
        <v>0</v>
      </c>
      <c r="AU5" s="33" t="n">
        <v>0</v>
      </c>
      <c r="AV5" s="33" t="n">
        <v>0</v>
      </c>
    </row>
    <row r="6" ht="15" customHeight="1" s="16" thickBot="1">
      <c r="B6" s="26" t="inlineStr">
        <is>
          <t>Характеристика отрасли и перспективы стабильного роста</t>
        </is>
      </c>
      <c r="C6" s="9" t="n">
        <v>5</v>
      </c>
      <c r="D6" t="n">
        <v>100</v>
      </c>
      <c r="E6" t="n">
        <v>85</v>
      </c>
      <c r="F6" t="n">
        <v>75</v>
      </c>
      <c r="G6" t="n">
        <v>40</v>
      </c>
      <c r="H6" t="n">
        <v>25</v>
      </c>
      <c r="I6" t="n">
        <v>0</v>
      </c>
      <c r="M6" s="29" t="n">
        <v>0.06</v>
      </c>
      <c r="N6" s="57" t="n"/>
      <c r="O6" s="69">
        <f>MIN(D6:H6)*M6</f>
        <v/>
      </c>
      <c r="Q6" s="70" t="n"/>
      <c r="S6" s="7" t="n">
        <v>5</v>
      </c>
      <c r="T6" t="n">
        <v>100</v>
      </c>
      <c r="U6" t="n">
        <v>100</v>
      </c>
      <c r="V6" t="n">
        <v>100</v>
      </c>
      <c r="W6" t="n">
        <v>100</v>
      </c>
      <c r="X6" s="12" t="n">
        <v>100</v>
      </c>
      <c r="Y6" t="n">
        <v>-30</v>
      </c>
      <c r="Z6" t="n">
        <v>-55</v>
      </c>
      <c r="AA6" t="n">
        <v>-70</v>
      </c>
      <c r="AB6" t="n">
        <v>-90</v>
      </c>
      <c r="AE6" s="6" t="inlineStr">
        <is>
          <t>D</t>
        </is>
      </c>
      <c r="AF6" s="48" t="n">
        <v>45</v>
      </c>
      <c r="AG6" s="48" t="n">
        <v>0</v>
      </c>
      <c r="AH6" s="48" t="n">
        <v>15</v>
      </c>
      <c r="AI6" s="48" t="n">
        <v>100</v>
      </c>
      <c r="AJ6" s="48" t="n">
        <v>40</v>
      </c>
      <c r="AK6" s="48" t="n">
        <v>0</v>
      </c>
      <c r="AL6" s="48" t="n">
        <v>0</v>
      </c>
      <c r="AM6" s="48" t="n">
        <v>0</v>
      </c>
      <c r="AN6" s="48" t="n">
        <v>0</v>
      </c>
      <c r="AO6" s="48" t="n">
        <v>0</v>
      </c>
      <c r="AP6" s="48" t="n">
        <v>0</v>
      </c>
      <c r="AQ6" s="48" t="n">
        <v>0</v>
      </c>
      <c r="AR6" s="33" t="n">
        <v>0</v>
      </c>
      <c r="AS6" s="33" t="n">
        <v>0</v>
      </c>
      <c r="AT6" s="33" t="n">
        <v>0</v>
      </c>
      <c r="AU6" s="33" t="n">
        <v>0</v>
      </c>
      <c r="AV6" s="33" t="n">
        <v>0</v>
      </c>
    </row>
    <row r="7" ht="15" customHeight="1" s="16" thickBot="1">
      <c r="B7" s="26" t="inlineStr">
        <is>
          <t>Качество предоставляемой финансовой отчетности</t>
        </is>
      </c>
      <c r="C7" s="9" t="n">
        <v>6</v>
      </c>
      <c r="D7" t="n">
        <v>100</v>
      </c>
      <c r="E7" t="n">
        <v>40</v>
      </c>
      <c r="F7" t="n">
        <v>30</v>
      </c>
      <c r="G7" t="n">
        <v>0</v>
      </c>
      <c r="M7" s="29" t="n">
        <v>0.06</v>
      </c>
      <c r="N7" s="57" t="n"/>
      <c r="O7" s="69">
        <f>MIN(D7:F7)*M7</f>
        <v/>
      </c>
      <c r="Q7" s="70" t="n"/>
      <c r="S7" s="7" t="n">
        <v>6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s="12" t="n">
        <v>100</v>
      </c>
      <c r="Z7" t="n">
        <v>-40</v>
      </c>
      <c r="AA7" t="n">
        <v>-60</v>
      </c>
      <c r="AB7" t="n">
        <v>-80</v>
      </c>
      <c r="AE7" s="6" t="inlineStr">
        <is>
          <t>E</t>
        </is>
      </c>
      <c r="AF7" s="48" t="n">
        <v>0</v>
      </c>
      <c r="AG7" s="48" t="n">
        <v>0</v>
      </c>
      <c r="AH7" s="48" t="n">
        <v>0</v>
      </c>
      <c r="AI7" s="48" t="n">
        <v>0</v>
      </c>
      <c r="AJ7" s="48" t="n">
        <v>25</v>
      </c>
      <c r="AK7" s="48" t="n">
        <v>0</v>
      </c>
      <c r="AL7" s="48" t="n">
        <v>0</v>
      </c>
      <c r="AM7" s="48" t="n">
        <v>0</v>
      </c>
      <c r="AN7" s="48" t="n">
        <v>0</v>
      </c>
      <c r="AO7" s="48" t="n">
        <v>0</v>
      </c>
      <c r="AP7" s="48" t="n">
        <v>0</v>
      </c>
      <c r="AQ7" s="48" t="n">
        <v>0</v>
      </c>
      <c r="AR7" s="33" t="n">
        <v>0</v>
      </c>
      <c r="AS7" s="33" t="n">
        <v>0</v>
      </c>
      <c r="AT7" s="33" t="n">
        <v>0</v>
      </c>
      <c r="AU7" s="33" t="n">
        <v>0</v>
      </c>
      <c r="AV7" s="33" t="n">
        <v>0</v>
      </c>
    </row>
    <row r="8" ht="15" customHeight="1" s="16" thickBot="1">
      <c r="B8" s="26" t="inlineStr">
        <is>
          <t>Наличие максимальной просрочки за последение 36 мес (в днях)</t>
        </is>
      </c>
      <c r="C8" s="9" t="n">
        <v>7</v>
      </c>
      <c r="D8" t="n">
        <v>100</v>
      </c>
      <c r="E8" t="n">
        <v>20</v>
      </c>
      <c r="F8" t="n">
        <v>5</v>
      </c>
      <c r="G8" t="n">
        <v>0</v>
      </c>
      <c r="H8" t="n">
        <v>0</v>
      </c>
      <c r="M8" s="29" t="n">
        <v>0.06</v>
      </c>
      <c r="N8" s="57" t="n"/>
      <c r="O8" s="69">
        <f>MIN(D8:F8)*M8</f>
        <v/>
      </c>
      <c r="Q8" s="70" t="n"/>
      <c r="S8" s="7" t="n">
        <v>7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s="12" t="n">
        <v>100</v>
      </c>
      <c r="AA8" t="n">
        <v>-50</v>
      </c>
      <c r="AB8" t="n">
        <v>-70</v>
      </c>
      <c r="AE8" s="6" t="inlineStr">
        <is>
          <t>F</t>
        </is>
      </c>
      <c r="AF8" s="48" t="n">
        <v>0</v>
      </c>
      <c r="AG8" s="48" t="n">
        <v>0</v>
      </c>
      <c r="AH8" s="48" t="n">
        <v>0</v>
      </c>
      <c r="AI8" s="48" t="n">
        <v>0</v>
      </c>
      <c r="AJ8" s="48" t="n">
        <v>0</v>
      </c>
      <c r="AK8" s="48" t="n">
        <v>0</v>
      </c>
      <c r="AL8" s="48" t="n">
        <v>0</v>
      </c>
      <c r="AM8" s="48" t="n">
        <v>0</v>
      </c>
      <c r="AN8" s="48" t="n">
        <v>0</v>
      </c>
      <c r="AO8" s="48" t="n">
        <v>0</v>
      </c>
      <c r="AP8" s="48" t="n">
        <v>0</v>
      </c>
      <c r="AQ8" s="48" t="n">
        <v>0</v>
      </c>
      <c r="AR8" s="33" t="n">
        <v>0</v>
      </c>
      <c r="AS8" s="33" t="n">
        <v>0</v>
      </c>
      <c r="AT8" s="33" t="n">
        <v>0</v>
      </c>
      <c r="AU8" s="33" t="n">
        <v>0</v>
      </c>
      <c r="AV8" s="33" t="n">
        <v>0</v>
      </c>
    </row>
    <row r="9" ht="15" customHeight="1" s="16" thickBot="1">
      <c r="B9" s="26" t="inlineStr">
        <is>
          <t>Репутация</t>
        </is>
      </c>
      <c r="C9" s="9" t="n">
        <v>8</v>
      </c>
      <c r="D9" t="n">
        <v>100</v>
      </c>
      <c r="E9" t="n">
        <v>45</v>
      </c>
      <c r="F9" t="n">
        <v>20</v>
      </c>
      <c r="G9" t="n">
        <v>0</v>
      </c>
      <c r="M9" s="29" t="n">
        <v>0.0486</v>
      </c>
      <c r="N9" s="57" t="n"/>
      <c r="O9" s="69">
        <f>MIN(D9:F9)*M9</f>
        <v/>
      </c>
      <c r="S9" s="7" t="n">
        <v>8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  <c r="AA9" s="12" t="n">
        <v>100</v>
      </c>
      <c r="AB9" t="n">
        <v>-60</v>
      </c>
      <c r="AE9" s="6" t="inlineStr">
        <is>
          <t>G</t>
        </is>
      </c>
      <c r="AF9" s="33" t="n">
        <v>0</v>
      </c>
      <c r="AG9" s="33" t="n">
        <v>0</v>
      </c>
      <c r="AH9" s="33" t="n">
        <v>0</v>
      </c>
      <c r="AI9" s="33" t="n">
        <v>0</v>
      </c>
      <c r="AJ9" s="33" t="n">
        <v>0</v>
      </c>
      <c r="AK9" s="33" t="n">
        <v>0</v>
      </c>
      <c r="AL9" s="33" t="n">
        <v>0</v>
      </c>
      <c r="AM9" s="33" t="n">
        <v>0</v>
      </c>
      <c r="AN9" s="33" t="n">
        <v>0</v>
      </c>
      <c r="AO9" s="33" t="n">
        <v>0</v>
      </c>
      <c r="AP9" s="33" t="n">
        <v>0</v>
      </c>
      <c r="AQ9" s="33" t="n">
        <v>0</v>
      </c>
      <c r="AR9" s="33" t="n">
        <v>0</v>
      </c>
      <c r="AS9" s="33" t="n">
        <v>0</v>
      </c>
      <c r="AT9" s="33" t="n">
        <v>0</v>
      </c>
      <c r="AU9" s="33" t="n">
        <v>0</v>
      </c>
      <c r="AV9" s="33" t="n">
        <v>0</v>
      </c>
    </row>
    <row r="10" ht="15" customHeight="1" s="16" thickBot="1">
      <c r="B10" s="26" t="inlineStr">
        <is>
          <t>Организационная структура и преемственность</t>
        </is>
      </c>
      <c r="C10" s="9" t="n">
        <v>9</v>
      </c>
      <c r="D10" t="n">
        <v>100</v>
      </c>
      <c r="E10" t="n">
        <v>40</v>
      </c>
      <c r="F10" t="n">
        <v>0</v>
      </c>
      <c r="M10" s="29" t="n">
        <v>0.0488</v>
      </c>
      <c r="N10" s="57" t="n"/>
      <c r="O10" s="69">
        <f>MIN(D10:E10)*M10</f>
        <v/>
      </c>
      <c r="S10" s="7" t="n">
        <v>9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s="12" t="n">
        <v>100</v>
      </c>
      <c r="AE10" s="6" t="inlineStr">
        <is>
          <t>H</t>
        </is>
      </c>
      <c r="AF10" s="33" t="n">
        <v>0</v>
      </c>
      <c r="AG10" s="33" t="n">
        <v>0</v>
      </c>
      <c r="AH10" s="33" t="n">
        <v>0</v>
      </c>
      <c r="AI10" s="33" t="n">
        <v>0</v>
      </c>
      <c r="AJ10" s="33" t="n">
        <v>0</v>
      </c>
      <c r="AK10" s="33" t="n">
        <v>0</v>
      </c>
      <c r="AL10" s="33" t="n">
        <v>0</v>
      </c>
      <c r="AM10" s="33" t="n">
        <v>0</v>
      </c>
      <c r="AN10" s="33" t="n">
        <v>0</v>
      </c>
      <c r="AO10" s="33" t="n">
        <v>0</v>
      </c>
      <c r="AP10" s="33" t="n">
        <v>0</v>
      </c>
      <c r="AQ10" s="33" t="n">
        <v>0</v>
      </c>
      <c r="AR10" s="33" t="n">
        <v>0</v>
      </c>
      <c r="AS10" s="33" t="n">
        <v>0</v>
      </c>
      <c r="AT10" s="33" t="n">
        <v>0</v>
      </c>
      <c r="AU10" s="33" t="n">
        <v>0</v>
      </c>
      <c r="AV10" s="33" t="n">
        <v>0</v>
      </c>
    </row>
    <row r="11" ht="15" customHeight="1" s="16" thickBot="1">
      <c r="B11" s="26" t="inlineStr">
        <is>
          <t>Риск дебиторской задолженности</t>
        </is>
      </c>
      <c r="C11" s="9" t="n">
        <v>10</v>
      </c>
      <c r="D11" t="n">
        <v>100</v>
      </c>
      <c r="E11" t="n">
        <v>60</v>
      </c>
      <c r="F11" t="n">
        <v>30</v>
      </c>
      <c r="G11" t="n">
        <v>0</v>
      </c>
      <c r="M11" s="29" t="n">
        <v>0.0488</v>
      </c>
      <c r="N11" s="57" t="n"/>
      <c r="O11" s="69">
        <f>MIN(D11:F11)*M11</f>
        <v/>
      </c>
      <c r="S11" s="7" t="n">
        <v>10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40</v>
      </c>
      <c r="Z11" t="n">
        <v>35</v>
      </c>
      <c r="AA11" t="n">
        <v>30</v>
      </c>
      <c r="AB11" t="n">
        <v>25</v>
      </c>
      <c r="AE11" s="6" t="n">
        <v>0</v>
      </c>
      <c r="AF11" s="33" t="n">
        <v>0</v>
      </c>
      <c r="AG11" s="33" t="n">
        <v>0</v>
      </c>
      <c r="AH11" s="33" t="n">
        <v>0</v>
      </c>
      <c r="AI11" s="33" t="n">
        <v>0</v>
      </c>
      <c r="AJ11" s="33" t="n">
        <v>0</v>
      </c>
      <c r="AK11" s="33" t="n">
        <v>0</v>
      </c>
      <c r="AL11" s="33" t="n">
        <v>0</v>
      </c>
      <c r="AM11" s="33" t="n">
        <v>0</v>
      </c>
      <c r="AN11" s="33" t="n">
        <v>0</v>
      </c>
      <c r="AO11" s="33" t="n">
        <v>0</v>
      </c>
      <c r="AP11" s="33" t="n">
        <v>0</v>
      </c>
      <c r="AQ11" s="33" t="n">
        <v>0</v>
      </c>
      <c r="AR11" s="33" t="n">
        <v>0</v>
      </c>
      <c r="AS11" s="33" t="n">
        <v>0</v>
      </c>
      <c r="AT11" s="33" t="n">
        <v>0</v>
      </c>
      <c r="AU11" s="33" t="n">
        <v>0</v>
      </c>
      <c r="AV11" s="33" t="n">
        <v>0</v>
      </c>
    </row>
    <row r="12" ht="15" customHeight="1" s="16" thickBot="1">
      <c r="B12" s="26" t="inlineStr">
        <is>
          <t>Оценка запасов</t>
        </is>
      </c>
      <c r="C12" s="9" t="n">
        <v>11</v>
      </c>
      <c r="D12" t="n">
        <v>100</v>
      </c>
      <c r="E12" t="n">
        <v>60</v>
      </c>
      <c r="F12" t="n">
        <v>30</v>
      </c>
      <c r="G12" t="n">
        <v>0</v>
      </c>
      <c r="M12" s="29" t="n">
        <v>0.0488</v>
      </c>
      <c r="N12" s="57" t="n"/>
      <c r="O12" s="69">
        <f>MIN(D12:F12)*M12</f>
        <v/>
      </c>
    </row>
    <row r="13" ht="15" customHeight="1" s="16" thickBot="1">
      <c r="B13" s="26" t="inlineStr">
        <is>
          <t>Зависимость Заемщика от финансовой поддержки собственника (других компаний собственника вне анализируемого периметра)</t>
        </is>
      </c>
      <c r="C13" s="9" t="n">
        <v>12</v>
      </c>
      <c r="D13" t="n">
        <v>100</v>
      </c>
      <c r="E13" t="n">
        <v>40</v>
      </c>
      <c r="F13" t="n">
        <v>0</v>
      </c>
      <c r="M13" s="29" t="n">
        <v>0.0488</v>
      </c>
      <c r="N13" s="57" t="n"/>
      <c r="O13" s="69">
        <f>MIN(D13:E13)*M13</f>
        <v/>
      </c>
    </row>
    <row r="14" ht="15" customHeight="1" s="16" thickBot="1">
      <c r="B14" s="27" t="inlineStr">
        <is>
          <t>Распределение прибыли, в т.ч. управленческой за последний год</t>
        </is>
      </c>
      <c r="C14" s="28" t="n">
        <v>13</v>
      </c>
      <c r="D14" s="25" t="n">
        <v>100</v>
      </c>
      <c r="E14" s="25" t="n">
        <v>60</v>
      </c>
      <c r="F14" s="25" t="n">
        <v>30</v>
      </c>
      <c r="G14" s="25" t="n">
        <v>0</v>
      </c>
      <c r="H14" s="25" t="n"/>
      <c r="I14" s="25" t="n"/>
      <c r="J14" s="25" t="n"/>
      <c r="K14" s="25" t="n"/>
      <c r="L14" s="25" t="n"/>
      <c r="M14" s="29" t="n">
        <v>0.0488</v>
      </c>
      <c r="N14" s="57" t="n"/>
      <c r="O14" s="69">
        <f>MIN(D14:F14)*M14</f>
        <v/>
      </c>
    </row>
    <row r="15" ht="15" customHeight="1" s="16" thickBot="1">
      <c r="B15" s="27" t="inlineStr">
        <is>
          <t>Доля эксорта в структуре продаж</t>
        </is>
      </c>
      <c r="C15" s="28" t="n">
        <v>14</v>
      </c>
      <c r="D15" s="25" t="n">
        <v>100</v>
      </c>
      <c r="E15" s="25" t="n">
        <v>40</v>
      </c>
      <c r="F15" s="25" t="n">
        <v>0</v>
      </c>
      <c r="G15" s="25" t="n"/>
      <c r="H15" s="25" t="n"/>
      <c r="I15" s="25" t="n"/>
      <c r="J15" s="25" t="n"/>
      <c r="K15" s="25" t="n"/>
      <c r="L15" s="25" t="n"/>
      <c r="M15" s="29" t="n">
        <v>0.0488</v>
      </c>
      <c r="N15" s="57" t="n"/>
      <c r="O15" s="69">
        <f>MIN(D15:E15)*M15</f>
        <v/>
      </c>
    </row>
    <row r="16" ht="15" customHeight="1" s="16" thickBot="1">
      <c r="B16" s="27" t="inlineStr">
        <is>
          <t>Бизнес зависим от ключевого собственника/сотрудника</t>
        </is>
      </c>
      <c r="C16" s="28" t="n">
        <v>15</v>
      </c>
      <c r="D16" s="25" t="n">
        <v>100</v>
      </c>
      <c r="E16" s="25" t="n">
        <v>0</v>
      </c>
      <c r="F16" s="25" t="n"/>
      <c r="G16" s="25" t="n"/>
      <c r="H16" s="25" t="n"/>
      <c r="I16" s="25" t="n"/>
      <c r="J16" s="25" t="n"/>
      <c r="K16" s="25" t="n"/>
      <c r="L16" s="25" t="n"/>
      <c r="M16" s="29" t="n">
        <v>0.0488</v>
      </c>
      <c r="N16" s="57" t="n"/>
      <c r="O16" s="69">
        <f>MIN(D16)*M16</f>
        <v/>
      </c>
    </row>
    <row r="17">
      <c r="B17" s="27" t="inlineStr">
        <is>
          <t xml:space="preserve">Концентрация ТОП-3 покупателей </t>
        </is>
      </c>
      <c r="C17" s="28" t="n">
        <v>16</v>
      </c>
      <c r="D17" s="25" t="n">
        <v>100</v>
      </c>
      <c r="E17" s="25" t="n">
        <v>60</v>
      </c>
      <c r="F17" s="25" t="n">
        <v>30</v>
      </c>
      <c r="G17" s="25" t="n">
        <v>0</v>
      </c>
      <c r="H17" s="25" t="n"/>
      <c r="I17" s="25" t="n"/>
      <c r="J17" s="25" t="n"/>
      <c r="K17" s="25" t="n"/>
      <c r="L17" s="25" t="n"/>
      <c r="M17" s="29" t="n">
        <v>0.0488</v>
      </c>
      <c r="N17" s="57" t="n"/>
      <c r="O17" s="69">
        <f>MIN(D17:F17)*M17</f>
        <v/>
      </c>
    </row>
    <row r="19">
      <c r="B19" s="8" t="inlineStr">
        <is>
          <t xml:space="preserve">динамика Z показателя </t>
        </is>
      </c>
      <c r="C19" s="9" t="n">
        <v>18</v>
      </c>
      <c r="D19" t="inlineStr">
        <is>
          <t>бал из матрицы переходов</t>
        </is>
      </c>
      <c r="M19" s="15" t="n">
        <v>0.06</v>
      </c>
      <c r="N19" s="57" t="n"/>
      <c r="O19" s="69" t="n"/>
      <c r="AE19" s="19" t="n"/>
    </row>
    <row r="20">
      <c r="B20" s="14" t="inlineStr">
        <is>
          <t>поручительство</t>
        </is>
      </c>
      <c r="C20" s="9" t="n">
        <v>19</v>
      </c>
      <c r="D20" t="n">
        <v>100</v>
      </c>
      <c r="E20" t="n">
        <v>0</v>
      </c>
      <c r="M20" s="15" t="n">
        <v>0.04</v>
      </c>
      <c r="N20" s="57" t="n"/>
      <c r="O20" s="69" t="n"/>
      <c r="P20" t="inlineStr">
        <is>
          <t>есть</t>
        </is>
      </c>
      <c r="Q20" t="inlineStr">
        <is>
          <t>нет</t>
        </is>
      </c>
      <c r="AE20" s="19" t="n"/>
    </row>
    <row r="21">
      <c r="B21" s="8" t="inlineStr">
        <is>
          <t>бизнес-план</t>
        </is>
      </c>
      <c r="C21" s="9" t="n">
        <v>20</v>
      </c>
      <c r="D21" t="n">
        <v>80</v>
      </c>
      <c r="E21" t="n">
        <v>100</v>
      </c>
      <c r="F21" t="n">
        <v>50</v>
      </c>
      <c r="G21" t="n">
        <v>0</v>
      </c>
      <c r="M21" s="20" t="n">
        <v>0.041</v>
      </c>
      <c r="N21" s="57" t="n"/>
      <c r="O21" s="69" t="n"/>
    </row>
    <row r="22">
      <c r="B22" s="14" t="n"/>
      <c r="M22" s="17" t="n"/>
      <c r="O22" s="69" t="n"/>
    </row>
    <row r="23">
      <c r="M23" s="21">
        <f>SUM(M2:M21)</f>
        <v/>
      </c>
      <c r="O23" s="36">
        <f>SUM(O2:O18)</f>
        <v/>
      </c>
    </row>
  </sheetData>
  <autoFilter ref="C1:N21"/>
  <conditionalFormatting sqref="M23">
    <cfRule type="cellIs" priority="1" operator="lessThan" dxfId="0">
      <formula>1</formula>
    </cfRule>
    <cfRule type="cellIs" priority="2" operator="greaterThan" dxfId="0">
      <formula>1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66" t="inlineStr">
        <is>
          <t>ОКПО</t>
        </is>
      </c>
      <c r="B1" s="66" t="inlineStr">
        <is>
          <t>Клиент</t>
        </is>
      </c>
      <c r="C1" s="66" t="inlineStr">
        <is>
          <t>Дата 1</t>
        </is>
      </c>
      <c r="D1" s="66" t="inlineStr">
        <is>
          <t>UID заявки</t>
        </is>
      </c>
      <c r="E1" s="66" t="inlineStr">
        <is>
          <t>Балл</t>
        </is>
      </c>
    </row>
    <row r="2">
      <c r="A2" t="n">
        <v>111111</v>
      </c>
      <c r="B2" t="inlineStr"/>
      <c r="C2" s="68" t="n">
        <v>45931</v>
      </c>
      <c r="D2" t="inlineStr">
        <is>
          <t>5B665B06-0BB1-295B-B159-980D66DBEB22</t>
        </is>
      </c>
      <c r="E2" t="inlineStr"/>
    </row>
    <row r="3">
      <c r="A3" t="n">
        <v>133333</v>
      </c>
      <c r="B3" t="inlineStr"/>
      <c r="C3" s="68" t="n">
        <v>45931</v>
      </c>
      <c r="D3" t="inlineStr">
        <is>
          <t>9BCC5028-95F0-2F19-B51C-D05915F5666B</t>
        </is>
      </c>
      <c r="E3" t="inlineStr"/>
    </row>
    <row r="4">
      <c r="A4" t="n">
        <v>155555</v>
      </c>
      <c r="B4" t="inlineStr"/>
      <c r="C4" s="68" t="n">
        <v>45839</v>
      </c>
      <c r="D4" t="inlineStr">
        <is>
          <t>DFE505EE-5D9F-2EC8-B525-295C695989FF</t>
        </is>
      </c>
      <c r="E4" t="inlineStr"/>
    </row>
    <row r="5">
      <c r="A5" t="n">
        <v>211111</v>
      </c>
      <c r="B5" t="inlineStr"/>
      <c r="C5" s="68" t="n">
        <v>45748</v>
      </c>
      <c r="D5" t="inlineStr">
        <is>
          <t>50BDC290-5B5C-229D-B55E-12B0BDB925CE</t>
        </is>
      </c>
      <c r="E5" t="inlineStr"/>
    </row>
    <row r="6">
      <c r="A6" t="n">
        <v>255555</v>
      </c>
      <c r="B6" t="inlineStr"/>
      <c r="C6" s="68" t="n">
        <v>45566</v>
      </c>
      <c r="D6" t="inlineStr">
        <is>
          <t>B52F69DF-9918-290B-89EE-BE5818B61899</t>
        </is>
      </c>
      <c r="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M15"/>
  <sheetViews>
    <sheetView showGridLines="0" workbookViewId="0">
      <selection activeCell="M4" sqref="M4"/>
    </sheetView>
  </sheetViews>
  <sheetFormatPr baseColWidth="8" defaultRowHeight="14.5"/>
  <cols>
    <col width="9.90625" bestFit="1" customWidth="1" style="16" min="9" max="9"/>
    <col width="10.08984375" bestFit="1" customWidth="1" style="16" min="10" max="11"/>
  </cols>
  <sheetData>
    <row r="2" ht="15" customHeight="1" s="16" thickBot="1"/>
    <row r="3">
      <c r="B3" s="39" t="inlineStr">
        <is>
          <t>4.</t>
        </is>
      </c>
      <c r="C3" s="40" t="inlineStr">
        <is>
          <t>Кредитная история с банком (год получения первого продукта)</t>
        </is>
      </c>
      <c r="D3" s="41" t="n"/>
      <c r="E3" s="41" t="n"/>
      <c r="I3" s="22" t="n"/>
      <c r="M3">
        <f>YEAR(TODAY())</f>
        <v/>
      </c>
    </row>
    <row r="4">
      <c r="B4" s="42" t="inlineStr">
        <is>
          <t>A</t>
        </is>
      </c>
      <c r="C4" s="43" t="inlineStr">
        <is>
          <t>2 или меньше</t>
        </is>
      </c>
      <c r="D4" s="44" t="n"/>
      <c r="E4" s="44" t="n"/>
    </row>
    <row r="5">
      <c r="B5" s="42" t="inlineStr">
        <is>
          <t>B</t>
        </is>
      </c>
      <c r="C5" s="43" t="inlineStr">
        <is>
          <t>от 3 до 5</t>
        </is>
      </c>
      <c r="D5" s="44" t="n"/>
      <c r="E5" s="44" t="n"/>
    </row>
    <row r="6">
      <c r="B6" s="42" t="inlineStr">
        <is>
          <t>С</t>
        </is>
      </c>
      <c r="C6" s="43" t="inlineStr">
        <is>
          <t>от 6 до 9</t>
        </is>
      </c>
      <c r="D6" s="44" t="n"/>
      <c r="E6" s="44" t="n"/>
    </row>
    <row r="7">
      <c r="B7" s="42" t="inlineStr">
        <is>
          <t>D</t>
        </is>
      </c>
      <c r="C7" s="43" t="inlineStr">
        <is>
          <t>10 и больше</t>
        </is>
      </c>
      <c r="D7" s="44" t="n"/>
      <c r="E7" s="44" t="n"/>
    </row>
    <row r="8">
      <c r="B8" s="42" t="n"/>
      <c r="C8" s="43" t="n"/>
      <c r="D8" s="44" t="n"/>
      <c r="E8" s="44" t="n"/>
    </row>
    <row r="9">
      <c r="B9" s="42" t="n"/>
      <c r="C9" s="43" t="n"/>
      <c r="D9" s="44" t="n"/>
      <c r="E9" s="44" t="n"/>
    </row>
    <row r="10">
      <c r="D10" s="44" t="n"/>
      <c r="E10" s="44" t="n"/>
      <c r="J10" t="inlineStr">
        <is>
          <t>было</t>
        </is>
      </c>
      <c r="K10" t="inlineStr">
        <is>
          <t>стало</t>
        </is>
      </c>
    </row>
    <row r="11">
      <c r="B11" s="42" t="n"/>
      <c r="C11" s="43" t="n"/>
      <c r="D11" s="44" t="n"/>
      <c r="E11" s="44" t="n"/>
      <c r="H11" s="4" t="n"/>
      <c r="I11" s="4" t="n"/>
      <c r="J11" s="51" t="n">
        <v>44896</v>
      </c>
      <c r="K11" s="51" t="n">
        <v>44927</v>
      </c>
    </row>
    <row r="12">
      <c r="D12" s="44" t="n"/>
      <c r="E12" s="44" t="n"/>
      <c r="H12" s="4" t="n"/>
      <c r="I12" s="4" t="n"/>
      <c r="J12" s="52">
        <f>YEAR(J11)</f>
        <v/>
      </c>
      <c r="K12" s="52">
        <f>YEAR(K11)</f>
        <v/>
      </c>
    </row>
    <row r="13">
      <c r="H13" s="4" t="n">
        <v>2013</v>
      </c>
      <c r="I13" s="4" t="n"/>
      <c r="J13" s="52">
        <f>J12-H13</f>
        <v/>
      </c>
      <c r="K13" s="52">
        <f>K12-H13</f>
        <v/>
      </c>
    </row>
    <row r="14">
      <c r="H14" s="4" t="n">
        <v>2017</v>
      </c>
      <c r="I14" s="4" t="n"/>
      <c r="J14" s="52">
        <f>J12-H14</f>
        <v/>
      </c>
      <c r="K14" s="52">
        <f>K12-H14</f>
        <v/>
      </c>
    </row>
    <row r="15">
      <c r="H15" s="4" t="n">
        <v>2020</v>
      </c>
      <c r="I15" s="4" t="n"/>
      <c r="J15" s="52">
        <f>J12-H15</f>
        <v/>
      </c>
      <c r="K15" s="52">
        <f>K12-H15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Карнацкий Данила Сергеевич</dc:creator>
  <dcterms:created xmlns:dcterms="http://purl.org/dc/terms/" xmlns:xsi="http://www.w3.org/2001/XMLSchema-instance" xsi:type="dcterms:W3CDTF">2018-05-17T15:11:23Z</dcterms:created>
  <dcterms:modified xmlns:dcterms="http://purl.org/dc/terms/" xmlns:xsi="http://www.w3.org/2001/XMLSchema-instance" xsi:type="dcterms:W3CDTF">2026-01-14T12:02:12Z</dcterms:modified>
  <cp:lastModifiedBy>Овечко Анастасія Сергіївна</cp:lastModifiedBy>
</cp:coreProperties>
</file>