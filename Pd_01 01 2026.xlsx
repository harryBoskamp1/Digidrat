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ovechkoa\Desktop\"/>
    </mc:Choice>
  </mc:AlternateContent>
  <xr:revisionPtr revIDLastSave="0" documentId="13_ncr:1_{D602E77F-A03B-4D46-BE2B-379139721BBD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Dm" sheetId="1" r:id="rId1"/>
    <sheet name="справ нов" sheetId="8" r:id="rId2"/>
    <sheet name="бал нов" sheetId="10" r:id="rId3"/>
    <sheet name="перевод вопроса №4" sheetId="11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________t04" hidden="1">{#N/A,#N/A,FALSE,"т04"}</definedName>
    <definedName name="________t06" hidden="1">{#N/A,#N/A,FALSE,"т04"}</definedName>
    <definedName name="______t04" hidden="1">{#N/A,#N/A,FALSE,"т04"}</definedName>
    <definedName name="______t06" hidden="1">{#N/A,#N/A,FALSE,"т04"}</definedName>
    <definedName name="____z1" hidden="1">{#N/A,#N/A,FALSE,"Supuestos";#N/A,#N/A,FALSE,"Totales";#N/A,#N/A,FALSE,"UTE TDF";#N/A,#N/A,FALSE,"C. AUSTRAL";#N/A,#N/A,FALSE,"L. ATRAVESADO";#N/A,#N/A,FALSE,"FERNANDEZ  ORO";#N/A,#N/A,FALSE,"PORTEZUELOS";#N/A,#N/A,FALSE,"25 MM";#N/A,#N/A,FALSE,"SAN ROQUE";#N/A,#N/A,FALSE,"A.  PICHANA"}</definedName>
    <definedName name="____z2" hidden="1">{#N/A,#N/A,FALSE,"Supuestos";#N/A,#N/A,FALSE,"Totales";#N/A,#N/A,FALSE,"UTE TDF";#N/A,#N/A,FALSE,"C. AUSTRAL";#N/A,#N/A,FALSE,"L. ATRAVESADO";#N/A,#N/A,FALSE,"FERNANDEZ  ORO";#N/A,#N/A,FALSE,"PORTEZUELOS";#N/A,#N/A,FALSE,"25 MM";#N/A,#N/A,FALSE,"SAN ROQUE";#N/A,#N/A,FALSE,"A.  PICHANA"}</definedName>
    <definedName name="____z3" hidden="1">{#N/A,#N/A,FALSE,"Supuestos";#N/A,#N/A,FALSE,"Totales";#N/A,#N/A,FALSE,"UTE TDF";#N/A,#N/A,FALSE,"C. AUSTRAL";#N/A,#N/A,FALSE,"L. ATRAVESADO";#N/A,#N/A,FALSE,"FERNANDEZ  ORO";#N/A,#N/A,FALSE,"PORTEZUELOS";#N/A,#N/A,FALSE,"25 MM";#N/A,#N/A,FALSE,"SAN ROQUE";#N/A,#N/A,FALSE,"A.  PICHANA"}</definedName>
    <definedName name="____z4" hidden="1">{#N/A,#N/A,FALSE,"Supuestos";#N/A,#N/A,FALSE,"Totales";#N/A,#N/A,FALSE,"UTE TDF";#N/A,#N/A,FALSE,"C. AUSTRAL";#N/A,#N/A,FALSE,"L. ATRAVESADO";#N/A,#N/A,FALSE,"FERNANDEZ  ORO";#N/A,#N/A,FALSE,"PORTEZUELOS";#N/A,#N/A,FALSE,"25 MM";#N/A,#N/A,FALSE,"SAN ROQUE";#N/A,#N/A,FALSE,"A.  PICHANA"}</definedName>
    <definedName name="____z5" hidden="1">{#N/A,#N/A,FALSE,"Supuestos";#N/A,#N/A,FALSE,"Totales";#N/A,#N/A,FALSE,"UTE TDF";#N/A,#N/A,FALSE,"C. AUSTRAL";#N/A,#N/A,FALSE,"L. ATRAVESADO";#N/A,#N/A,FALSE,"FERNANDEZ  ORO";#N/A,#N/A,FALSE,"PORTEZUELOS";#N/A,#N/A,FALSE,"25 MM";#N/A,#N/A,FALSE,"SAN ROQUE";#N/A,#N/A,FALSE,"A.  PICHANA"}</definedName>
    <definedName name="___A1111" hidden="1">{"'Всего'!$A$1:$F$19"}</definedName>
    <definedName name="__A1111" hidden="1">{"'Всего'!$A$1:$F$19"}</definedName>
    <definedName name="_A1111" hidden="1">{"'Всего'!$A$1:$F$19"}</definedName>
    <definedName name="_BQ4.1" localSheetId="1" hidden="1">'[1]Total Costs'!#REF!</definedName>
    <definedName name="_BQ4.1" hidden="1">'[1]Total Costs'!#REF!</definedName>
    <definedName name="_BQ4.2" localSheetId="1" hidden="1">'[1]Total Costs'!#REF!</definedName>
    <definedName name="_BQ4.2" hidden="1">'[1]Total Costs'!#REF!</definedName>
    <definedName name="_BQ4.3" localSheetId="1" hidden="1">#REF!</definedName>
    <definedName name="_BQ4.3" hidden="1">#REF!</definedName>
    <definedName name="_Fill" hidden="1">'[2]Subfed SpB'!$V$1:$V$49</definedName>
    <definedName name="_Key1" localSheetId="1" hidden="1">#REF!</definedName>
    <definedName name="_Key1" hidden="1">#REF!</definedName>
    <definedName name="_Order1" hidden="1">255</definedName>
    <definedName name="_Order2" hidden="1">255</definedName>
    <definedName name="_Parse_In" localSheetId="1" hidden="1">#REF!</definedName>
    <definedName name="_Parse_In" hidden="1">#REF!</definedName>
    <definedName name="_Sort" localSheetId="1" hidden="1">#REF!</definedName>
    <definedName name="_Sort" hidden="1">#REF!</definedName>
    <definedName name="_t04" hidden="1">{#N/A,#N/A,FALSE,"т04"}</definedName>
    <definedName name="_t06" hidden="1">{#N/A,#N/A,FALSE,"т04"}</definedName>
    <definedName name="_z1" hidden="1">{#N/A,#N/A,FALSE,"Supuestos";#N/A,#N/A,FALSE,"Totales";#N/A,#N/A,FALSE,"UTE TDF";#N/A,#N/A,FALSE,"C. AUSTRAL";#N/A,#N/A,FALSE,"L. ATRAVESADO";#N/A,#N/A,FALSE,"FERNANDEZ  ORO";#N/A,#N/A,FALSE,"PORTEZUELOS";#N/A,#N/A,FALSE,"25 MM";#N/A,#N/A,FALSE,"SAN ROQUE";#N/A,#N/A,FALSE,"A.  PICHANA"}</definedName>
    <definedName name="_z2" hidden="1">{#N/A,#N/A,FALSE,"Supuestos";#N/A,#N/A,FALSE,"Totales";#N/A,#N/A,FALSE,"UTE TDF";#N/A,#N/A,FALSE,"C. AUSTRAL";#N/A,#N/A,FALSE,"L. ATRAVESADO";#N/A,#N/A,FALSE,"FERNANDEZ  ORO";#N/A,#N/A,FALSE,"PORTEZUELOS";#N/A,#N/A,FALSE,"25 MM";#N/A,#N/A,FALSE,"SAN ROQUE";#N/A,#N/A,FALSE,"A.  PICHANA"}</definedName>
    <definedName name="_z3" hidden="1">{#N/A,#N/A,FALSE,"Supuestos";#N/A,#N/A,FALSE,"Totales";#N/A,#N/A,FALSE,"UTE TDF";#N/A,#N/A,FALSE,"C. AUSTRAL";#N/A,#N/A,FALSE,"L. ATRAVESADO";#N/A,#N/A,FALSE,"FERNANDEZ  ORO";#N/A,#N/A,FALSE,"PORTEZUELOS";#N/A,#N/A,FALSE,"25 MM";#N/A,#N/A,FALSE,"SAN ROQUE";#N/A,#N/A,FALSE,"A.  PICHANA"}</definedName>
    <definedName name="_z4" hidden="1">{#N/A,#N/A,FALSE,"Supuestos";#N/A,#N/A,FALSE,"Totales";#N/A,#N/A,FALSE,"UTE TDF";#N/A,#N/A,FALSE,"C. AUSTRAL";#N/A,#N/A,FALSE,"L. ATRAVESADO";#N/A,#N/A,FALSE,"FERNANDEZ  ORO";#N/A,#N/A,FALSE,"PORTEZUELOS";#N/A,#N/A,FALSE,"25 MM";#N/A,#N/A,FALSE,"SAN ROQUE";#N/A,#N/A,FALSE,"A.  PICHANA"}</definedName>
    <definedName name="_z5" hidden="1">{#N/A,#N/A,FALSE,"Supuestos";#N/A,#N/A,FALSE,"Totales";#N/A,#N/A,FALSE,"UTE TDF";#N/A,#N/A,FALSE,"C. AUSTRAL";#N/A,#N/A,FALSE,"L. ATRAVESADO";#N/A,#N/A,FALSE,"FERNANDEZ  ORO";#N/A,#N/A,FALSE,"PORTEZUELOS";#N/A,#N/A,FALSE,"25 MM";#N/A,#N/A,FALSE,"SAN ROQUE";#N/A,#N/A,FALSE,"A.  PICHANA"}</definedName>
    <definedName name="_xlnm._FilterDatabase" localSheetId="0" hidden="1">PDm!$A$6:$BE$907</definedName>
    <definedName name="_xlnm._FilterDatabase" localSheetId="2" hidden="1">'бал нов'!$A$1:$S$759</definedName>
    <definedName name="_xlnm._FilterDatabase" localSheetId="1" hidden="1">'справ нов'!$C$1:$N$21</definedName>
    <definedName name="AccessDatabase" hidden="1">"D:\WIK\Отчеты\Планерка\2002\10\$101002_.mdb"</definedName>
    <definedName name="ajhakxja" hidden="1">{#N/A,#N/A,FALSE,"ОТЛАДКА"}</definedName>
    <definedName name="Appendix13" hidden="1">{#N/A,#N/A,TRUE,"Title";#N/A,#N/A,TRUE,"BalanceSheetAssets";#N/A,#N/A,TRUE,"BalanceSheetLiabilities";#N/A,#N/A,TRUE,"EquityControl";#N/A,#N/A,TRUE,"IncomeStatementNature";#N/A,#N/A,TRUE,"NatureByDestination";#N/A,#N/A,TRUE,"IncomeStatement";#N/A,#N/A,TRUE,"Revenue";#N/A,#N/A,TRUE,"CashFlow";#N/A,#N/A,TRUE,"PropertyPlantEquipment"}</definedName>
    <definedName name="as" hidden="1">{#N/A,#N/A,FALSE,"Tab0501";#N/A,#N/A,FALSE,"Tab0502";#N/A,#N/A,FALSE,"Tab0503";#N/A,#N/A,FALSE,"Tab0504";#N/A,#N/A,FALSE,"Tab0505"}</definedName>
    <definedName name="AS2DocOpenMode" hidden="1">"AS2DocumentEdit"</definedName>
    <definedName name="B" hidden="1">{"'Всего'!$A$1:$F$19"}</definedName>
    <definedName name="bb" localSheetId="1" hidden="1">#REF!</definedName>
    <definedName name="bb" hidden="1">#REF!</definedName>
    <definedName name="bp" hidden="1">{"BOP_TAB",#N/A,FALSE,"N";"MIDTERM_TAB",#N/A,FALSE,"O";"FUND_CRED",#N/A,FALSE,"P";"DEBT_TAB1",#N/A,FALSE,"Q";"DEBT_TAB2",#N/A,FALSE,"Q";"FORFIN_TAB1",#N/A,FALSE,"R";"FORFIN_TAB2",#N/A,FALSE,"R";"BOP_ANALY",#N/A,FALSE,"U"}</definedName>
    <definedName name="cc" localSheetId="1" hidden="1">#REF!</definedName>
    <definedName name="cc" hidden="1">#REF!</definedName>
    <definedName name="cdsqrInfo_NAME" hidden="1">[3]XLR_NoRangeSheet!$D$6</definedName>
    <definedName name="de" localSheetId="1" hidden="1">#REF!</definedName>
    <definedName name="de" hidden="1">#REF!</definedName>
    <definedName name="dfgh" localSheetId="1" hidden="1">#REF!</definedName>
    <definedName name="dfgh" hidden="1">#REF!</definedName>
    <definedName name="dggs" localSheetId="1" hidden="1">#REF!</definedName>
    <definedName name="dggs" hidden="1">#REF!</definedName>
    <definedName name="djsks" hidden="1">{#N/A,#N/A,FALSE,"NBU rates 1999"}</definedName>
    <definedName name="ee" localSheetId="1" hidden="1">#REF!</definedName>
    <definedName name="ee" hidden="1">#REF!</definedName>
    <definedName name="EUR">[4]Курс!$B$4</definedName>
    <definedName name="fdh" hidden="1">{"'Всего'!$A$1:$F$19"}</definedName>
    <definedName name="fdhd" hidden="1">{"'Всего'!$A$1:$F$19"}</definedName>
    <definedName name="ff" localSheetId="1" hidden="1">'[1]Total Costs'!#REF!</definedName>
    <definedName name="ff" hidden="1">'[1]Total Costs'!#REF!</definedName>
    <definedName name="fg" hidden="1">{"Str.1",#N/A,FALSE,"Aktiva";"Str.2",#N/A,FALSE,"Aktiva";"Str.3",#N/A,FALSE,"Aktiva";"Str.4",#N/A,FALSE,"Aktiva";"Str.5",#N/A,FALSE,"Aktiva";"str1",#N/A,FALSE,"Pasíva";"str2",#N/A,FALSE,"Pasíva";"str3",#N/A,FALSE,"Pasíva";"str4",#N/A,FALSE,"Pasíva";#N/A,#N/A,FALSE,"Dopl. k pasívům";"str1",#N/A,FALSE,"Podrozvaha-aktiva";"str2",#N/A,FALSE,"Podrozvaha-aktiva";"str1",#N/A,FALSE,"Podrozvaha-pasíva";"str2",#N/A,FALSE,"Podrozvaha-pasíva";"str3",#N/A,FALSE,"Podrozvaha-pasíva"}</definedName>
    <definedName name="fh" hidden="1">{#N/A,#N/A,FALSE,"NBU rates 1999"}</definedName>
    <definedName name="fhg" hidden="1">{"'Всего'!$A$1:$F$19"}</definedName>
    <definedName name="fj" hidden="1">{"Str.1",#N/A,FALSE,"Aktiva";"Str.2",#N/A,FALSE,"Aktiva";"Str.3",#N/A,FALSE,"Aktiva";"Str.4",#N/A,FALSE,"Aktiva";"Str.5",#N/A,FALSE,"Aktiva";"str1",#N/A,FALSE,"Pasíva";"str2",#N/A,FALSE,"Pasíva";"str3",#N/A,FALSE,"Pasíva";"str4",#N/A,FALSE,"Pasíva";#N/A,#N/A,FALSE,"Dopl. k pasívům";"str1",#N/A,FALSE,"Podrozvaha-aktiva";"str2",#N/A,FALSE,"Podrozvaha-aktiva";"str1",#N/A,FALSE,"Podrozvaha-pasíva";"str2",#N/A,FALSE,"Podrozvaha-pasíva";"str3",#N/A,FALSE,"Podrozvaha-pasíva"}</definedName>
    <definedName name="garyneu" hidden="1">{#N/A,#N/A,FALSE,"Supuestos";#N/A,#N/A,FALSE,"Totales";#N/A,#N/A,FALSE,"UTE TDF";#N/A,#N/A,FALSE,"C. AUSTRAL";#N/A,#N/A,FALSE,"L. ATRAVESADO";#N/A,#N/A,FALSE,"FERNANDEZ  ORO";#N/A,#N/A,FALSE,"PORTEZUELOS";#N/A,#N/A,FALSE,"25 MM";#N/A,#N/A,FALSE,"SAN ROQUE";#N/A,#N/A,FALSE,"A.  PICHANA"}</definedName>
    <definedName name="garyneu1" hidden="1">{#N/A,#N/A,FALSE,"Supuestos";#N/A,#N/A,FALSE,"Totales";#N/A,#N/A,FALSE,"UTE TDF";#N/A,#N/A,FALSE,"C. AUSTRAL";#N/A,#N/A,FALSE,"L. ATRAVESADO";#N/A,#N/A,FALSE,"FERNANDEZ  ORO";#N/A,#N/A,FALSE,"PORTEZUELOS";#N/A,#N/A,FALSE,"25 MM";#N/A,#N/A,FALSE,"SAN ROQUE";#N/A,#N/A,FALSE,"A.  PICHANA"}</definedName>
    <definedName name="Garynew" hidden="1">{#N/A,#N/A,FALSE,"Supuestos";#N/A,#N/A,FALSE,"Totales";#N/A,#N/A,FALSE,"UTE TDF";#N/A,#N/A,FALSE,"C. AUSTRAL";#N/A,#N/A,FALSE,"L. ATRAVESADO";#N/A,#N/A,FALSE,"FERNANDEZ  ORO";#N/A,#N/A,FALSE,"PORTEZUELOS";#N/A,#N/A,FALSE,"25 MM";#N/A,#N/A,FALSE,"SAN ROQUE";#N/A,#N/A,FALSE,"A.  PICHANA"}</definedName>
    <definedName name="gg" hidden="1">{#N/A,#N/A,FALSE,"Supuestos";#N/A,#N/A,FALSE,"Totales";#N/A,#N/A,FALSE,"UTE TDF";#N/A,#N/A,FALSE,"C. AUSTRAL";#N/A,#N/A,FALSE,"L. ATRAVESADO";#N/A,#N/A,FALSE,"FERNANDEZ  ORO";#N/A,#N/A,FALSE,"PORTEZUELOS";#N/A,#N/A,FALSE,"25 MM";#N/A,#N/A,FALSE,"SAN ROQUE";#N/A,#N/A,FALSE,"A.  PICHANA"}</definedName>
    <definedName name="gggggg" hidden="1">{#N/A,#N/A,FALSE,"Supuestos";#N/A,#N/A,FALSE,"Totales";#N/A,#N/A,FALSE,"UTE TDF";#N/A,#N/A,FALSE,"C. AUSTRAL";#N/A,#N/A,FALSE,"L. ATRAVESADO";#N/A,#N/A,FALSE,"FERNANDEZ  ORO";#N/A,#N/A,FALSE,"PORTEZUELOS";#N/A,#N/A,FALSE,"25 MM";#N/A,#N/A,FALSE,"SAN ROQUE";#N/A,#N/A,FALSE,"A.  PICHANA"}</definedName>
    <definedName name="gj" hidden="1">{#N/A,#N/A,TRUE,"Tab0201";#N/A,#N/A,TRUE,"Tab0202";#N/A,#N/A,TRUE,"Tab0203"}</definedName>
    <definedName name="gs" hidden="1">{#N/A,#N/A,FALSE,"NBU rates 1999"}</definedName>
    <definedName name="hj" hidden="1">{"ris40_10_01",#N/A,TRUE,"RIS40_10";"ris40_10_02",#N/A,TRUE,"RIS40_10";"ris40_20_01",#N/A,TRUE,"RIS40_20";"ris40_20_02",#N/A,TRUE,"RIS40_20";"ris40_20_03",#N/A,TRUE,"RIS40_20";"ris40_30_01",#N/A,TRUE,"RIS40_30";"ris40_30_02",#N/A,TRUE,"RIS40_30"}</definedName>
    <definedName name="hjh" hidden="1">{#N/A,#N/A,FALSE,"NBU rates 1999"}</definedName>
    <definedName name="hjk" hidden="1">{#N/A,#N/A,TRUE,"Tab0201";#N/A,#N/A,TRUE,"Tab0202";#N/A,#N/A,TRUE,"Tab0203"}</definedName>
    <definedName name="HTML_CodePage" hidden="1">1251</definedName>
    <definedName name="HTML_contr" hidden="1">{"'Всего'!$A$1:$F$19"}</definedName>
    <definedName name="Html_contro" hidden="1">{"'Всего'!$A$1:$F$19"}</definedName>
    <definedName name="HTML_Control" hidden="1">{"'Всего'!$A$1:$F$19"}</definedName>
    <definedName name="HTML_Control_1" hidden="1">{"'Всего'!$A$1:$F$19"}</definedName>
    <definedName name="HTML_Control_2" hidden="1">{"'Всего'!$A$1:$F$19"}</definedName>
    <definedName name="HTML_Control_3" hidden="1">{"'Всего'!$A$1:$F$19"}</definedName>
    <definedName name="HTML_Control_4" hidden="1">{"'Всего'!$A$1:$F$19"}</definedName>
    <definedName name="HTML_Control1" hidden="1">{"'Всего'!$A$1:$F$19"}</definedName>
    <definedName name="HTML_Description" hidden="1">""</definedName>
    <definedName name="HTML_Email" hidden="1">""</definedName>
    <definedName name="HTML_Header" hidden="1">"Всего"</definedName>
    <definedName name="HTML_LastUpdate" hidden="1">"02.03.2001"</definedName>
    <definedName name="HTML_LineAfter" hidden="1">TRUE</definedName>
    <definedName name="HTML_LineBefore" hidden="1">TRUE</definedName>
    <definedName name="HTML_Name" hidden="1">"Олег Радченко"</definedName>
    <definedName name="HTML_OBDlg2" hidden="1">TRUE</definedName>
    <definedName name="HTML_OBDlg4" hidden="1">TRUE</definedName>
    <definedName name="HTML_OS" hidden="1">0</definedName>
    <definedName name="HTML_PathFile" hidden="1">"C:\WINNT\Profiles\OLegR\Рабочий стол\MyHTML.htm"</definedName>
    <definedName name="HTML_Title" hidden="1">"Расчет налога на прибыль"</definedName>
    <definedName name="I" localSheetId="1" hidden="1">[5]PL!#REF!</definedName>
    <definedName name="I" hidden="1">[5]PL!#REF!</definedName>
    <definedName name="igu" hidden="1">{"'Всего'!$A$1:$F$19"}</definedName>
    <definedName name="ii" localSheetId="1" hidden="1">#REF!</definedName>
    <definedName name="ii" hidden="1">#REF!</definedName>
    <definedName name="jd" hidden="1">{"'Всего'!$A$1:$F$19"}</definedName>
    <definedName name="jf" hidden="1">{"'Всего'!$A$1:$F$19"}</definedName>
    <definedName name="jgjhg" localSheetId="1" hidden="1">#REF!</definedName>
    <definedName name="jgjhg" hidden="1">#REF!</definedName>
    <definedName name="jklkj" hidden="1">{"Str.1",#N/A,FALSE,"Aktiva";"Str.2",#N/A,FALSE,"Aktiva";"Str.3",#N/A,FALSE,"Aktiva";"Str.4",#N/A,FALSE,"Aktiva";"Str.5",#N/A,FALSE,"Aktiva";"str1",#N/A,FALSE,"Pasíva";"str2",#N/A,FALSE,"Pasíva";"str3",#N/A,FALSE,"Pasíva";"str4",#N/A,FALSE,"Pasíva";#N/A,#N/A,FALSE,"Dopl. k pasívům";"str1",#N/A,FALSE,"Podrozvaha-aktiva";"str2",#N/A,FALSE,"Podrozvaha-aktiva";"str1",#N/A,FALSE,"Podrozvaha-pasíva";"str2",#N/A,FALSE,"Podrozvaha-pasíva";"str3",#N/A,FALSE,"Podrozvaha-pasíva"}</definedName>
    <definedName name="jljhkl" hidden="1">{#N/A,#N/A,FALSE,"т17-1банки (2)"}</definedName>
    <definedName name="k" hidden="1">{"'Всего'!$A$1:$F$19"}</definedName>
    <definedName name="ki" hidden="1">{#N/A,#N/A,FALSE,"NBU rates 1999"}</definedName>
    <definedName name="kjl" hidden="1">{#N/A,#N/A,FALSE,"Tab0501";#N/A,#N/A,FALSE,"Tab0502";#N/A,#N/A,FALSE,"Tab0503";#N/A,#N/A,FALSE,"Tab0504";#N/A,#N/A,FALSE,"Tab0505"}</definedName>
    <definedName name="kk" localSheetId="1" hidden="1">'[1]Total Costs'!#REF!</definedName>
    <definedName name="kk" hidden="1">'[1]Total Costs'!#REF!</definedName>
    <definedName name="ld" hidden="1">{"Str.1",#N/A,FALSE,"Aktiva";"Str.2",#N/A,FALSE,"Aktiva";"Str.3",#N/A,FALSE,"Aktiva";"Str.4",#N/A,FALSE,"Aktiva";"Str.5",#N/A,FALSE,"Aktiva";"str1",#N/A,FALSE,"Pasíva";"str2",#N/A,FALSE,"Pasíva";"str3",#N/A,FALSE,"Pasíva";"str4",#N/A,FALSE,"Pasíva";#N/A,#N/A,FALSE,"Dopl. k pasívům";"str1",#N/A,FALSE,"Podrozvaha-aktiva";"str2",#N/A,FALSE,"Podrozvaha-aktiva";"str1",#N/A,FALSE,"Podrozvaha-pasíva";"str2",#N/A,FALSE,"Podrozvaha-pasíva";"str3",#N/A,FALSE,"Podrozvaha-pasíva"}</definedName>
    <definedName name="lkj" hidden="1">{"'Всего'!$A$1:$F$19"}</definedName>
    <definedName name="ll" localSheetId="1" hidden="1">#REF!</definedName>
    <definedName name="ll" hidden="1">#REF!</definedName>
    <definedName name="lo" hidden="1">{"Str.1",#N/A,FALSE,"Aktiva";"Str.2",#N/A,FALSE,"Aktiva";"Str.3",#N/A,FALSE,"Aktiva";"Str.4",#N/A,FALSE,"Aktiva";"Str.5",#N/A,FALSE,"Aktiva";"str1",#N/A,FALSE,"Pasíva";"str2",#N/A,FALSE,"Pasíva";"str3",#N/A,FALSE,"Pasíva";"str4",#N/A,FALSE,"Pasíva";#N/A,#N/A,FALSE,"Dopl. k pasívům";"str1",#N/A,FALSE,"Podrozvaha-aktiva";"str2",#N/A,FALSE,"Podrozvaha-aktiva";"str1",#N/A,FALSE,"Podrozvaha-pasíva";"str2",#N/A,FALSE,"Podrozvaha-pasíva";"str3",#N/A,FALSE,"Podrozvaha-pasíva"}</definedName>
    <definedName name="m" hidden="1">{"Str.1",#N/A,FALSE,"Aktiva";"Str.2",#N/A,FALSE,"Aktiva";"Str.3",#N/A,FALSE,"Aktiva";"Str.4",#N/A,FALSE,"Aktiva";"Str.5",#N/A,FALSE,"Aktiva";"str1",#N/A,FALSE,"Pasíva";"str2",#N/A,FALSE,"Pasíva";"str3",#N/A,FALSE,"Pasíva";"str4",#N/A,FALSE,"Pasíva";#N/A,#N/A,FALSE,"Dopl. k pasívům";"str1",#N/A,FALSE,"Podrozvaha-aktiva";"str2",#N/A,FALSE,"Podrozvaha-aktiva";"str1",#N/A,FALSE,"Podrozvaha-pasíva";"str2",#N/A,FALSE,"Podrozvaha-pasíva";"str3",#N/A,FALSE,"Podrozvaha-pasíva"}</definedName>
    <definedName name="mmm" hidden="1">{"'Всего'!$A$1:$F$19"}</definedName>
    <definedName name="mn" hidden="1">{"'Всего'!$A$1:$F$19"}</definedName>
    <definedName name="new" hidden="1">{"'Всего'!$A$1:$F$19"}</definedName>
    <definedName name="nn" localSheetId="1" hidden="1">#REF!</definedName>
    <definedName name="nn" hidden="1">#REF!</definedName>
    <definedName name="NOK">[4]Курс!$B$10</definedName>
    <definedName name="od" hidden="1">{#N/A,#N/A,FALSE,"NBU rates 1999"}</definedName>
    <definedName name="oo" localSheetId="1" hidden="1">#REF!</definedName>
    <definedName name="oo" hidden="1">#REF!</definedName>
    <definedName name="PL_БРК_сокр" hidden="1">{#N/A,#N/A,FALSE,"т04"}</definedName>
    <definedName name="pp" localSheetId="1" hidden="1">#REF!</definedName>
    <definedName name="pp" hidden="1">#REF!</definedName>
    <definedName name="PwC" hidden="1">{#N/A,#N/A,FALSE,"NBU rates 1999"}</definedName>
    <definedName name="PwC_1" hidden="1">{#N/A,#N/A,FALSE,"NBU rates 1999"}</definedName>
    <definedName name="PwC_2" hidden="1">{#N/A,#N/A,FALSE,"NBU rates 1999"}</definedName>
    <definedName name="PwC_3" hidden="1">{#N/A,#N/A,FALSE,"NBU rates 1999"}</definedName>
    <definedName name="PwC_4" hidden="1">{#N/A,#N/A,FALSE,"NBU rates 1999"}</definedName>
    <definedName name="q" hidden="1">{#N/A,#N/A,FALSE,"т02бд"}</definedName>
    <definedName name="qef" localSheetId="1" hidden="1">#REF!</definedName>
    <definedName name="qef" hidden="1">#REF!</definedName>
    <definedName name="qf" hidden="1">{"'Всего'!$A$1:$F$19"}</definedName>
    <definedName name="qq" localSheetId="1" hidden="1">#REF!</definedName>
    <definedName name="qq" hidden="1">#REF!</definedName>
    <definedName name="qqq" hidden="1">{#N/A,#N/A,FALSE,"Supuestos";#N/A,#N/A,FALSE,"Totales";#N/A,#N/A,FALSE,"UTE TDF";#N/A,#N/A,FALSE,"C. AUSTRAL";#N/A,#N/A,FALSE,"L. ATRAVESADO";#N/A,#N/A,FALSE,"FERNANDEZ  ORO";#N/A,#N/A,FALSE,"PORTEZUELOS";#N/A,#N/A,FALSE,"25 MM";#N/A,#N/A,FALSE,"SAN ROQUE";#N/A,#N/A,FALSE,"A.  PICHANA"}</definedName>
    <definedName name="qqwfe" localSheetId="1" hidden="1">#REF!</definedName>
    <definedName name="qqwfe" hidden="1">#REF!</definedName>
    <definedName name="qwqw" hidden="1">{#N/A,#N/A,FALSE,"ОТЛАДКА"}</definedName>
    <definedName name="rrr" hidden="1">{#N/A,#N/A,FALSE,"NBU rates 1999"}</definedName>
    <definedName name="rtte" hidden="1">{"Str.1",#N/A,FALSE,"Aktiva";"Str.2",#N/A,FALSE,"Aktiva";"Str.3",#N/A,FALSE,"Aktiva";"Str.4",#N/A,FALSE,"Aktiva";"Str.5",#N/A,FALSE,"Aktiva";"str1",#N/A,FALSE,"Pasíva";"str2",#N/A,FALSE,"Pasíva";"str3",#N/A,FALSE,"Pasíva";"str4",#N/A,FALSE,"Pasíva";#N/A,#N/A,FALSE,"Dopl. k pasívům";"str1",#N/A,FALSE,"Podrozvaha-aktiva";"str2",#N/A,FALSE,"Podrozvaha-aktiva";"str1",#N/A,FALSE,"Podrozvaha-pasíva";"str2",#N/A,FALSE,"Podrozvaha-pasíva";"str3",#N/A,FALSE,"Podrozvaha-pasíva"}</definedName>
    <definedName name="rtyu" hidden="1">{"'Всего'!$A$1:$F$19"}</definedName>
    <definedName name="SAPBEXhrIndnt" hidden="1">1</definedName>
    <definedName name="SAPBEXrevision" hidden="1">1</definedName>
    <definedName name="SAPBEXsysID" hidden="1">"BPC"</definedName>
    <definedName name="SAPBEXwbID" hidden="1">"424YQWDV76GY1AK03TG0PXUNI"</definedName>
    <definedName name="sas" hidden="1">{"'Всего'!$A$1:$F$19"}</definedName>
    <definedName name="sdsss" localSheetId="1" hidden="1">#REF!</definedName>
    <definedName name="sdsss" hidden="1">#REF!</definedName>
    <definedName name="sencount" hidden="1">2</definedName>
    <definedName name="sg" hidden="1">{#N/A,#N/A,FALSE,"NBU rates 1999"}</definedName>
    <definedName name="solver_lhs1" localSheetId="1" hidden="1">#REF!</definedName>
    <definedName name="solver_lhs1" hidden="1">#REF!</definedName>
    <definedName name="solver_lhs2" localSheetId="1" hidden="1">#REF!</definedName>
    <definedName name="solver_lhs2" hidden="1">#REF!</definedName>
    <definedName name="solver_lhs3" localSheetId="1" hidden="1">#REF!</definedName>
    <definedName name="solver_lhs3" hidden="1">#REF!</definedName>
    <definedName name="solver_rel1" hidden="1">3</definedName>
    <definedName name="solver_rel2" hidden="1">3</definedName>
    <definedName name="solver_rel3" hidden="1">3</definedName>
    <definedName name="solver_rhs1" hidden="1">0</definedName>
    <definedName name="solver_rhs2" hidden="1">0</definedName>
    <definedName name="solver_rhs3" hidden="1">0</definedName>
    <definedName name="solver_sho" hidden="1">2</definedName>
    <definedName name="StudiaforTNK" hidden="1">{#N/A,#N/A,TRUE,"Пресса";#N/A,#N/A,TRUE,"Метро";#N/A,#N/A,TRUE,"Щиты";#N/A,#N/A,TRUE,"График";#N/A,#N/A,TRUE,"График"}</definedName>
    <definedName name="t" hidden="1">{#N/A,#N/A,FALSE,"NBU rates 1999"}</definedName>
    <definedName name="t05n" hidden="1">{#N/A,#N/A,FALSE,"т04"}</definedName>
    <definedName name="t05nn" hidden="1">{#N/A,#N/A,FALSE,"т04"}</definedName>
    <definedName name="teset" hidden="1">{#N/A,#N/A,FALSE,"SimInp1";#N/A,#N/A,FALSE,"SimInp2";#N/A,#N/A,FALSE,"SimOut1";#N/A,#N/A,FALSE,"SimOut2";#N/A,#N/A,FALSE,"SimOut3";#N/A,#N/A,FALSE,"SimOut4";#N/A,#N/A,FALSE,"SimOut5"}</definedName>
    <definedName name="TextRefCopyRangeCount" hidden="1">16</definedName>
    <definedName name="tmp" hidden="1">{#N/A,#N/A,FALSE,"NBU rates 1999"}</definedName>
    <definedName name="tmp_1" hidden="1">{#N/A,#N/A,FALSE,"NBU rates 1999"}</definedName>
    <definedName name="tmp_2" hidden="1">{#N/A,#N/A,FALSE,"NBU rates 1999"}</definedName>
    <definedName name="tmp_3" hidden="1">{#N/A,#N/A,FALSE,"NBU rates 1999"}</definedName>
    <definedName name="tmp_4" hidden="1">{#N/A,#N/A,FALSE,"NBU rates 1999"}</definedName>
    <definedName name="tt" hidden="1">{#N/A,#N/A,FALSE,"ОТЛАДКА"}</definedName>
    <definedName name="ttt" hidden="1">{#N/A,#N/A,FALSE,"NBU rates 1999"}</definedName>
    <definedName name="u" hidden="1">{"Str.1",#N/A,FALSE,"Aktiva";"Str.2",#N/A,FALSE,"Aktiva";"Str.3",#N/A,FALSE,"Aktiva";"Str.4",#N/A,FALSE,"Aktiva";"Str.5",#N/A,FALSE,"Aktiva";"str1",#N/A,FALSE,"Pasíva";"str2",#N/A,FALSE,"Pasíva";"str3",#N/A,FALSE,"Pasíva";"str4",#N/A,FALSE,"Pasíva";#N/A,#N/A,FALSE,"Dopl. k pasívům";"str1",#N/A,FALSE,"Podrozvaha-aktiva";"str2",#N/A,FALSE,"Podrozvaha-aktiva";"str1",#N/A,FALSE,"Podrozvaha-pasíva";"str2",#N/A,FALSE,"Podrozvaha-pasíva";"str3",#N/A,FALSE,"Podrozvaha-pasíva"}</definedName>
    <definedName name="USD">[4]Курс!$B$3</definedName>
    <definedName name="uu" localSheetId="1" hidden="1">#REF!</definedName>
    <definedName name="uu" hidden="1">#REF!</definedName>
    <definedName name="v" hidden="1">{"ris40_10_01",#N/A,TRUE,"RIS40_10";"ris40_10_02",#N/A,TRUE,"RIS40_10";"ris40_20_01",#N/A,TRUE,"RIS40_20";"ris40_20_02",#N/A,TRUE,"RIS40_20";"ris40_20_03",#N/A,TRUE,"RIS40_20";"ris40_30_01",#N/A,TRUE,"RIS40_30";"ris40_30_02",#N/A,TRUE,"RIS40_30"}</definedName>
    <definedName name="vv" localSheetId="1" hidden="1">#REF!</definedName>
    <definedName name="vv" hidden="1">#REF!</definedName>
    <definedName name="wer" hidden="1">{#N/A,#N/A,FALSE,"NBU rates 1999"}</definedName>
    <definedName name="wrn.04." hidden="1">{#N/A,#N/A,FALSE,"т02бд"}</definedName>
    <definedName name="wrn.22." hidden="1">{#N/A,#N/A,FALSE,"ОТЛАДКА"}</definedName>
    <definedName name="wrn.astek." hidden="1">{#N/A,#N/A,TRUE,"Пресса";#N/A,#N/A,TRUE,"Метро";#N/A,#N/A,TRUE,"Щиты";#N/A,#N/A,TRUE,"График";#N/A,#N/A,TRUE,"График"}</definedName>
    <definedName name="wrn.BOP_MIDTERM." hidden="1">{"BOP_TAB",#N/A,FALSE,"N";"MIDTERM_TAB",#N/A,FALSE,"O"}</definedName>
    <definedName name="wrn.ex." hidden="1">{#N/A,#N/A,FALSE,"NBU rates 1999"}</definedName>
    <definedName name="wrn.ex._1" hidden="1">{#N/A,#N/A,FALSE,"NBU rates 1999"}</definedName>
    <definedName name="wrn.ex._2" hidden="1">{#N/A,#N/A,FALSE,"NBU rates 1999"}</definedName>
    <definedName name="wrn.ex._3" hidden="1">{#N/A,#N/A,FALSE,"NBU rates 1999"}</definedName>
    <definedName name="wrn.ex._4" hidden="1">{#N/A,#N/A,FALSE,"NBU rates 1999"}</definedName>
    <definedName name="wrn.Input._.and._.output._.tables." hidden="1">{#N/A,#N/A,FALSE,"SimInp1";#N/A,#N/A,FALSE,"SimInp2";#N/A,#N/A,FALSE,"SimOut1";#N/A,#N/A,FALSE,"SimOut2";#N/A,#N/A,FALSE,"SimOut3";#N/A,#N/A,FALSE,"SimOut4";#N/A,#N/A,FALSE,"SimOut5"}</definedName>
    <definedName name="wrn.MDABOP." hidden="1">{"BOP_TAB",#N/A,FALSE,"N";"MIDTERM_TAB",#N/A,FALSE,"O";"FUND_CRED",#N/A,FALSE,"P";"DEBT_TAB1",#N/A,FALSE,"Q";"DEBT_TAB2",#N/A,FALSE,"Q";"FORFIN_TAB1",#N/A,FALSE,"R";"FORFIN_TAB2",#N/A,FALSE,"R";"BOP_ANALY",#N/A,FALSE,"U"}</definedName>
    <definedName name="wrn.MONA." hidden="1">{"MONA",#N/A,FALSE,"S"}</definedName>
    <definedName name="wrn.Monthly._.Report." hidden="1">{#N/A,#N/A,TRUE,"Title";#N/A,#N/A,TRUE,"BalanceSheetAssets";#N/A,#N/A,TRUE,"BalanceSheetLiabilities";#N/A,#N/A,TRUE,"EquityControl";#N/A,#N/A,TRUE,"IncomeStatementNature";#N/A,#N/A,TRUE,"NatureByDestination";#N/A,#N/A,TRUE,"IncomeStatement";#N/A,#N/A,TRUE,"Revenue";#N/A,#N/A,TRUE,"CashFlow";#N/A,#N/A,TRUE,"PropertyPlantEquipment"}</definedName>
    <definedName name="wrn.Output._.tables." hidden="1">{#N/A,#N/A,FALSE,"I";#N/A,#N/A,FALSE,"J";#N/A,#N/A,FALSE,"K";#N/A,#N/A,FALSE,"L";#N/A,#N/A,FALSE,"M";#N/A,#N/A,FALSE,"N";#N/A,#N/A,FALSE,"O"}</definedName>
    <definedName name="wrn.PL._.Report." hidden="1">{"Page1",#N/A,TRUE,"P&amp;LREP";"PAge 2",#N/A,TRUE,"P&amp;LREP";"Page3",#N/A,TRUE,"P&amp;LREP";"Page4",#N/A,TRUE,"P&amp;LREP"}</definedName>
    <definedName name="wrn.pq98o2a." hidden="1">{#N/A,#N/A,FALSE,"Supuestos";#N/A,#N/A,FALSE,"Totales";#N/A,#N/A,FALSE,"UTE TDF";#N/A,#N/A,FALSE,"C. AUSTRAL";#N/A,#N/A,FALSE,"L. ATRAVESADO";#N/A,#N/A,FALSE,"FERNANDEZ  ORO";#N/A,#N/A,FALSE,"PORTEZUELOS";#N/A,#N/A,FALSE,"25 MM";#N/A,#N/A,FALSE,"SAN ROQUE";#N/A,#N/A,FALSE,"A.  PICHANA"}</definedName>
    <definedName name="wrn.Presentační._.sestava." hidden="1">{"Str.1",#N/A,FALSE,"Aktiva";"Str.2",#N/A,FALSE,"Aktiva";"Str.3",#N/A,FALSE,"Aktiva";"Str.4",#N/A,FALSE,"Aktiva";"Str.5",#N/A,FALSE,"Aktiva";"str1",#N/A,FALSE,"Pasíva";"str2",#N/A,FALSE,"Pasíva";"str3",#N/A,FALSE,"Pasíva";"str4",#N/A,FALSE,"Pasíva";#N/A,#N/A,FALSE,"Dopl. k pasívům";"str1",#N/A,FALSE,"Podrozvaha-aktiva";"str2",#N/A,FALSE,"Podrozvaha-aktiva";"str1",#N/A,FALSE,"Podrozvaha-pasíva";"str2",#N/A,FALSE,"Podrozvaha-pasíva";"str3",#N/A,FALSE,"Podrozvaha-pasíva"}</definedName>
    <definedName name="wrn.Quartely._.Report." hidden="1">{#N/A,#N/A,TRUE,"Title";#N/A,#N/A,TRUE,"BalanceSheetAssets";#N/A,#N/A,TRUE,"BalanceSheetLiabilities";#N/A,#N/A,TRUE,"EquityControl";#N/A,#N/A,TRUE,"IncomeStatementNature";#N/A,#N/A,TRUE,"NatureByDestination";#N/A,#N/A,TRUE,"IncomeStatement";#N/A,#N/A,TRUE,"Revenue";#N/A,#N/A,TRUE,"CashFlow";#N/A,#N/A,TRUE,"PropertyPlantEquipment";#N/A,#N/A,TRUE,"Lease";#N/A,#N/A,TRUE,"IntangibleAssets";#N/A,#N/A,TRUE,"CashEquivalent";#N/A,#N/A,TRUE,"AccountsReceivable";#N/A,#N/A,TRUE,"Interco";#N/A,#N/A,TRUE,"DetailOfAccounts";#N/A,#N/A,TRUE,"GeographicInfo";#N/A,#N/A,TRUE,"FinancialRevenue"}</definedName>
    <definedName name="wrn.RISIFE40." hidden="1">{"ris40_10_01",#N/A,TRUE,"RIS40_10";"ris40_10_02",#N/A,TRUE,"RIS40_10";"ris40_20_01",#N/A,TRUE,"RIS40_20";"ris40_20_02",#N/A,TRUE,"RIS40_20";"ris40_20_03",#N/A,TRUE,"RIS40_20";"ris40_30_01",#N/A,TRUE,"RIS40_30";"ris40_30_02",#N/A,TRUE,"RIS40_30"}</definedName>
    <definedName name="wrn.Tab02." hidden="1">{#N/A,#N/A,TRUE,"Tab0201";#N/A,#N/A,TRUE,"Tab0202";#N/A,#N/A,TRUE,"Tab0203"}</definedName>
    <definedName name="wrn.tab05." hidden="1">{#N/A,#N/A,FALSE,"Tab0501";#N/A,#N/A,FALSE,"Tab0502";#N/A,#N/A,FALSE,"Tab0503";#N/A,#N/A,FALSE,"Tab0504";#N/A,#N/A,FALSE,"Tab0505"}</definedName>
    <definedName name="wrn.WEO." hidden="1">{"WEO",#N/A,FALSE,"T"}</definedName>
    <definedName name="wrn.Yearly._.Report." hidden="1">{#N/A,#N/A,TRUE,"Title";#N/A,#N/A,TRUE,"ControlSheet";#N/A,#N/A,TRUE,"BalanceSheetAssets";#N/A,#N/A,TRUE,"BalanceSheetLiabilities";#N/A,#N/A,TRUE,"EquityControl";#N/A,#N/A,TRUE,"IncomeStatementNature";#N/A,#N/A,TRUE,"NatureByDestination";#N/A,#N/A,TRUE,"IncomeStatement";#N/A,#N/A,TRUE,"Revenue";#N/A,#N/A,TRUE,"CashFlow";#N/A,#N/A,TRUE,"PropertyPlantEquipment";#N/A,#N/A,TRUE,"Lease";#N/A,#N/A,TRUE,"IntangibleAssets";#N/A,#N/A,TRUE,"CashEquivalent";#N/A,#N/A,TRUE,"AccountsReceivable";#N/A,#N/A,TRUE,"Interco";#N/A,#N/A,TRUE,"IncomeTaxes";#N/A,#N/A,TRUE,"DetailOfAccounts";#N/A,#N/A,TRUE,"RetirementPension";#N/A,#N/A,TRUE,"GeographicInfo";#N/A,#N/A,TRUE,"Depreciation";#N/A,#N/A,TRUE,"FinancialRevenue";#N/A,#N/A,TRUE,"PersonnelCost";#N/A,#N/A,TRUE,"Contingencies";#N/A,#N/A,TRUE,"UnadjustedDifferences"}</definedName>
    <definedName name="wrn.д02." hidden="1">{#N/A,#N/A,FALSE,"т02бд"}</definedName>
    <definedName name="wrn.т171банки." hidden="1">{#N/A,#N/A,FALSE,"т17-1банки (2)"}</definedName>
    <definedName name="ww" localSheetId="1" hidden="1">#REF!</definedName>
    <definedName name="ww" hidden="1">#REF!</definedName>
    <definedName name="xxx" localSheetId="1" hidden="1">'[1]Total Costs'!#REF!</definedName>
    <definedName name="xxx" hidden="1">'[1]Total Costs'!#REF!</definedName>
    <definedName name="yui" hidden="1">{"'Всего'!$A$1:$F$19"}</definedName>
    <definedName name="z" hidden="1">{#N/A,#N/A,FALSE,"Supuestos";#N/A,#N/A,FALSE,"Totales";#N/A,#N/A,FALSE,"UTE TDF";#N/A,#N/A,FALSE,"C. AUSTRAL";#N/A,#N/A,FALSE,"L. ATRAVESADO";#N/A,#N/A,FALSE,"FERNANDEZ  ORO";#N/A,#N/A,FALSE,"PORTEZUELOS";#N/A,#N/A,FALSE,"25 MM";#N/A,#N/A,FALSE,"SAN ROQUE";#N/A,#N/A,FALSE,"A.  PICHANA"}</definedName>
    <definedName name="Z_08E7AB65_DA52_484E_B9C0_6C2CB618839F_.wvu.PrintArea" localSheetId="1" hidden="1">#REF!</definedName>
    <definedName name="Z_08E7AB65_DA52_484E_B9C0_6C2CB618839F_.wvu.PrintArea" hidden="1">#REF!</definedName>
    <definedName name="Z_2FA7E934_2A07_11D3_B98F_00A0C9C75D97_.wvu.Cols" localSheetId="1" hidden="1">#REF!</definedName>
    <definedName name="Z_2FA7E934_2A07_11D3_B98F_00A0C9C75D97_.wvu.Cols" hidden="1">#REF!</definedName>
    <definedName name="Z_2FA7E934_2A07_11D3_B98F_00A0C9C75D97_.wvu.Rows" localSheetId="1" hidden="1">[6]свод!#REF!,[6]свод!#REF!,[6]свод!#REF!</definedName>
    <definedName name="Z_2FA7E934_2A07_11D3_B98F_00A0C9C75D97_.wvu.Rows" hidden="1">[6]свод!#REF!,[6]свод!#REF!,[6]свод!#REF!</definedName>
    <definedName name="Z_43335932_5DEE_11D3_8BE5_00A0C9C769AB_.wvu.Rows" localSheetId="1" hidden="1">[6]свод!#REF!,[6]свод!#REF!</definedName>
    <definedName name="Z_43335932_5DEE_11D3_8BE5_00A0C9C769AB_.wvu.Rows" hidden="1">[6]свод!#REF!,[6]свод!#REF!</definedName>
    <definedName name="Z_BB05C984_8CCC_4E85_BB6E_DCE07D9445F1_.wvu.Cols" hidden="1">[7]Фин!$G$1:$H$65536,[7]Фин!$J$1:$M$65536</definedName>
    <definedName name="Z_D3A71505_464F_11D3_8BF2_00A0C9C769DF_.wvu.Cols" localSheetId="1" hidden="1">#REF!,#REF!,#REF!,#REF!</definedName>
    <definedName name="Z_D3A71505_464F_11D3_8BF2_00A0C9C769DF_.wvu.Cols" hidden="1">#REF!,#REF!,#REF!,#REF!</definedName>
    <definedName name="Z_D3A71505_464F_11D3_8BF2_00A0C9C769DF_.wvu.FilterData" localSheetId="1" hidden="1">#REF!</definedName>
    <definedName name="Z_D3A71505_464F_11D3_8BF2_00A0C9C769DF_.wvu.FilterData" hidden="1">#REF!</definedName>
    <definedName name="Z_D3A71505_464F_11D3_8BF2_00A0C9C769DF_.wvu.Rows" localSheetId="1" hidden="1">#REF!</definedName>
    <definedName name="Z_D3A71505_464F_11D3_8BF2_00A0C9C769DF_.wvu.Rows" hidden="1">#REF!</definedName>
    <definedName name="Z_DBDCEDA1_29F9_11D3_8BE4_00A0C9C76A0C_.wvu.Rows" localSheetId="1" hidden="1">[6]свод!#REF!,[6]свод!#REF!</definedName>
    <definedName name="Z_DBDCEDA1_29F9_11D3_8BE4_00A0C9C76A0C_.wvu.Rows" hidden="1">[6]свод!#REF!,[6]свод!#REF!</definedName>
    <definedName name="Z1.wvu.Cols" hidden="1">[7]Фин!$G$1:$H$65536,[7]Фин!$J$1:$M$65536</definedName>
    <definedName name="zx" hidden="1">{#N/A,#N/A,TRUE,"Tab0201";#N/A,#N/A,TRUE,"Tab0202";#N/A,#N/A,TRUE,"Tab0203"}</definedName>
    <definedName name="zzzzzzz" localSheetId="1" hidden="1">#REF!</definedName>
    <definedName name="zzzzzzz" hidden="1">#REF!</definedName>
    <definedName name="вваыв" localSheetId="1" hidden="1">#REF!</definedName>
    <definedName name="вваыв" hidden="1">#REF!</definedName>
    <definedName name="д" localSheetId="1" hidden="1">#REF!</definedName>
    <definedName name="д" hidden="1">#REF!</definedName>
    <definedName name="дьл\" localSheetId="1" hidden="1">#REF!</definedName>
    <definedName name="дьл\" hidden="1">#REF!</definedName>
    <definedName name="е" hidden="1">{"'Всего'!$A$1:$F$19"}</definedName>
    <definedName name="ит" hidden="1">{#N/A,#N/A,FALSE,"NBU rates 1999"}</definedName>
    <definedName name="йцуцйвч" localSheetId="1" hidden="1">#REF!</definedName>
    <definedName name="йцуцйвч" hidden="1">#REF!</definedName>
    <definedName name="лфвырларфвжыд" hidden="1">{"'Всего'!$A$1:$F$19"}</definedName>
    <definedName name="ммм" hidden="1">{"'Всего'!$A$1:$F$19"}</definedName>
    <definedName name="ммм_1" hidden="1">{"'Всего'!$A$1:$F$19"}</definedName>
    <definedName name="ммм_2" hidden="1">{"'Всего'!$A$1:$F$19"}</definedName>
    <definedName name="ммм_3" hidden="1">{"'Всего'!$A$1:$F$19"}</definedName>
    <definedName name="ммм_4" hidden="1">{"'Всего'!$A$1:$F$19"}</definedName>
    <definedName name="ннннннн" hidden="1">{"BOP_TAB",#N/A,FALSE,"N";"MIDTERM_TAB",#N/A,FALSE,"O";"FUND_CRED",#N/A,FALSE,"P";"DEBT_TAB1",#N/A,FALSE,"Q";"DEBT_TAB2",#N/A,FALSE,"Q";"FORFIN_TAB1",#N/A,FALSE,"R";"FORFIN_TAB2",#N/A,FALSE,"R";"BOP_ANALY",#N/A,FALSE,"U"}</definedName>
    <definedName name="о" hidden="1">{"Str.1",#N/A,FALSE,"Aktiva";"Str.2",#N/A,FALSE,"Aktiva";"Str.3",#N/A,FALSE,"Aktiva";"Str.4",#N/A,FALSE,"Aktiva";"Str.5",#N/A,FALSE,"Aktiva";"str1",#N/A,FALSE,"Pasíva";"str2",#N/A,FALSE,"Pasíva";"str3",#N/A,FALSE,"Pasíva";"str4",#N/A,FALSE,"Pasíva";#N/A,#N/A,FALSE,"Dopl. k pasívům";"str1",#N/A,FALSE,"Podrozvaha-aktiva";"str2",#N/A,FALSE,"Podrozvaha-aktiva";"str1",#N/A,FALSE,"Podrozvaha-pasíva";"str2",#N/A,FALSE,"Podrozvaha-pasíva";"str3",#N/A,FALSE,"Podrozvaha-pasíva"}</definedName>
    <definedName name="РАЫРПОРЛОРФ" hidden="1">{#N/A,#N/A,FALSE,"т17-1банки (2)"}</definedName>
    <definedName name="ррпеак" hidden="1">{"MONA",#N/A,FALSE,"S"}</definedName>
    <definedName name="рррррр" hidden="1">{#N/A,#N/A,FALSE,"SimInp1";#N/A,#N/A,FALSE,"SimInp2";#N/A,#N/A,FALSE,"SimOut1";#N/A,#N/A,FALSE,"SimOut2";#N/A,#N/A,FALSE,"SimOut3";#N/A,#N/A,FALSE,"SimOut4";#N/A,#N/A,FALSE,"SimOut5"}</definedName>
    <definedName name="ршнш" hidden="1">{#N/A,#N/A,FALSE,"т17-1банки (2)"}</definedName>
    <definedName name="СВОД" hidden="1">{"'Всего'!$A$1:$F$19"}</definedName>
    <definedName name="т05" hidden="1">{#N/A,#N/A,FALSE,"т04"}</definedName>
    <definedName name="там06_2010" hidden="1">{"BOP_TAB",#N/A,FALSE,"N";"MIDTERM_TAB",#N/A,FALSE,"O";"FUND_CRED",#N/A,FALSE,"P";"DEBT_TAB1",#N/A,FALSE,"Q";"DEBT_TAB2",#N/A,FALSE,"Q";"FORFIN_TAB1",#N/A,FALSE,"R";"FORFIN_TAB2",#N/A,FALSE,"R";"BOP_ANALY",#N/A,FALSE,"U"}</definedName>
    <definedName name="тор" hidden="1">{#N/A,#N/A,TRUE,"Пресса";#N/A,#N/A,TRUE,"Метро";#N/A,#N/A,TRUE,"Щиты";#N/A,#N/A,TRUE,"График";#N/A,#N/A,TRUE,"График"}</definedName>
    <definedName name="ф" hidden="1">{"'Всего'!$A$1:$F$19"}</definedName>
    <definedName name="цууууууууууу" hidden="1">{0}</definedName>
    <definedName name="шо" hidden="1">{"'Всего'!$A$1:$F$19"}</definedName>
    <definedName name="ЫВВЫВЫВ" localSheetId="1" hidden="1">#REF!</definedName>
    <definedName name="ЫВВЫВЫВ" hidden="1">#REF!</definedName>
    <definedName name="ывфа" hidden="1">{"Str.1",#N/A,FALSE,"Aktiva";"Str.2",#N/A,FALSE,"Aktiva";"Str.3",#N/A,FALSE,"Aktiva";"Str.4",#N/A,FALSE,"Aktiva";"Str.5",#N/A,FALSE,"Aktiva";"str1",#N/A,FALSE,"Pasíva";"str2",#N/A,FALSE,"Pasíva";"str3",#N/A,FALSE,"Pasíva";"str4",#N/A,FALSE,"Pasíva";#N/A,#N/A,FALSE,"Dopl. k pasívům";"str1",#N/A,FALSE,"Podrozvaha-aktiva";"str2",#N/A,FALSE,"Podrozvaha-aktiva";"str1",#N/A,FALSE,"Podrozvaha-pasíva";"str2",#N/A,FALSE,"Podrozvaha-pasíva";"str3",#N/A,FALSE,"Podrozvaha-pasíva"}</definedName>
    <definedName name="элд" hidden="1">{"'Всего'!$A$1:$F$19"}</definedName>
  </definedNames>
  <calcPr calcId="191029" calcMode="manual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Y9" i="1" l="1"/>
  <c r="AY10" i="1"/>
  <c r="AY8" i="1"/>
  <c r="AV8" i="1"/>
  <c r="AV7" i="1" l="1"/>
  <c r="AV9" i="1" l="1"/>
  <c r="AV10" i="1"/>
  <c r="BB8" i="1" l="1"/>
  <c r="BC8" i="1" s="1"/>
  <c r="BB9" i="1"/>
  <c r="BC9" i="1" s="1"/>
  <c r="BB10" i="1"/>
  <c r="BB7" i="1"/>
  <c r="BC7" i="1" s="1"/>
  <c r="AY7" i="1"/>
  <c r="BC10" i="1" l="1"/>
  <c r="AU7" i="1" l="1"/>
  <c r="AT7" i="1"/>
  <c r="X7" i="1"/>
  <c r="M3" i="11"/>
  <c r="K12" i="11"/>
  <c r="J12" i="11"/>
  <c r="J14" i="11" s="1"/>
  <c r="BA6" i="1" l="1"/>
  <c r="AZ7" i="1"/>
  <c r="J13" i="11"/>
  <c r="J15" i="11"/>
  <c r="C1" i="1" l="1"/>
  <c r="C3" i="1" s="1"/>
  <c r="AT10" i="1"/>
  <c r="AT9" i="1"/>
  <c r="AT8" i="1"/>
  <c r="X10" i="1"/>
  <c r="AZ10" i="1" s="1"/>
  <c r="X9" i="1"/>
  <c r="AZ9" i="1" s="1"/>
  <c r="X8" i="1"/>
  <c r="AZ8" i="1" s="1"/>
  <c r="G2" i="10" l="1"/>
  <c r="G3" i="10"/>
  <c r="G4" i="10"/>
  <c r="G5" i="10"/>
  <c r="G6" i="10"/>
  <c r="AU10" i="1" l="1"/>
  <c r="AU9" i="1"/>
  <c r="AU8" i="1"/>
  <c r="K15" i="11" l="1"/>
  <c r="K13" i="11"/>
  <c r="K14" i="11"/>
  <c r="M23" i="8" l="1"/>
  <c r="O17" i="8"/>
  <c r="O16" i="8"/>
  <c r="O15" i="8"/>
  <c r="O14" i="8"/>
  <c r="O13" i="8"/>
  <c r="O12" i="8"/>
  <c r="O11" i="8"/>
  <c r="O10" i="8"/>
  <c r="O9" i="8"/>
  <c r="O8" i="8"/>
  <c r="O7" i="8"/>
  <c r="O6" i="8"/>
  <c r="O5" i="8"/>
  <c r="O4" i="8"/>
  <c r="O3" i="8"/>
  <c r="O2" i="8"/>
  <c r="O23" i="8" l="1"/>
</calcChain>
</file>

<file path=xl/sharedStrings.xml><?xml version="1.0" encoding="utf-8"?>
<sst xmlns="http://schemas.openxmlformats.org/spreadsheetml/2006/main" count="209" uniqueCount="114">
  <si>
    <t>Uid заявки</t>
  </si>
  <si>
    <t>Статус</t>
  </si>
  <si>
    <t>Окпо</t>
  </si>
  <si>
    <t>Клиент</t>
  </si>
  <si>
    <t>sq1</t>
  </si>
  <si>
    <t>sq2</t>
  </si>
  <si>
    <t>sq3</t>
  </si>
  <si>
    <t>sq4</t>
  </si>
  <si>
    <t>sq5</t>
  </si>
  <si>
    <t>sq6</t>
  </si>
  <si>
    <t>sq7</t>
  </si>
  <si>
    <t>sq8</t>
  </si>
  <si>
    <t>sq9</t>
  </si>
  <si>
    <t>sq10</t>
  </si>
  <si>
    <t>sq11</t>
  </si>
  <si>
    <t>sq12</t>
  </si>
  <si>
    <t>sq13</t>
  </si>
  <si>
    <t>sq14</t>
  </si>
  <si>
    <t>sq15</t>
  </si>
  <si>
    <t>sq16</t>
  </si>
  <si>
    <t>sq17</t>
  </si>
  <si>
    <t>sq18</t>
  </si>
  <si>
    <t>sq19</t>
  </si>
  <si>
    <t>sq20</t>
  </si>
  <si>
    <t>sq21</t>
  </si>
  <si>
    <t>C</t>
  </si>
  <si>
    <t>A</t>
  </si>
  <si>
    <t>B</t>
  </si>
  <si>
    <t>D</t>
  </si>
  <si>
    <t>E</t>
  </si>
  <si>
    <t>F</t>
  </si>
  <si>
    <t>I</t>
  </si>
  <si>
    <t>G</t>
  </si>
  <si>
    <t>H</t>
  </si>
  <si>
    <t>RequestUid</t>
  </si>
  <si>
    <t>TransactorName</t>
  </si>
  <si>
    <t>OuterId</t>
  </si>
  <si>
    <t>CreatedDate</t>
  </si>
  <si>
    <t>статус</t>
  </si>
  <si>
    <t>вес вопроса</t>
  </si>
  <si>
    <t>&lt;10</t>
  </si>
  <si>
    <t>Уровень валютных рисков</t>
  </si>
  <si>
    <t xml:space="preserve">динамика Z показателя </t>
  </si>
  <si>
    <t>бал из матрицы переходов</t>
  </si>
  <si>
    <t>бизнес-план</t>
  </si>
  <si>
    <t>БАЛ</t>
  </si>
  <si>
    <t>STOP</t>
  </si>
  <si>
    <t>шт</t>
  </si>
  <si>
    <t>поручительство</t>
  </si>
  <si>
    <t>есть</t>
  </si>
  <si>
    <t>нет</t>
  </si>
  <si>
    <t>пров</t>
  </si>
  <si>
    <t>стоп</t>
  </si>
  <si>
    <t>Дата 1</t>
  </si>
  <si>
    <t>Утверждена</t>
  </si>
  <si>
    <t>упр</t>
  </si>
  <si>
    <t>Рынок, на котором работает клиент &amp; Позиция на рынке</t>
  </si>
  <si>
    <t>Уровень рисков, связанных с финансовой, инвестиционной и рыночной политикой, планами компании по долгам и инвестициям</t>
  </si>
  <si>
    <t>Кредитная история с банком (год получения первого продукта)</t>
  </si>
  <si>
    <t>Характеристика отрасли и перспективы стабильного роста</t>
  </si>
  <si>
    <t>Качество предоставляемой финансовой отчетности</t>
  </si>
  <si>
    <t>Наличие максимальной просрочки за последение 36 мес (в днях)</t>
  </si>
  <si>
    <t>Репутация</t>
  </si>
  <si>
    <t>Организационная структура и преемственность</t>
  </si>
  <si>
    <t>Риск дебиторской задолженности</t>
  </si>
  <si>
    <t>Оценка запасов</t>
  </si>
  <si>
    <t>Зависимость Заемщика от финансовой поддержки собственника (других компаний собственника вне анализируемого периметра)</t>
  </si>
  <si>
    <t>Распределение прибыли, в т.ч. управленческой за последний год</t>
  </si>
  <si>
    <t>Доля эксорта в структуре продаж</t>
  </si>
  <si>
    <t>Бизнес зависим от ключевого собственника/сотрудника</t>
  </si>
  <si>
    <t xml:space="preserve">Концентрация ТОП-3 покупателей </t>
  </si>
  <si>
    <t>Изменения в составе собственников и/или менеджмента, которые могут негативно повлиять на бизнес</t>
  </si>
  <si>
    <t>Информация о возможном мошенничестве (в частности, несоответствия в предоставляемой информации или соответствующее заключение собственной службы безопасности)</t>
  </si>
  <si>
    <t>Возбуждение в отношении руководителей и конечных собственников уголовных дел, в том числе за совершение преступлений в сфере экономики, которые могут существенно повлиять на деятельность контрагента</t>
  </si>
  <si>
    <t>Попытки рейдерских атак на контрагента (за последние 3 года)</t>
  </si>
  <si>
    <t>Информация о возбуждении клиентом уголовных дел против банков (в том числе поручителем / залогодателем / залогодержателем о признании договоров недействительными)</t>
  </si>
  <si>
    <t>Информация о судебных процессах против клиента имущественного характера (более 10% активов или 10% годовой выручки)</t>
  </si>
  <si>
    <t>Потеря основного покупателя / поставщика (с долей 50% и более за последний полный календарный год)</t>
  </si>
  <si>
    <t>Арест счетов в ПУМБ / счетов в других банках (более 200 тыс. гривен)</t>
  </si>
  <si>
    <t>Имеются доказательства мошенничества, по мнению правоохранительных органов или служб внутренней безопасности, которые могут привести к значительному ухудшению финансового состояния.</t>
  </si>
  <si>
    <t>Существенное нарушение основных операций контрагента - стихийное бедствие, реализация экологических рисков, рисков для здоровья и безопасности (не отражено в финансовой отчетности)</t>
  </si>
  <si>
    <t>Клиент не подтверждает платежи в течение следующих двух месяцев</t>
  </si>
  <si>
    <t>Информация о продаже активов клиентом (&gt; 30% критически важных для бизнеса активов)</t>
  </si>
  <si>
    <t>Просрочка платежа от 30 до 60 календарных дней подряд за последний год банку или другим кредиторам за последние 36 месяцев</t>
  </si>
  <si>
    <t>Просрочка платежа от 60 до 90 календарных дней подряд за последний год банку или другим кредиторам за последние 36 месяцев</t>
  </si>
  <si>
    <t>Просрочка платежа более 90 календарных дней (дефолт) банку или другим кредиторам за последние 36 месяцев</t>
  </si>
  <si>
    <t>**</t>
  </si>
  <si>
    <t>4.</t>
  </si>
  <si>
    <t>2 или меньше</t>
  </si>
  <si>
    <t>от 3 до 5</t>
  </si>
  <si>
    <t>С</t>
  </si>
  <si>
    <t>от 6 до 9</t>
  </si>
  <si>
    <t>10 и больше</t>
  </si>
  <si>
    <t>Перевод вопроса №4</t>
  </si>
  <si>
    <t>было</t>
  </si>
  <si>
    <t>стало</t>
  </si>
  <si>
    <t>Було:</t>
  </si>
  <si>
    <t>Разница</t>
  </si>
  <si>
    <t>Коммент</t>
  </si>
  <si>
    <t>Прошлая дата с 01.01.2025</t>
  </si>
  <si>
    <t>Дата установки статуса_Модифікована</t>
  </si>
  <si>
    <t>БАЛ с 01.12.2025</t>
  </si>
  <si>
    <t>Сравнение с 01.12.2025</t>
  </si>
  <si>
    <r>
      <rPr>
        <b/>
        <sz val="11"/>
        <color rgb="FFFF0000"/>
        <rFont val="Calibri"/>
        <family val="2"/>
        <charset val="204"/>
        <scheme val="minor"/>
      </rPr>
      <t>18 міс!</t>
    </r>
    <r>
      <rPr>
        <sz val="11"/>
        <color rgb="FFFF0000"/>
        <rFont val="Calibri"/>
        <family val="2"/>
        <charset val="204"/>
        <scheme val="minor"/>
      </rPr>
      <t xml:space="preserve"> 
</t>
    </r>
  </si>
  <si>
    <t>5B665B06-0BB1-295B-B159-980D66DBEB22</t>
  </si>
  <si>
    <t>9BCC5028-95F0-2F19-B51C-D05915F5666B</t>
  </si>
  <si>
    <t>DFE505EE-5D9F-2EC8-B525-295C695989FF</t>
  </si>
  <si>
    <t>50BDC290-5B5C-229D-B55E-12B0BDB925CE</t>
  </si>
  <si>
    <t>B52F69DF-9918-290B-89EE-BE5818B61899</t>
  </si>
  <si>
    <t>ТОВ "Бусінка"</t>
  </si>
  <si>
    <t>ТОВ "Корівка"</t>
  </si>
  <si>
    <t>АТ "Білочка"</t>
  </si>
  <si>
    <t>ТОВ "Морозиво"</t>
  </si>
  <si>
    <t>ТОВ "Цукерка"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</si>
</sst>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#,##0.000"/>
    <numFmt numFmtId="166" formatCode="0.0%"/>
  </numFmts>
  <fonts count="11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u/>
      <sz val="9.5"/>
      <color rgb="FF203864"/>
      <name val="Consolas"/>
      <family val="3"/>
      <charset val="204"/>
    </font>
    <font>
      <sz val="11"/>
      <name val="Calibri"/>
      <family val="2"/>
      <charset val="204"/>
      <scheme val="minor"/>
    </font>
    <font>
      <sz val="10"/>
      <color rgb="FF5E5E5E"/>
      <name val="Arial"/>
      <family val="2"/>
      <charset val="204"/>
    </font>
    <font>
      <sz val="9"/>
      <color rgb="FF5E5E5E"/>
      <name val="Arial"/>
      <family val="2"/>
      <charset val="204"/>
    </font>
    <font>
      <sz val="8"/>
      <color rgb="FF5E5E5E"/>
      <name val="Arial"/>
      <family val="2"/>
      <charset val="204"/>
    </font>
    <font>
      <sz val="8"/>
      <color theme="1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EEEEEE"/>
      </top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</cellStyleXfs>
  <cellXfs count="66">
    <xf numFmtId="0" fontId="0" fillId="0" borderId="0" xfId="0"/>
    <xf numFmtId="14" fontId="0" fillId="0" borderId="0" xfId="0" applyNumberFormat="1"/>
    <xf numFmtId="11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0" fontId="0" fillId="0" borderId="0" xfId="0" applyFill="1"/>
    <xf numFmtId="0" fontId="0" fillId="3" borderId="0" xfId="0" applyFill="1" applyAlignment="1">
      <alignment horizontal="center"/>
    </xf>
    <xf numFmtId="0" fontId="0" fillId="0" borderId="1" xfId="0" applyBorder="1" applyAlignment="1">
      <alignment horizontal="center"/>
    </xf>
    <xf numFmtId="0" fontId="3" fillId="0" borderId="0" xfId="0" applyFont="1" applyAlignment="1"/>
    <xf numFmtId="0" fontId="4" fillId="3" borderId="0" xfId="0" applyFont="1" applyFill="1" applyAlignment="1"/>
    <xf numFmtId="10" fontId="0" fillId="0" borderId="0" xfId="0" applyNumberFormat="1"/>
    <xf numFmtId="165" fontId="0" fillId="0" borderId="0" xfId="0" applyNumberFormat="1"/>
    <xf numFmtId="0" fontId="0" fillId="4" borderId="0" xfId="0" applyFill="1"/>
    <xf numFmtId="164" fontId="0" fillId="0" borderId="0" xfId="0" applyNumberFormat="1"/>
    <xf numFmtId="0" fontId="3" fillId="0" borderId="0" xfId="0" applyFont="1" applyAlignment="1">
      <alignment vertical="center"/>
    </xf>
    <xf numFmtId="10" fontId="0" fillId="0" borderId="0" xfId="1" applyNumberFormat="1" applyFont="1"/>
    <xf numFmtId="0" fontId="0" fillId="0" borderId="0" xfId="0" applyAlignment="1"/>
    <xf numFmtId="166" fontId="0" fillId="0" borderId="0" xfId="1" applyNumberFormat="1" applyFont="1"/>
    <xf numFmtId="2" fontId="0" fillId="0" borderId="0" xfId="0" applyNumberFormat="1"/>
    <xf numFmtId="0" fontId="0" fillId="0" borderId="0" xfId="0" applyFill="1" applyAlignment="1">
      <alignment horizontal="center"/>
    </xf>
    <xf numFmtId="10" fontId="0" fillId="5" borderId="0" xfId="1" applyNumberFormat="1" applyFont="1" applyFill="1"/>
    <xf numFmtId="166" fontId="0" fillId="7" borderId="0" xfId="0" applyNumberFormat="1" applyFill="1"/>
    <xf numFmtId="14" fontId="0" fillId="0" borderId="0" xfId="0" applyNumberFormat="1" applyFill="1"/>
    <xf numFmtId="11" fontId="0" fillId="0" borderId="0" xfId="0" applyNumberFormat="1" applyFill="1"/>
    <xf numFmtId="0" fontId="0" fillId="7" borderId="0" xfId="0" applyFill="1" applyAlignment="1">
      <alignment horizontal="center"/>
    </xf>
    <xf numFmtId="0" fontId="0" fillId="8" borderId="0" xfId="0" applyFill="1"/>
    <xf numFmtId="0" fontId="5" fillId="0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4" fillId="8" borderId="0" xfId="0" applyFont="1" applyFill="1" applyAlignment="1"/>
    <xf numFmtId="10" fontId="0" fillId="2" borderId="0" xfId="0" applyNumberFormat="1" applyFill="1"/>
    <xf numFmtId="0" fontId="5" fillId="8" borderId="0" xfId="0" applyFont="1" applyFill="1" applyBorder="1" applyAlignment="1">
      <alignment vertical="center"/>
    </xf>
    <xf numFmtId="2" fontId="0" fillId="0" borderId="0" xfId="0" applyNumberFormat="1" applyAlignment="1">
      <alignment wrapText="1"/>
    </xf>
    <xf numFmtId="0" fontId="2" fillId="0" borderId="0" xfId="0" applyFont="1" applyFill="1"/>
    <xf numFmtId="0" fontId="4" fillId="0" borderId="0" xfId="0" applyFont="1" applyFill="1"/>
    <xf numFmtId="1" fontId="4" fillId="3" borderId="0" xfId="0" applyNumberFormat="1" applyFont="1" applyFill="1" applyAlignment="1"/>
    <xf numFmtId="0" fontId="0" fillId="0" borderId="0" xfId="0" applyFill="1" applyAlignment="1">
      <alignment horizontal="left" vertical="top" wrapText="1"/>
    </xf>
    <xf numFmtId="4" fontId="0" fillId="6" borderId="0" xfId="0" applyNumberFormat="1" applyFill="1"/>
    <xf numFmtId="0" fontId="5" fillId="0" borderId="2" xfId="0" applyFont="1" applyFill="1" applyBorder="1" applyAlignment="1">
      <alignment vertical="top" wrapText="1"/>
    </xf>
    <xf numFmtId="0" fontId="5" fillId="8" borderId="2" xfId="0" applyFont="1" applyFill="1" applyBorder="1" applyAlignment="1">
      <alignment vertical="top" wrapText="1"/>
    </xf>
    <xf numFmtId="0" fontId="6" fillId="9" borderId="2" xfId="0" applyFont="1" applyFill="1" applyBorder="1" applyAlignment="1">
      <alignment vertical="center"/>
    </xf>
    <xf numFmtId="0" fontId="7" fillId="9" borderId="2" xfId="0" applyFont="1" applyFill="1" applyBorder="1" applyAlignment="1">
      <alignment vertical="center"/>
    </xf>
    <xf numFmtId="0" fontId="8" fillId="9" borderId="0" xfId="2" applyFont="1" applyFill="1"/>
    <xf numFmtId="0" fontId="0" fillId="0" borderId="0" xfId="0" applyFill="1" applyAlignment="1">
      <alignment horizontal="left" vertical="center" wrapText="1"/>
    </xf>
    <xf numFmtId="0" fontId="8" fillId="0" borderId="0" xfId="0" applyFont="1" applyFill="1" applyAlignment="1">
      <alignment vertical="center"/>
    </xf>
    <xf numFmtId="0" fontId="8" fillId="0" borderId="0" xfId="2" applyFont="1"/>
    <xf numFmtId="0" fontId="4" fillId="6" borderId="0" xfId="0" applyFont="1" applyFill="1" applyAlignment="1"/>
    <xf numFmtId="0" fontId="0" fillId="6" borderId="0" xfId="0" applyFill="1" applyAlignment="1">
      <alignment horizontal="left"/>
    </xf>
    <xf numFmtId="0" fontId="1" fillId="0" borderId="0" xfId="3"/>
    <xf numFmtId="0" fontId="2" fillId="0" borderId="0" xfId="0" applyFont="1"/>
    <xf numFmtId="1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4" fontId="0" fillId="2" borderId="0" xfId="0" applyNumberFormat="1" applyFill="1"/>
    <xf numFmtId="1" fontId="0" fillId="2" borderId="0" xfId="0" applyNumberFormat="1" applyFill="1"/>
    <xf numFmtId="14" fontId="2" fillId="0" borderId="0" xfId="0" applyNumberFormat="1" applyFont="1" applyAlignment="1">
      <alignment wrapText="1"/>
    </xf>
    <xf numFmtId="0" fontId="0" fillId="2" borderId="0" xfId="0" applyFill="1" applyAlignment="1">
      <alignment horizontal="center"/>
    </xf>
    <xf numFmtId="0" fontId="0" fillId="10" borderId="0" xfId="0" applyFill="1"/>
    <xf numFmtId="0" fontId="10" fillId="0" borderId="0" xfId="0" applyFont="1" applyFill="1"/>
    <xf numFmtId="10" fontId="0" fillId="0" borderId="0" xfId="0" applyNumberFormat="1" applyFill="1"/>
    <xf numFmtId="10" fontId="0" fillId="10" borderId="0" xfId="0" applyNumberFormat="1" applyFill="1"/>
    <xf numFmtId="10" fontId="0" fillId="7" borderId="0" xfId="0" applyNumberFormat="1" applyFill="1"/>
    <xf numFmtId="1" fontId="0" fillId="0" borderId="0" xfId="0" applyNumberFormat="1"/>
    <xf numFmtId="0" fontId="0" fillId="11" borderId="0" xfId="0" applyFill="1" applyAlignment="1">
      <alignment horizontal="center"/>
    </xf>
    <xf numFmtId="0" fontId="0" fillId="11" borderId="0" xfId="0" applyFill="1"/>
    <xf numFmtId="0" fontId="0" fillId="0" borderId="0" xfId="0" applyFill="1" applyAlignment="1">
      <alignment horizontal="left"/>
    </xf>
    <xf numFmtId="14" fontId="0" fillId="0" borderId="0" xfId="0" applyNumberFormat="1" applyAlignment="1">
      <alignment horizontal="left"/>
    </xf>
    <xf numFmtId="14" fontId="0" fillId="12" borderId="0" xfId="0" applyNumberFormat="1" applyFill="1"/>
  </cellXfs>
  <cellStyles count="4">
    <cellStyle name="Відсотковий" xfId="1" builtinId="5"/>
    <cellStyle name="Звичайний" xfId="0" builtinId="0"/>
    <cellStyle name="Обычный 2" xfId="3" xr:uid="{00000000-0005-0000-0000-000002000000}"/>
    <cellStyle name="Обычный 5" xfId="2" xr:uid="{00000000-0005-0000-0000-000003000000}"/>
  </cellStyles>
  <dxfs count="6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externalLink" Target="externalLinks/externalLink8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externalLink" Target="externalLinks/externalLink7.xml"/><Relationship Id="rId5" Type="http://schemas.openxmlformats.org/officeDocument/2006/relationships/externalLink" Target="externalLinks/externalLink1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Finance\MANACC\Budget00\Costs\costsummTEMP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uib.com\kho\Documents%20and%20Settings\aandreev\Application%20Data\Microsoft\Excel\XLSTART\Skzhfi1\Users\IAS%2001.07.02\Conversion\Sec_Quote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uib.com\kho\My%20Documents\PROJECTS\TAS\Audit%20Final\TAS%20Invest\Yield%20analysis\PBC%20Yield\&#1087;.78++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uib.com\kho\UKA.DRKK_NBU\Credit%20Risk\2018.09.01\Svod_01.09.2018_351_new_v7_PD_&#1073;&#1072;&#1083;&#1083;.xlsb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125001001\users\can\My%20Documents\DNB\AUGUST%2002%20MONTHEND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uib.com\kho\My%20Clients\UkrSib%20Bank\1Q%202008\My%20workings\Interbank\&#1076;&#1077;&#1087;&#1086;&#1079;&#1080;&#1090;&#1099;%20&#1102;&#1088;&#1083;&#1080;&#1094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uib.com\kho\RSBANK\REPORT\FIN_RES\CURRENT.XLS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fuib.com\kho\VAZ\&#1050;&#1088;&#1077;&#1076;&#1080;&#1090;&#1085;&#1080;&#1081;%20&#1088;&#1080;&#1079;&#1080;&#1082;\2025\2025.12.01\PD%2012\Pd_01%2012%202025.xlsx" TargetMode="External"/><Relationship Id="rId1" Type="http://schemas.openxmlformats.org/officeDocument/2006/relationships/externalLinkPath" Target="file:///\\fuib.com\kho\VAZ\&#1050;&#1088;&#1077;&#1076;&#1080;&#1090;&#1085;&#1080;&#1081;%20&#1088;&#1080;&#1079;&#1080;&#1082;\2025\2025.12.01\PD%2012\Pd_01%2012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BusinessQuery#"/>
      <sheetName val="Total Costs"/>
      <sheetName val="Total Costs (2)"/>
      <sheetName val="Sheet1"/>
      <sheetName val="Sheet2"/>
      <sheetName val="Sheet3"/>
      <sheetName val="Versions_PL2"/>
      <sheetName val="список"/>
      <sheetName val="Лист1"/>
      <sheetName val="Слайд 1"/>
      <sheetName val="Лист5"/>
      <sheetName val="Выпадающий список"/>
      <sheetName val="Лист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Векселя"/>
      <sheetName val="State"/>
      <sheetName val="Eurobonds"/>
      <sheetName val="Subfed_Mos"/>
      <sheetName val="Subfed SpB"/>
      <sheetName val="MFB"/>
      <sheetName val="RTS"/>
      <sheetName val="MICEX_Corp_&amp;_Reg_Bonds"/>
      <sheetName val="MICEX_Corp_Shares"/>
      <sheetName val="RUS FED 18 LIFO"/>
      <sheetName val="переброска"/>
      <sheetName val="Sheet2"/>
      <sheetName val="#ССЫЛКА"/>
      <sheetName val="BA-аванс"/>
      <sheetName val="Откр_поз"/>
      <sheetName val="Реализация"/>
      <sheetName val="SA-курс"/>
      <sheetName val="BA-курс"/>
      <sheetName val="РУБ_счет"/>
      <sheetName val="ВАЛ_счет"/>
      <sheetName val="баланс"/>
      <sheetName val="SA-задолж"/>
      <sheetName val="ВА-задолж"/>
      <sheetName val="Выпадающий список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VG rates PBC"/>
      <sheetName val="XLR_NoRangeSheet"/>
      <sheetName val="AVG_rates_PBC"/>
      <sheetName val="справочники"/>
    </sheetNames>
    <sheetDataSet>
      <sheetData sheetId="0" refreshError="1"/>
      <sheetData sheetId="1" refreshError="1">
        <row r="6">
          <cell r="D6" t="str">
            <v>Середньозважені відсоткові ставки за активами та зобов’язаннями</v>
          </cell>
        </row>
      </sheetData>
      <sheetData sheetId="2" refreshError="1"/>
      <sheetData sheetId="3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Для сценария"/>
      <sheetName val="протокол"/>
      <sheetName val="балансы"/>
      <sheetName val="пров"/>
      <sheetName val="svod"/>
      <sheetName val="Залог"/>
      <sheetName val="Cпр_кл"/>
      <sheetName val="GR"/>
      <sheetName val="GR_r"/>
      <sheetName val="Курс"/>
      <sheetName val="Спр_ФКР"/>
      <sheetName val="Спр_зал"/>
      <sheetName val="PD"/>
      <sheetName val="бал"/>
      <sheetName val="банкрот"/>
      <sheetName val="Списания"/>
      <sheetName val="data"/>
      <sheetName val="old"/>
      <sheetName val="по 10 кл"/>
      <sheetName val="залоги"/>
      <sheetName val="товар"/>
      <sheetName val="кред без залогов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B3">
            <v>28.279437000000001</v>
          </cell>
        </row>
        <row r="4">
          <cell r="B4">
            <v>33.064318</v>
          </cell>
        </row>
        <row r="10">
          <cell r="B10">
            <v>3.4016790000000001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8023"/>
      <sheetName val="8011"/>
      <sheetName val="liq"/>
      <sheetName val="cash pledge"/>
      <sheetName val="25% TESTING"/>
      <sheetName val="PL"/>
      <sheetName val="BS"/>
      <sheetName val="INT ON EQUIVALENT"/>
      <sheetName val="FIXED ASSETS"/>
      <sheetName val="8001"/>
      <sheetName val="8025"/>
      <sheetName val="TRANSACTION DETAILS"/>
      <sheetName val="DAILY DOWNLOAD"/>
      <sheetName val="MONTH END ADJUSTMENTS "/>
      <sheetName val="INT GAP"/>
      <sheetName val="fixed costs"/>
      <sheetName val="pl adjustments"/>
      <sheetName val="PL RAW DATA"/>
      <sheetName val="fx rates"/>
      <sheetName val="SWAPS"/>
      <sheetName val="CUSTOMERS"/>
      <sheetName val="COMISSIONS"/>
      <sheetName val="Sheet 1"/>
      <sheetName val="XLR_NoRangeSheet"/>
      <sheetName val="cash_pledge"/>
      <sheetName val="25%_TESTING"/>
      <sheetName val="INT_ON_EQUIVALENT"/>
      <sheetName val="FIXED_ASSETS"/>
      <sheetName val="TRANSACTION_DETAILS"/>
      <sheetName val="DAILY_DOWNLOAD"/>
      <sheetName val="MONTH_END_ADJUSTMENTS_"/>
      <sheetName val="INT_GAP"/>
      <sheetName val="fixed_costs"/>
      <sheetName val="pl_adjustments"/>
      <sheetName val="PL_RAW_DATA"/>
      <sheetName val="fx_rates"/>
      <sheetName val="Sheet_1"/>
      <sheetName val="cash_pledge1"/>
      <sheetName val="25%_TESTING1"/>
      <sheetName val="INT_ON_EQUIVALENT1"/>
      <sheetName val="FIXED_ASSETS1"/>
      <sheetName val="TRANSACTION_DETAILS1"/>
      <sheetName val="DAILY_DOWNLOAD1"/>
      <sheetName val="MONTH_END_ADJUSTMENTS_1"/>
      <sheetName val="INT_GAP1"/>
      <sheetName val="fixed_costs1"/>
      <sheetName val="pl_adjustments1"/>
      <sheetName val="PL_RAW_DATA1"/>
      <sheetName val="fx_rates1"/>
      <sheetName val="Sheet_11"/>
      <sheetName val="W2"/>
      <sheetName val="UnadjBS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fli"/>
      <sheetName val="свод"/>
      <sheetName val="LS"/>
      <sheetName val="Analysis"/>
      <sheetName val="DL as at 31.3.8"/>
      <sheetName val="Anal 1.1.8"/>
      <sheetName val="DS as at 1.1.8"/>
      <sheetName val="BS"/>
      <sheetName val="PL"/>
      <sheetName val="депозиты юрлиц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Всего"/>
      <sheetName val="ВсегоП"/>
      <sheetName val="Фин"/>
      <sheetName val="Налог"/>
      <sheetName val="НалогП"/>
      <sheetName val="Аморт"/>
      <sheetName val="РаспрП"/>
      <sheetName val="Правки"/>
      <sheetName val="Распр"/>
      <sheetName val="!"/>
      <sheetName val="Лист1"/>
      <sheetName val="Лист3"/>
      <sheetName val="Лист2"/>
      <sheetName val="юрлица"/>
      <sheetName val="TbrPMA"/>
      <sheetName val="Param"/>
      <sheetName val="FeuilPMA_Retrieve"/>
      <sheetName val="DSS pôle - détail par segment"/>
      <sheetName val="???"/>
      <sheetName val="свод"/>
      <sheetName val="Sheet5"/>
      <sheetName val="DSS pole - detail par segment"/>
      <sheetName val="Список банків"/>
      <sheetName val="Довідник Галузі"/>
      <sheetName val="Довідник Модель"/>
      <sheetName val="Paramètres"/>
      <sheetName val="Process SMC"/>
      <sheetName val="tbbs"/>
      <sheetName val="ARFs"/>
      <sheetName val="Довідник_Напрями роботи"/>
      <sheetName val="Аркуш2"/>
    </sheetNames>
    <sheetDataSet>
      <sheetData sheetId="0" refreshError="1"/>
      <sheetData sheetId="1" refreshError="1"/>
      <sheetData sheetId="2" refreshError="1">
        <row r="3">
          <cell r="G3" t="str">
            <v xml:space="preserve">Корректировки ("+" начисление, "-" списание) </v>
          </cell>
          <cell r="H3" t="str">
            <v>Бал. прибыль (после доп. списания)</v>
          </cell>
          <cell r="J3" t="str">
            <v>Финансовые доходы, (пред. день)</v>
          </cell>
          <cell r="K3" t="str">
            <v>Финансовые расходы, (пред. день)</v>
          </cell>
          <cell r="L3" t="str">
            <v>Финансовые доходы (откл.)</v>
          </cell>
          <cell r="M3" t="str">
            <v>Финансовые расходы (откл.)</v>
          </cell>
        </row>
        <row r="4">
          <cell r="H4">
            <v>0</v>
          </cell>
          <cell r="J4">
            <v>3414191</v>
          </cell>
          <cell r="K4">
            <v>3474940</v>
          </cell>
          <cell r="L4">
            <v>-3414191</v>
          </cell>
          <cell r="M4">
            <v>-3474940</v>
          </cell>
        </row>
        <row r="5">
          <cell r="H5">
            <v>0</v>
          </cell>
          <cell r="J5">
            <v>2135607</v>
          </cell>
          <cell r="K5">
            <v>2090314</v>
          </cell>
          <cell r="L5">
            <v>-2135607</v>
          </cell>
          <cell r="M5">
            <v>-2090314</v>
          </cell>
        </row>
        <row r="6">
          <cell r="H6">
            <v>0</v>
          </cell>
          <cell r="J6">
            <v>1667913</v>
          </cell>
          <cell r="K6">
            <v>1529567</v>
          </cell>
          <cell r="L6">
            <v>-1667913</v>
          </cell>
          <cell r="M6">
            <v>-1529567</v>
          </cell>
        </row>
        <row r="7">
          <cell r="H7">
            <v>0</v>
          </cell>
          <cell r="J7">
            <v>2327250</v>
          </cell>
          <cell r="K7">
            <v>2299785</v>
          </cell>
          <cell r="L7">
            <v>-2327250</v>
          </cell>
          <cell r="M7">
            <v>-2299785</v>
          </cell>
        </row>
        <row r="8">
          <cell r="H8">
            <v>0</v>
          </cell>
          <cell r="J8">
            <v>785736</v>
          </cell>
          <cell r="K8">
            <v>782158</v>
          </cell>
          <cell r="L8">
            <v>-785736</v>
          </cell>
          <cell r="M8">
            <v>-782158</v>
          </cell>
        </row>
        <row r="9">
          <cell r="H9">
            <v>0</v>
          </cell>
          <cell r="J9">
            <v>699280</v>
          </cell>
          <cell r="K9">
            <v>693152</v>
          </cell>
          <cell r="L9">
            <v>-699280</v>
          </cell>
          <cell r="M9">
            <v>-693152</v>
          </cell>
        </row>
        <row r="10">
          <cell r="H10">
            <v>0</v>
          </cell>
          <cell r="J10">
            <v>697322</v>
          </cell>
          <cell r="K10">
            <v>693271</v>
          </cell>
          <cell r="L10">
            <v>-697322</v>
          </cell>
          <cell r="M10">
            <v>-693271</v>
          </cell>
        </row>
        <row r="11">
          <cell r="H11">
            <v>0</v>
          </cell>
          <cell r="J11">
            <v>2448536</v>
          </cell>
          <cell r="K11">
            <v>2150477</v>
          </cell>
          <cell r="L11">
            <v>-2448536</v>
          </cell>
          <cell r="M11">
            <v>-2150477</v>
          </cell>
        </row>
        <row r="12">
          <cell r="H12">
            <v>0</v>
          </cell>
          <cell r="K12">
            <v>26279</v>
          </cell>
          <cell r="L12">
            <v>0</v>
          </cell>
          <cell r="M12">
            <v>-26279</v>
          </cell>
        </row>
        <row r="13">
          <cell r="H13">
            <v>0</v>
          </cell>
          <cell r="J13">
            <v>93621527</v>
          </cell>
          <cell r="K13">
            <v>89226671</v>
          </cell>
          <cell r="L13">
            <v>-93621527</v>
          </cell>
          <cell r="M13">
            <v>-89226671</v>
          </cell>
        </row>
        <row r="14">
          <cell r="H14">
            <v>0</v>
          </cell>
          <cell r="J14">
            <v>3302645</v>
          </cell>
          <cell r="K14">
            <v>3101025</v>
          </cell>
          <cell r="L14">
            <v>-3302645</v>
          </cell>
          <cell r="M14">
            <v>-3101025</v>
          </cell>
        </row>
        <row r="15">
          <cell r="H15">
            <v>0</v>
          </cell>
          <cell r="J15">
            <v>901332</v>
          </cell>
          <cell r="K15">
            <v>806872</v>
          </cell>
          <cell r="L15">
            <v>-901332</v>
          </cell>
          <cell r="M15">
            <v>-806872</v>
          </cell>
        </row>
        <row r="17">
          <cell r="H17">
            <v>0</v>
          </cell>
          <cell r="K17">
            <v>184137</v>
          </cell>
          <cell r="L17">
            <v>0</v>
          </cell>
          <cell r="M17">
            <v>-184137</v>
          </cell>
        </row>
        <row r="19">
          <cell r="G19">
            <v>0</v>
          </cell>
          <cell r="H19">
            <v>0</v>
          </cell>
          <cell r="J19">
            <v>112001339</v>
          </cell>
          <cell r="K19">
            <v>107058648</v>
          </cell>
          <cell r="L19">
            <v>-112001339</v>
          </cell>
          <cell r="M19">
            <v>-107058648</v>
          </cell>
        </row>
        <row r="21">
          <cell r="H21">
            <v>0</v>
          </cell>
        </row>
        <row r="28">
          <cell r="G28">
            <v>0</v>
          </cell>
          <cell r="H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</row>
        <row r="30">
          <cell r="H30">
            <v>-30951344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Dm"/>
      <sheetName val="справ нов"/>
      <sheetName val="бал нов"/>
      <sheetName val="перевод вопроса №4"/>
    </sheetNames>
    <sheetDataSet>
      <sheetData sheetId="0">
        <row r="1">
          <cell r="C1">
            <v>540</v>
          </cell>
          <cell r="F1" t="str">
            <v>Було:</v>
          </cell>
          <cell r="G1">
            <v>0.06</v>
          </cell>
          <cell r="H1">
            <v>0.06</v>
          </cell>
          <cell r="I1">
            <v>0.06</v>
          </cell>
          <cell r="J1">
            <v>0.06</v>
          </cell>
          <cell r="K1">
            <v>0.06</v>
          </cell>
          <cell r="L1">
            <v>0.06</v>
          </cell>
          <cell r="M1">
            <v>0.06</v>
          </cell>
          <cell r="N1">
            <v>4.8599999999999997E-2</v>
          </cell>
          <cell r="O1">
            <v>4.8800000000000003E-2</v>
          </cell>
          <cell r="P1">
            <v>4.8800000000000003E-2</v>
          </cell>
          <cell r="Q1">
            <v>4.8800000000000003E-2</v>
          </cell>
          <cell r="R1">
            <v>4.8800000000000003E-2</v>
          </cell>
          <cell r="S1">
            <v>4.8800000000000003E-2</v>
          </cell>
          <cell r="T1">
            <v>4.8800000000000003E-2</v>
          </cell>
          <cell r="U1">
            <v>4.8800000000000003E-2</v>
          </cell>
          <cell r="V1">
            <v>4.8800000000000003E-2</v>
          </cell>
          <cell r="W1"/>
          <cell r="X1" t="str">
            <v>Було:</v>
          </cell>
        </row>
        <row r="2">
          <cell r="C2">
            <v>45809</v>
          </cell>
        </row>
        <row r="3">
          <cell r="C3">
            <v>45269</v>
          </cell>
          <cell r="G3">
            <v>0.08</v>
          </cell>
          <cell r="H3">
            <v>0.08</v>
          </cell>
          <cell r="I3">
            <v>0.08</v>
          </cell>
          <cell r="J3">
            <v>0.08</v>
          </cell>
          <cell r="K3">
            <v>0.08</v>
          </cell>
          <cell r="L3">
            <v>0.08</v>
          </cell>
          <cell r="M3">
            <v>0.08</v>
          </cell>
          <cell r="N3">
            <v>0.06</v>
          </cell>
          <cell r="O3">
            <v>0.06</v>
          </cell>
          <cell r="P3">
            <v>0.06</v>
          </cell>
          <cell r="Q3">
            <v>0.06</v>
          </cell>
          <cell r="R3">
            <v>0.06</v>
          </cell>
          <cell r="S3"/>
          <cell r="T3"/>
          <cell r="U3"/>
          <cell r="V3"/>
          <cell r="W3"/>
        </row>
        <row r="4">
          <cell r="F4" t="str">
            <v>18 міс! 
Для 01.06.2025 -  підходит  01.12.2023 і свіжіше.</v>
          </cell>
          <cell r="G4" t="str">
            <v>Рынок, на котором работает клиент &amp; Позиция на рынке</v>
          </cell>
          <cell r="H4" t="str">
            <v>Уровень валютных рисков</v>
          </cell>
          <cell r="I4" t="str">
            <v>Уровень рисков, связанных с финансовой, инвестиционной и рыночной политикой, планами компании по долгам и инвестициям</v>
          </cell>
          <cell r="J4" t="str">
            <v>Кредитная история с банком (год получения первого продукта)</v>
          </cell>
          <cell r="K4" t="str">
            <v>Характеристика отрасли и перспективы стабильного роста</v>
          </cell>
          <cell r="L4" t="str">
            <v>Качество предоставляемой финансовой отчетности</v>
          </cell>
          <cell r="M4" t="str">
            <v>Наличие максимальной просрочки за последение 36 мес (в днях)</v>
          </cell>
          <cell r="N4" t="str">
            <v>Репутация</v>
          </cell>
          <cell r="O4" t="str">
            <v>Организационная структура и преемственность</v>
          </cell>
          <cell r="P4" t="str">
            <v>Риск дебиторской задолженности</v>
          </cell>
          <cell r="Q4" t="str">
            <v>Оценка запасов</v>
          </cell>
          <cell r="R4" t="str">
            <v>Зависимость Заемщика от финансовой поддержки собственника (других компаний собственника вне анализируемого периметра)</v>
          </cell>
          <cell r="S4" t="str">
            <v>Распределение прибыли, в т.ч. управленческой за последний год</v>
          </cell>
          <cell r="T4" t="str">
            <v>Доля эксорта в структуре продаж</v>
          </cell>
          <cell r="U4" t="str">
            <v>Бизнес зависим от ключевого собственника/сотрудника</v>
          </cell>
          <cell r="V4" t="str">
            <v xml:space="preserve">Концентрация ТОП-3 покупателей </v>
          </cell>
          <cell r="W4" t="str">
            <v>**</v>
          </cell>
        </row>
        <row r="5">
          <cell r="G5">
            <v>1</v>
          </cell>
          <cell r="H5">
            <v>2</v>
          </cell>
          <cell r="I5">
            <v>3</v>
          </cell>
          <cell r="J5">
            <v>4</v>
          </cell>
          <cell r="K5">
            <v>5</v>
          </cell>
          <cell r="L5">
            <v>6</v>
          </cell>
          <cell r="M5">
            <v>7</v>
          </cell>
          <cell r="N5">
            <v>8</v>
          </cell>
          <cell r="O5">
            <v>9</v>
          </cell>
          <cell r="P5">
            <v>10</v>
          </cell>
          <cell r="Q5">
            <v>11</v>
          </cell>
          <cell r="R5">
            <v>12</v>
          </cell>
          <cell r="S5">
            <v>13</v>
          </cell>
          <cell r="T5">
            <v>14</v>
          </cell>
          <cell r="U5">
            <v>15</v>
          </cell>
          <cell r="V5">
            <v>16</v>
          </cell>
          <cell r="W5">
            <v>17</v>
          </cell>
          <cell r="X5"/>
        </row>
        <row r="6">
          <cell r="C6" t="str">
            <v>Окпо</v>
          </cell>
          <cell r="D6" t="str">
            <v>Клиент</v>
          </cell>
          <cell r="E6" t="str">
            <v>Дата установки статуса_Модифікована</v>
          </cell>
          <cell r="F6" t="str">
            <v>Дата 1</v>
          </cell>
          <cell r="G6"/>
          <cell r="H6"/>
          <cell r="I6"/>
          <cell r="J6"/>
          <cell r="K6"/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 t="str">
            <v>БАЛ</v>
          </cell>
        </row>
        <row r="7">
          <cell r="C7">
            <v>132012</v>
          </cell>
          <cell r="D7" t="str">
            <v>ТОВ "ВЕЛИКОДОЛИНСЬКИЙ ЗАВОД ЗБК"</v>
          </cell>
          <cell r="E7">
            <v>45700.018499999998</v>
          </cell>
          <cell r="F7">
            <v>45566</v>
          </cell>
          <cell r="G7" t="str">
            <v>E</v>
          </cell>
          <cell r="H7" t="str">
            <v>B</v>
          </cell>
          <cell r="I7" t="str">
            <v>B</v>
          </cell>
          <cell r="J7" t="str">
            <v>B</v>
          </cell>
          <cell r="K7" t="str">
            <v>D</v>
          </cell>
          <cell r="L7" t="str">
            <v>A</v>
          </cell>
          <cell r="M7" t="str">
            <v>B</v>
          </cell>
          <cell r="N7" t="str">
            <v>A</v>
          </cell>
          <cell r="O7" t="str">
            <v>A</v>
          </cell>
          <cell r="P7" t="str">
            <v>C</v>
          </cell>
          <cell r="Q7" t="str">
            <v>B</v>
          </cell>
          <cell r="R7" t="str">
            <v>A</v>
          </cell>
          <cell r="S7"/>
          <cell r="T7"/>
          <cell r="U7"/>
          <cell r="V7"/>
          <cell r="W7"/>
          <cell r="X7">
            <v>52.6</v>
          </cell>
        </row>
        <row r="8">
          <cell r="C8">
            <v>135390</v>
          </cell>
          <cell r="D8" t="str">
            <v>АТ "УКРНАФТА"</v>
          </cell>
          <cell r="E8">
            <v>45975.712599999999</v>
          </cell>
          <cell r="F8">
            <v>45931</v>
          </cell>
          <cell r="G8" t="str">
            <v>A</v>
          </cell>
          <cell r="H8" t="str">
            <v>C</v>
          </cell>
          <cell r="I8" t="str">
            <v>B</v>
          </cell>
          <cell r="J8" t="str">
            <v>A</v>
          </cell>
          <cell r="K8" t="str">
            <v>B</v>
          </cell>
          <cell r="L8" t="str">
            <v>A</v>
          </cell>
          <cell r="M8" t="str">
            <v>A</v>
          </cell>
          <cell r="N8" t="str">
            <v>A</v>
          </cell>
          <cell r="O8" t="str">
            <v>A</v>
          </cell>
          <cell r="P8" t="str">
            <v>C</v>
          </cell>
          <cell r="Q8" t="str">
            <v>A</v>
          </cell>
          <cell r="R8" t="str">
            <v>A</v>
          </cell>
          <cell r="S8"/>
          <cell r="T8"/>
          <cell r="U8"/>
          <cell r="V8"/>
          <cell r="W8"/>
          <cell r="X8">
            <v>67</v>
          </cell>
        </row>
        <row r="9">
          <cell r="C9">
            <v>152307</v>
          </cell>
          <cell r="D9" t="str">
            <v>АТ "Укртатнафта"</v>
          </cell>
          <cell r="E9">
            <v>45841.741199999997</v>
          </cell>
          <cell r="F9">
            <v>45658</v>
          </cell>
          <cell r="G9" t="str">
            <v>B</v>
          </cell>
          <cell r="H9" t="str">
            <v>A</v>
          </cell>
          <cell r="I9" t="str">
            <v>B</v>
          </cell>
          <cell r="J9" t="str">
            <v>A</v>
          </cell>
          <cell r="K9" t="str">
            <v>F</v>
          </cell>
          <cell r="L9" t="str">
            <v>B</v>
          </cell>
          <cell r="M9" t="str">
            <v>A</v>
          </cell>
          <cell r="N9" t="str">
            <v>B</v>
          </cell>
          <cell r="O9" t="str">
            <v>A</v>
          </cell>
          <cell r="P9" t="str">
            <v>D</v>
          </cell>
          <cell r="Q9" t="str">
            <v>D</v>
          </cell>
          <cell r="R9" t="str">
            <v>C</v>
          </cell>
          <cell r="S9"/>
          <cell r="T9"/>
          <cell r="U9"/>
          <cell r="V9"/>
          <cell r="W9"/>
          <cell r="X9">
            <v>43.900000000000006</v>
          </cell>
        </row>
        <row r="10">
          <cell r="C10">
            <v>191329</v>
          </cell>
          <cell r="D10" t="str">
            <v>ПРАТ "СУХА БАЛКА"</v>
          </cell>
          <cell r="E10">
            <v>45947</v>
          </cell>
          <cell r="F10">
            <v>45839</v>
          </cell>
          <cell r="G10" t="str">
            <v>D</v>
          </cell>
          <cell r="H10" t="str">
            <v>B</v>
          </cell>
          <cell r="I10" t="str">
            <v>B</v>
          </cell>
          <cell r="J10" t="str">
            <v>C</v>
          </cell>
          <cell r="K10" t="str">
            <v>F</v>
          </cell>
          <cell r="L10" t="str">
            <v>A</v>
          </cell>
          <cell r="M10" t="str">
            <v>A</v>
          </cell>
          <cell r="N10" t="str">
            <v>B</v>
          </cell>
          <cell r="O10" t="str">
            <v>A</v>
          </cell>
          <cell r="P10" t="str">
            <v>C</v>
          </cell>
          <cell r="Q10" t="str">
            <v>B</v>
          </cell>
          <cell r="R10" t="str">
            <v>B</v>
          </cell>
          <cell r="S10"/>
          <cell r="T10"/>
          <cell r="U10"/>
          <cell r="V10"/>
          <cell r="W10"/>
          <cell r="X10">
            <v>55.300000000000004</v>
          </cell>
        </row>
        <row r="11">
          <cell r="C11">
            <v>213440</v>
          </cell>
          <cell r="D11" t="str">
            <v>ТОВ "Укрелектроапарат"</v>
          </cell>
          <cell r="E11">
            <v>45735.526599999997</v>
          </cell>
          <cell r="F11">
            <v>45566</v>
          </cell>
          <cell r="G11" t="str">
            <v>D</v>
          </cell>
          <cell r="H11" t="str">
            <v>C</v>
          </cell>
          <cell r="I11" t="str">
            <v>B</v>
          </cell>
          <cell r="J11" t="str">
            <v>D</v>
          </cell>
          <cell r="K11" t="str">
            <v>A</v>
          </cell>
          <cell r="L11" t="str">
            <v>A</v>
          </cell>
          <cell r="M11" t="str">
            <v>B</v>
          </cell>
          <cell r="N11" t="str">
            <v>B</v>
          </cell>
          <cell r="O11" t="str">
            <v>A</v>
          </cell>
          <cell r="P11" t="str">
            <v>B</v>
          </cell>
          <cell r="Q11" t="str">
            <v>B</v>
          </cell>
          <cell r="R11" t="str">
            <v>A</v>
          </cell>
          <cell r="S11"/>
          <cell r="T11"/>
          <cell r="U11"/>
          <cell r="V11"/>
          <cell r="W11"/>
          <cell r="X11">
            <v>63.100000000000009</v>
          </cell>
        </row>
        <row r="12">
          <cell r="C12">
            <v>292923</v>
          </cell>
          <cell r="D12" t="str">
            <v>ПРАТ "КРЦ"</v>
          </cell>
          <cell r="E12">
            <v>45560.404300000002</v>
          </cell>
          <cell r="F12">
            <v>45474</v>
          </cell>
          <cell r="G12" t="str">
            <v>C</v>
          </cell>
          <cell r="H12" t="str">
            <v>C</v>
          </cell>
          <cell r="I12" t="str">
            <v>B</v>
          </cell>
          <cell r="J12" t="str">
            <v>B</v>
          </cell>
          <cell r="K12" t="str">
            <v>E</v>
          </cell>
          <cell r="L12" t="str">
            <v>A</v>
          </cell>
          <cell r="M12" t="str">
            <v>A</v>
          </cell>
          <cell r="N12" t="str">
            <v>B</v>
          </cell>
          <cell r="O12" t="str">
            <v>A</v>
          </cell>
          <cell r="P12" t="str">
            <v>C</v>
          </cell>
          <cell r="Q12" t="str">
            <v>B</v>
          </cell>
          <cell r="R12" t="str">
            <v>C</v>
          </cell>
          <cell r="S12"/>
          <cell r="T12"/>
          <cell r="U12"/>
          <cell r="V12"/>
          <cell r="W12"/>
          <cell r="X12">
            <v>50.9</v>
          </cell>
        </row>
        <row r="13">
          <cell r="C13">
            <v>333581</v>
          </cell>
          <cell r="D13" t="str">
            <v>ПрАТ "КМЗ" або ПрАТ "КИЇВСЬКИЙ МАРГАРИНОВИЙ ЗАВОД"</v>
          </cell>
          <cell r="E13">
            <v>45866.639900000002</v>
          </cell>
          <cell r="F13">
            <v>45748</v>
          </cell>
          <cell r="G13" t="str">
            <v>D</v>
          </cell>
          <cell r="H13" t="str">
            <v>A</v>
          </cell>
          <cell r="I13" t="str">
            <v>A</v>
          </cell>
          <cell r="J13" t="str">
            <v>A</v>
          </cell>
          <cell r="K13" t="str">
            <v>D</v>
          </cell>
          <cell r="L13" t="str">
            <v>B</v>
          </cell>
          <cell r="M13" t="str">
            <v>B</v>
          </cell>
          <cell r="N13" t="str">
            <v>B</v>
          </cell>
          <cell r="O13" t="str">
            <v>A</v>
          </cell>
          <cell r="P13" t="str">
            <v>B</v>
          </cell>
          <cell r="Q13" t="str">
            <v>C</v>
          </cell>
          <cell r="R13" t="str">
            <v>A</v>
          </cell>
          <cell r="S13"/>
          <cell r="T13"/>
          <cell r="U13"/>
          <cell r="V13"/>
          <cell r="W13"/>
          <cell r="X13">
            <v>43.3</v>
          </cell>
        </row>
        <row r="14">
          <cell r="C14">
            <v>372109</v>
          </cell>
          <cell r="D14" t="str">
            <v>ТОВ "ОЛЕКСАНДРІЙСЬКИЙ ЦУКРОВИЙ ЗАВОД"</v>
          </cell>
          <cell r="E14">
            <v>45736.444600000003</v>
          </cell>
          <cell r="F14">
            <v>45566</v>
          </cell>
          <cell r="G14" t="str">
            <v>D</v>
          </cell>
          <cell r="H14" t="str">
            <v>C</v>
          </cell>
          <cell r="I14" t="str">
            <v>D</v>
          </cell>
          <cell r="J14" t="str">
            <v>D</v>
          </cell>
          <cell r="K14" t="str">
            <v>D</v>
          </cell>
          <cell r="L14" t="str">
            <v>A</v>
          </cell>
          <cell r="M14" t="str">
            <v>C</v>
          </cell>
          <cell r="N14" t="str">
            <v>B</v>
          </cell>
          <cell r="O14" t="str">
            <v>B</v>
          </cell>
          <cell r="P14" t="str">
            <v>C</v>
          </cell>
          <cell r="Q14" t="str">
            <v>C</v>
          </cell>
          <cell r="R14" t="str">
            <v>A</v>
          </cell>
          <cell r="S14"/>
          <cell r="T14"/>
          <cell r="U14"/>
          <cell r="V14"/>
          <cell r="W14"/>
          <cell r="X14">
            <v>43.099999999999987</v>
          </cell>
        </row>
        <row r="15">
          <cell r="C15">
            <v>375160</v>
          </cell>
          <cell r="D15" t="str">
            <v>ПАТ "СУМСЬКИЙ ЗАВОД ПРОДТОВАРІВ"</v>
          </cell>
          <cell r="E15">
            <v>45548.7068</v>
          </cell>
          <cell r="F15">
            <v>45474</v>
          </cell>
          <cell r="G15" t="str">
            <v>D</v>
          </cell>
          <cell r="H15" t="str">
            <v>B</v>
          </cell>
          <cell r="I15" t="str">
            <v>B</v>
          </cell>
          <cell r="J15" t="str">
            <v>B</v>
          </cell>
          <cell r="K15" t="str">
            <v>D</v>
          </cell>
          <cell r="L15" t="str">
            <v>B</v>
          </cell>
          <cell r="M15" t="str">
            <v>B</v>
          </cell>
          <cell r="N15" t="str">
            <v>A</v>
          </cell>
          <cell r="O15" t="str">
            <v>A</v>
          </cell>
          <cell r="P15" t="str">
            <v>B</v>
          </cell>
          <cell r="Q15" t="str">
            <v>B</v>
          </cell>
          <cell r="R15" t="str">
            <v>A</v>
          </cell>
          <cell r="S15"/>
          <cell r="T15"/>
          <cell r="U15"/>
          <cell r="V15"/>
          <cell r="W15"/>
          <cell r="X15">
            <v>53.2</v>
          </cell>
        </row>
        <row r="16">
          <cell r="C16">
            <v>386235</v>
          </cell>
          <cell r="D16" t="str">
            <v>ПРАТ "ШАРІВСЬКЕ"</v>
          </cell>
          <cell r="E16">
            <v>45736.444600000003</v>
          </cell>
          <cell r="F16">
            <v>45566</v>
          </cell>
          <cell r="G16" t="str">
            <v>D</v>
          </cell>
          <cell r="H16" t="str">
            <v>C</v>
          </cell>
          <cell r="I16" t="str">
            <v>D</v>
          </cell>
          <cell r="J16" t="str">
            <v>D</v>
          </cell>
          <cell r="K16" t="str">
            <v>D</v>
          </cell>
          <cell r="L16" t="str">
            <v>A</v>
          </cell>
          <cell r="M16" t="str">
            <v>C</v>
          </cell>
          <cell r="N16" t="str">
            <v>B</v>
          </cell>
          <cell r="O16" t="str">
            <v>B</v>
          </cell>
          <cell r="P16" t="str">
            <v>C</v>
          </cell>
          <cell r="Q16" t="str">
            <v>C</v>
          </cell>
          <cell r="R16" t="str">
            <v>A</v>
          </cell>
          <cell r="S16"/>
          <cell r="T16"/>
          <cell r="U16"/>
          <cell r="V16"/>
          <cell r="W16"/>
          <cell r="X16">
            <v>43.099999999999987</v>
          </cell>
        </row>
        <row r="17">
          <cell r="C17">
            <v>388932</v>
          </cell>
          <cell r="D17" t="str">
            <v>ПРАТ "ЛЕБЕДИНСЬКИЙ НАСІННЄВИЙ ЗАВОД"</v>
          </cell>
          <cell r="E17">
            <v>45951.531300000002</v>
          </cell>
          <cell r="F17">
            <v>45839</v>
          </cell>
          <cell r="G17" t="str">
            <v>C</v>
          </cell>
          <cell r="H17" t="str">
            <v>B</v>
          </cell>
          <cell r="I17" t="str">
            <v>B</v>
          </cell>
          <cell r="J17" t="str">
            <v>A</v>
          </cell>
          <cell r="K17" t="str">
            <v>E</v>
          </cell>
          <cell r="L17" t="str">
            <v>A</v>
          </cell>
          <cell r="M17" t="str">
            <v>A</v>
          </cell>
          <cell r="N17" t="str">
            <v>B</v>
          </cell>
          <cell r="O17" t="str">
            <v>A</v>
          </cell>
          <cell r="P17" t="str">
            <v>C</v>
          </cell>
          <cell r="Q17" t="str">
            <v>B</v>
          </cell>
          <cell r="R17" t="str">
            <v>A</v>
          </cell>
          <cell r="S17"/>
          <cell r="T17"/>
          <cell r="U17"/>
          <cell r="V17"/>
          <cell r="W17"/>
          <cell r="X17">
            <v>55.7</v>
          </cell>
        </row>
        <row r="18">
          <cell r="C18">
            <v>446813</v>
          </cell>
          <cell r="D18" t="str">
            <v>ТОВ "Лубенський молочний завод"</v>
          </cell>
          <cell r="E18">
            <v>45751.467499999999</v>
          </cell>
          <cell r="F18">
            <v>45658</v>
          </cell>
          <cell r="G18" t="str">
            <v>E</v>
          </cell>
          <cell r="H18" t="str">
            <v>A</v>
          </cell>
          <cell r="I18" t="str">
            <v>C</v>
          </cell>
          <cell r="J18" t="str">
            <v>B</v>
          </cell>
          <cell r="K18" t="str">
            <v>E</v>
          </cell>
          <cell r="L18" t="str">
            <v>B</v>
          </cell>
          <cell r="M18" t="str">
            <v>B</v>
          </cell>
          <cell r="N18" t="str">
            <v>B</v>
          </cell>
          <cell r="O18" t="str">
            <v>A</v>
          </cell>
          <cell r="P18" t="str">
            <v>C</v>
          </cell>
          <cell r="Q18" t="str">
            <v>C</v>
          </cell>
          <cell r="R18" t="str">
            <v>C</v>
          </cell>
          <cell r="S18"/>
          <cell r="T18"/>
          <cell r="U18"/>
          <cell r="V18"/>
          <cell r="W18"/>
          <cell r="X18">
            <v>29.900000000000002</v>
          </cell>
        </row>
        <row r="19">
          <cell r="C19">
            <v>481212</v>
          </cell>
          <cell r="D19" t="str">
            <v>ПРАТ "Фармацевтична фірма "Дарниця"</v>
          </cell>
          <cell r="E19">
            <v>45631.48</v>
          </cell>
          <cell r="F19">
            <v>45566</v>
          </cell>
          <cell r="G19" t="str">
            <v>D</v>
          </cell>
          <cell r="H19" t="str">
            <v>B</v>
          </cell>
          <cell r="I19" t="str">
            <v>D</v>
          </cell>
          <cell r="J19" t="str">
            <v>B</v>
          </cell>
          <cell r="K19" t="str">
            <v>D</v>
          </cell>
          <cell r="L19" t="str">
            <v>A</v>
          </cell>
          <cell r="M19" t="str">
            <v>A</v>
          </cell>
          <cell r="N19" t="str">
            <v>B</v>
          </cell>
          <cell r="O19" t="str">
            <v>A</v>
          </cell>
          <cell r="P19" t="str">
            <v>C</v>
          </cell>
          <cell r="Q19" t="str">
            <v>B</v>
          </cell>
          <cell r="R19" t="str">
            <v>B</v>
          </cell>
          <cell r="S19"/>
          <cell r="T19"/>
          <cell r="U19"/>
          <cell r="V19"/>
          <cell r="W19"/>
          <cell r="X19">
            <v>48.900000000000006</v>
          </cell>
        </row>
        <row r="20">
          <cell r="C20">
            <v>850796</v>
          </cell>
          <cell r="D20" t="str">
            <v>ТОВ "АПК УКРАЇНА"</v>
          </cell>
          <cell r="E20">
            <v>45790.379399999998</v>
          </cell>
          <cell r="F20">
            <v>45658</v>
          </cell>
          <cell r="G20" t="str">
            <v>E</v>
          </cell>
          <cell r="H20" t="str">
            <v>B</v>
          </cell>
          <cell r="I20" t="str">
            <v>B</v>
          </cell>
          <cell r="J20" t="str">
            <v>B</v>
          </cell>
          <cell r="K20" t="str">
            <v>B</v>
          </cell>
          <cell r="L20" t="str">
            <v>A</v>
          </cell>
          <cell r="M20" t="str">
            <v>B</v>
          </cell>
          <cell r="N20" t="str">
            <v>B</v>
          </cell>
          <cell r="O20" t="str">
            <v>A</v>
          </cell>
          <cell r="P20" t="str">
            <v>C</v>
          </cell>
          <cell r="Q20" t="str">
            <v>B</v>
          </cell>
          <cell r="R20" t="str">
            <v>B</v>
          </cell>
          <cell r="S20"/>
          <cell r="T20"/>
          <cell r="U20"/>
          <cell r="V20"/>
          <cell r="W20"/>
          <cell r="X20">
            <v>49.300000000000004</v>
          </cell>
        </row>
        <row r="21">
          <cell r="C21">
            <v>851376</v>
          </cell>
          <cell r="D21" t="str">
            <v>ПРАТ "ВОЛОДИМИР-ВОЛИНСЬКА ПТАХОФАБРИКА"</v>
          </cell>
          <cell r="E21">
            <v>45685.544800000003</v>
          </cell>
          <cell r="F21">
            <v>45566</v>
          </cell>
          <cell r="G21" t="str">
            <v>D</v>
          </cell>
          <cell r="H21" t="str">
            <v>C</v>
          </cell>
          <cell r="I21" t="str">
            <v>D</v>
          </cell>
          <cell r="J21" t="str">
            <v>A</v>
          </cell>
          <cell r="K21" t="str">
            <v>C</v>
          </cell>
          <cell r="L21" t="str">
            <v>A</v>
          </cell>
          <cell r="M21" t="str">
            <v>A</v>
          </cell>
          <cell r="N21" t="str">
            <v>C</v>
          </cell>
          <cell r="O21" t="str">
            <v>A</v>
          </cell>
          <cell r="P21" t="str">
            <v>C</v>
          </cell>
          <cell r="Q21" t="str">
            <v>B</v>
          </cell>
          <cell r="R21" t="str">
            <v>B</v>
          </cell>
          <cell r="S21"/>
          <cell r="T21"/>
          <cell r="U21"/>
          <cell r="V21"/>
          <cell r="W21"/>
          <cell r="X21">
            <v>45.8</v>
          </cell>
        </row>
        <row r="22">
          <cell r="C22">
            <v>855440</v>
          </cell>
          <cell r="D22" t="str">
            <v>ТОВ "АГРОФІРМА "ДНІСТРОВСЬКА"</v>
          </cell>
          <cell r="E22">
            <v>45946.913399999998</v>
          </cell>
          <cell r="F22">
            <v>45658</v>
          </cell>
          <cell r="G22" t="str">
            <v>E</v>
          </cell>
          <cell r="H22" t="str">
            <v>A</v>
          </cell>
          <cell r="I22" t="str">
            <v>A</v>
          </cell>
          <cell r="J22" t="str">
            <v>A</v>
          </cell>
          <cell r="K22" t="str">
            <v>B</v>
          </cell>
          <cell r="L22" t="str">
            <v>A</v>
          </cell>
          <cell r="M22" t="str">
            <v>A</v>
          </cell>
          <cell r="N22" t="str">
            <v>B</v>
          </cell>
          <cell r="O22" t="str">
            <v>A</v>
          </cell>
          <cell r="P22" t="str">
            <v>C</v>
          </cell>
          <cell r="Q22" t="str">
            <v>B</v>
          </cell>
          <cell r="R22" t="str">
            <v>A</v>
          </cell>
          <cell r="S22"/>
          <cell r="T22"/>
          <cell r="U22"/>
          <cell r="V22"/>
          <cell r="W22"/>
          <cell r="X22">
            <v>54.5</v>
          </cell>
        </row>
        <row r="23">
          <cell r="C23">
            <v>858102</v>
          </cell>
          <cell r="D23" t="str">
            <v>ПСП "ЖОВТНЕВЕ"</v>
          </cell>
          <cell r="E23">
            <v>45566.531300000002</v>
          </cell>
          <cell r="F23">
            <v>45474</v>
          </cell>
          <cell r="G23" t="str">
            <v>E</v>
          </cell>
          <cell r="H23" t="str">
            <v>B</v>
          </cell>
          <cell r="I23" t="str">
            <v>A</v>
          </cell>
          <cell r="J23" t="str">
            <v>B</v>
          </cell>
          <cell r="K23" t="str">
            <v>D</v>
          </cell>
          <cell r="L23" t="str">
            <v>B</v>
          </cell>
          <cell r="M23" t="str">
            <v>C</v>
          </cell>
          <cell r="N23" t="str">
            <v>B</v>
          </cell>
          <cell r="O23" t="str">
            <v>A</v>
          </cell>
          <cell r="P23" t="str">
            <v>C</v>
          </cell>
          <cell r="Q23" t="str">
            <v>C</v>
          </cell>
          <cell r="R23" t="str">
            <v>B</v>
          </cell>
          <cell r="S23"/>
          <cell r="T23"/>
          <cell r="U23"/>
          <cell r="V23"/>
          <cell r="W23"/>
          <cell r="X23">
            <v>33.5</v>
          </cell>
        </row>
        <row r="24">
          <cell r="C24">
            <v>1056280</v>
          </cell>
          <cell r="D24" t="str">
            <v>ТОВ "ЗМЗ"</v>
          </cell>
          <cell r="E24">
            <v>45981.639199999998</v>
          </cell>
          <cell r="F24">
            <v>45931</v>
          </cell>
          <cell r="G24" t="str">
            <v>E</v>
          </cell>
          <cell r="H24" t="str">
            <v>A</v>
          </cell>
          <cell r="I24" t="str">
            <v>B</v>
          </cell>
          <cell r="J24" t="str">
            <v>B</v>
          </cell>
          <cell r="K24" t="str">
            <v>D</v>
          </cell>
          <cell r="L24" t="str">
            <v>B</v>
          </cell>
          <cell r="M24" t="str">
            <v>A</v>
          </cell>
          <cell r="N24" t="str">
            <v>B</v>
          </cell>
          <cell r="O24" t="str">
            <v>A</v>
          </cell>
          <cell r="P24" t="str">
            <v>C</v>
          </cell>
          <cell r="Q24" t="str">
            <v>C</v>
          </cell>
          <cell r="R24" t="str">
            <v>A</v>
          </cell>
          <cell r="S24"/>
          <cell r="T24"/>
          <cell r="U24"/>
          <cell r="V24"/>
          <cell r="W24"/>
          <cell r="X24">
            <v>51.5</v>
          </cell>
        </row>
        <row r="25">
          <cell r="C25">
            <v>1284778</v>
          </cell>
          <cell r="D25" t="str">
            <v>ТОВ "БК"КВП"</v>
          </cell>
          <cell r="E25">
            <v>45622.644099999998</v>
          </cell>
          <cell r="F25">
            <v>45566</v>
          </cell>
          <cell r="G25" t="str">
            <v>E</v>
          </cell>
          <cell r="H25" t="str">
            <v>B</v>
          </cell>
          <cell r="I25" t="str">
            <v>B</v>
          </cell>
          <cell r="J25" t="str">
            <v>A</v>
          </cell>
          <cell r="K25" t="str">
            <v>D</v>
          </cell>
          <cell r="L25" t="str">
            <v>B</v>
          </cell>
          <cell r="M25" t="str">
            <v>A</v>
          </cell>
          <cell r="N25" t="str">
            <v>A</v>
          </cell>
          <cell r="O25" t="str">
            <v>A</v>
          </cell>
          <cell r="P25" t="str">
            <v>C</v>
          </cell>
          <cell r="Q25" t="str">
            <v>B</v>
          </cell>
          <cell r="R25" t="str">
            <v>B</v>
          </cell>
          <cell r="S25"/>
          <cell r="T25"/>
          <cell r="U25"/>
          <cell r="V25"/>
          <cell r="W25"/>
          <cell r="X25">
            <v>47.8</v>
          </cell>
        </row>
        <row r="26">
          <cell r="C26">
            <v>1354485</v>
          </cell>
          <cell r="D26" t="str">
            <v>ТОВ "СПЕЦБУДМАШ"</v>
          </cell>
          <cell r="E26">
            <v>45639.590100000001</v>
          </cell>
          <cell r="F26">
            <v>45566</v>
          </cell>
          <cell r="G26" t="str">
            <v>E</v>
          </cell>
          <cell r="H26" t="str">
            <v>B</v>
          </cell>
          <cell r="I26" t="str">
            <v>A</v>
          </cell>
          <cell r="J26" t="str">
            <v>A</v>
          </cell>
          <cell r="K26" t="str">
            <v>B</v>
          </cell>
          <cell r="L26" t="str">
            <v>A</v>
          </cell>
          <cell r="M26" t="str">
            <v>A</v>
          </cell>
          <cell r="N26" t="str">
            <v>B</v>
          </cell>
          <cell r="O26" t="str">
            <v>A</v>
          </cell>
          <cell r="P26" t="str">
            <v>C</v>
          </cell>
          <cell r="Q26" t="str">
            <v>B</v>
          </cell>
          <cell r="R26" t="str">
            <v>A</v>
          </cell>
          <cell r="S26"/>
          <cell r="T26"/>
          <cell r="U26"/>
          <cell r="V26"/>
          <cell r="W26"/>
          <cell r="X26">
            <v>52.1</v>
          </cell>
        </row>
        <row r="27">
          <cell r="C27">
            <v>1548734</v>
          </cell>
          <cell r="D27" t="str">
            <v>ТОВ "ХЛАДОПРОМ"</v>
          </cell>
          <cell r="E27">
            <v>45919.438000000002</v>
          </cell>
          <cell r="F27">
            <v>45839</v>
          </cell>
          <cell r="G27" t="str">
            <v>C</v>
          </cell>
          <cell r="H27" t="str">
            <v>B</v>
          </cell>
          <cell r="I27" t="str">
            <v>A</v>
          </cell>
          <cell r="J27" t="str">
            <v>B</v>
          </cell>
          <cell r="K27" t="str">
            <v>B</v>
          </cell>
          <cell r="L27" t="str">
            <v>A</v>
          </cell>
          <cell r="M27" t="str">
            <v>A</v>
          </cell>
          <cell r="N27" t="str">
            <v>B</v>
          </cell>
          <cell r="O27" t="str">
            <v>A</v>
          </cell>
          <cell r="P27" t="str">
            <v>A</v>
          </cell>
          <cell r="Q27" t="str">
            <v>B</v>
          </cell>
          <cell r="R27" t="str">
            <v>A</v>
          </cell>
          <cell r="S27"/>
          <cell r="T27"/>
          <cell r="U27"/>
          <cell r="V27"/>
          <cell r="W27"/>
          <cell r="X27">
            <v>63.1</v>
          </cell>
        </row>
        <row r="28">
          <cell r="C28">
            <v>1553681</v>
          </cell>
          <cell r="D28" t="str">
            <v>ТЗОВ ТВК "ЛЬВІВХОЛОД"</v>
          </cell>
          <cell r="E28">
            <v>45875.450700000001</v>
          </cell>
          <cell r="F28">
            <v>45748</v>
          </cell>
          <cell r="G28" t="str">
            <v>D</v>
          </cell>
          <cell r="H28" t="str">
            <v>B</v>
          </cell>
          <cell r="I28" t="str">
            <v>D</v>
          </cell>
          <cell r="J28" t="str">
            <v>C</v>
          </cell>
          <cell r="K28" t="str">
            <v>C</v>
          </cell>
          <cell r="L28" t="str">
            <v>B</v>
          </cell>
          <cell r="M28" t="str">
            <v>A</v>
          </cell>
          <cell r="N28" t="str">
            <v>A</v>
          </cell>
          <cell r="O28" t="str">
            <v>A</v>
          </cell>
          <cell r="P28" t="str">
            <v>A</v>
          </cell>
          <cell r="Q28" t="str">
            <v>A</v>
          </cell>
          <cell r="R28" t="str">
            <v>A</v>
          </cell>
          <cell r="S28"/>
          <cell r="T28"/>
          <cell r="U28"/>
          <cell r="V28"/>
          <cell r="W28"/>
          <cell r="X28">
            <v>63.2</v>
          </cell>
        </row>
        <row r="29">
          <cell r="C29">
            <v>1553770</v>
          </cell>
          <cell r="D29" t="str">
            <v>АТ "ПОЛТАВАХОЛОД"</v>
          </cell>
          <cell r="E29">
            <v>45604.489000000001</v>
          </cell>
          <cell r="F29">
            <v>45474</v>
          </cell>
          <cell r="G29" t="str">
            <v>E</v>
          </cell>
          <cell r="H29" t="str">
            <v>A</v>
          </cell>
          <cell r="I29" t="str">
            <v>B</v>
          </cell>
          <cell r="J29" t="str">
            <v>B</v>
          </cell>
          <cell r="K29" t="str">
            <v>D</v>
          </cell>
          <cell r="L29" t="str">
            <v>B</v>
          </cell>
          <cell r="M29" t="str">
            <v>A</v>
          </cell>
          <cell r="N29" t="str">
            <v>B</v>
          </cell>
          <cell r="O29" t="str">
            <v>A</v>
          </cell>
          <cell r="P29" t="str">
            <v>C</v>
          </cell>
          <cell r="Q29" t="str">
            <v>B</v>
          </cell>
          <cell r="R29" t="str">
            <v>B</v>
          </cell>
          <cell r="S29"/>
          <cell r="T29"/>
          <cell r="U29"/>
          <cell r="V29"/>
          <cell r="W29"/>
          <cell r="X29">
            <v>49.7</v>
          </cell>
        </row>
        <row r="30">
          <cell r="C30">
            <v>1973472</v>
          </cell>
          <cell r="D30" t="str">
            <v>ПРАТ ФФ "ВІОЛА"</v>
          </cell>
          <cell r="E30">
            <v>45965.636599999998</v>
          </cell>
          <cell r="F30">
            <v>45839</v>
          </cell>
          <cell r="G30" t="str">
            <v>D</v>
          </cell>
          <cell r="H30" t="str">
            <v>B</v>
          </cell>
          <cell r="I30" t="str">
            <v>B</v>
          </cell>
          <cell r="J30" t="str">
            <v>C</v>
          </cell>
          <cell r="K30" t="str">
            <v>C</v>
          </cell>
          <cell r="L30" t="str">
            <v>A</v>
          </cell>
          <cell r="M30" t="str">
            <v>A</v>
          </cell>
          <cell r="N30" t="str">
            <v>A</v>
          </cell>
          <cell r="O30" t="str">
            <v>A</v>
          </cell>
          <cell r="P30" t="str">
            <v>A</v>
          </cell>
          <cell r="Q30" t="str">
            <v>A</v>
          </cell>
          <cell r="R30" t="str">
            <v>B</v>
          </cell>
          <cell r="S30"/>
          <cell r="T30"/>
          <cell r="U30"/>
          <cell r="V30"/>
          <cell r="W30"/>
          <cell r="X30">
            <v>71.200000000000017</v>
          </cell>
        </row>
        <row r="31">
          <cell r="C31">
            <v>1977334</v>
          </cell>
          <cell r="D31" t="str">
            <v>ПРАТ "АПТЕКИ ЗАПОРІЖЖЯ"</v>
          </cell>
          <cell r="E31">
            <v>45818.388099999996</v>
          </cell>
          <cell r="F31">
            <v>45658</v>
          </cell>
          <cell r="G31" t="str">
            <v>E</v>
          </cell>
          <cell r="H31" t="str">
            <v>A</v>
          </cell>
          <cell r="I31" t="str">
            <v>B</v>
          </cell>
          <cell r="J31" t="str">
            <v>C</v>
          </cell>
          <cell r="K31" t="str">
            <v>D</v>
          </cell>
          <cell r="L31" t="str">
            <v>A</v>
          </cell>
          <cell r="M31" t="str">
            <v>A</v>
          </cell>
          <cell r="N31" t="str">
            <v>A</v>
          </cell>
          <cell r="O31" t="str">
            <v>A</v>
          </cell>
          <cell r="P31" t="str">
            <v>C</v>
          </cell>
          <cell r="Q31" t="str">
            <v>C</v>
          </cell>
          <cell r="R31" t="str">
            <v>A</v>
          </cell>
          <cell r="S31"/>
          <cell r="T31"/>
          <cell r="U31"/>
          <cell r="V31"/>
          <cell r="W31"/>
          <cell r="X31">
            <v>62.399999999999991</v>
          </cell>
        </row>
        <row r="32">
          <cell r="C32">
            <v>2224583</v>
          </cell>
          <cell r="D32" t="str">
            <v>ТВЗК "КИЇВСЬКИЙ АКАДЕМІЧНИЙ ТЕАТР ЛЯЛЬОК"</v>
          </cell>
          <cell r="E32">
            <v>45636.679199999999</v>
          </cell>
          <cell r="F32">
            <v>45566</v>
          </cell>
          <cell r="G32" t="str">
            <v>E</v>
          </cell>
          <cell r="H32" t="str">
            <v>B</v>
          </cell>
          <cell r="I32" t="str">
            <v>B</v>
          </cell>
          <cell r="J32" t="str">
            <v>A</v>
          </cell>
          <cell r="K32" t="str">
            <v>D</v>
          </cell>
          <cell r="L32" t="str">
            <v>A</v>
          </cell>
          <cell r="M32" t="str">
            <v>A</v>
          </cell>
          <cell r="N32" t="str">
            <v>B</v>
          </cell>
          <cell r="O32" t="str">
            <v>A</v>
          </cell>
          <cell r="P32" t="str">
            <v>B</v>
          </cell>
          <cell r="Q32" t="str">
            <v>B</v>
          </cell>
          <cell r="R32" t="str">
            <v>A</v>
          </cell>
          <cell r="S32"/>
          <cell r="T32"/>
          <cell r="U32"/>
          <cell r="V32"/>
          <cell r="W32"/>
          <cell r="X32">
            <v>54.7</v>
          </cell>
        </row>
        <row r="33">
          <cell r="C33">
            <v>2649437</v>
          </cell>
          <cell r="D33" t="str">
            <v>ПРАТ "МИРГОРОДКУРОРТ"</v>
          </cell>
          <cell r="E33">
            <v>45621.957300000002</v>
          </cell>
          <cell r="F33">
            <v>45566</v>
          </cell>
          <cell r="G33" t="str">
            <v>E</v>
          </cell>
          <cell r="H33" t="str">
            <v>A</v>
          </cell>
          <cell r="I33" t="str">
            <v>B</v>
          </cell>
          <cell r="J33" t="str">
            <v>B</v>
          </cell>
          <cell r="K33" t="str">
            <v>D</v>
          </cell>
          <cell r="L33" t="str">
            <v>B</v>
          </cell>
          <cell r="M33" t="str">
            <v>B</v>
          </cell>
          <cell r="N33" t="str">
            <v>B</v>
          </cell>
          <cell r="O33" t="str">
            <v>A</v>
          </cell>
          <cell r="P33" t="str">
            <v>C</v>
          </cell>
          <cell r="Q33" t="str">
            <v>B</v>
          </cell>
          <cell r="R33" t="str">
            <v>A</v>
          </cell>
          <cell r="S33"/>
          <cell r="T33"/>
          <cell r="U33"/>
          <cell r="V33"/>
          <cell r="W33"/>
          <cell r="X33">
            <v>46.9</v>
          </cell>
        </row>
        <row r="34">
          <cell r="C34">
            <v>3567397</v>
          </cell>
          <cell r="D34" t="str">
            <v>ТОВ "ПЛАЗМАТЕК"</v>
          </cell>
          <cell r="E34">
            <v>45880.755100000002</v>
          </cell>
          <cell r="F34">
            <v>45658</v>
          </cell>
          <cell r="G34" t="str">
            <v>B</v>
          </cell>
          <cell r="H34" t="str">
            <v>B</v>
          </cell>
          <cell r="I34" t="str">
            <v>B</v>
          </cell>
          <cell r="J34" t="str">
            <v>D</v>
          </cell>
          <cell r="K34" t="str">
            <v>D</v>
          </cell>
          <cell r="L34" t="str">
            <v>A</v>
          </cell>
          <cell r="M34" t="str">
            <v>A</v>
          </cell>
          <cell r="N34" t="str">
            <v>C</v>
          </cell>
          <cell r="O34" t="str">
            <v>A</v>
          </cell>
          <cell r="P34" t="str">
            <v>C</v>
          </cell>
          <cell r="Q34" t="str">
            <v>B</v>
          </cell>
          <cell r="R34" t="str">
            <v>B</v>
          </cell>
          <cell r="S34"/>
          <cell r="T34"/>
          <cell r="U34"/>
          <cell r="V34"/>
          <cell r="W34"/>
          <cell r="X34">
            <v>63.800000000000004</v>
          </cell>
        </row>
        <row r="35">
          <cell r="C35">
            <v>3568113</v>
          </cell>
          <cell r="D35" t="str">
            <v>СТОВ "ПОЛІСЬКИЙ КРАЙ"</v>
          </cell>
          <cell r="E35">
            <v>45700.422400000003</v>
          </cell>
          <cell r="F35">
            <v>45566</v>
          </cell>
          <cell r="G35" t="str">
            <v>E</v>
          </cell>
          <cell r="H35" t="str">
            <v>C</v>
          </cell>
          <cell r="I35" t="str">
            <v>B</v>
          </cell>
          <cell r="J35" t="str">
            <v>C</v>
          </cell>
          <cell r="K35" t="str">
            <v>E</v>
          </cell>
          <cell r="L35" t="str">
            <v>A</v>
          </cell>
          <cell r="M35" t="str">
            <v>C</v>
          </cell>
          <cell r="N35" t="str">
            <v>B</v>
          </cell>
          <cell r="O35" t="str">
            <v>B</v>
          </cell>
          <cell r="P35" t="str">
            <v>C</v>
          </cell>
          <cell r="Q35" t="str">
            <v>B</v>
          </cell>
          <cell r="R35" t="str">
            <v>C</v>
          </cell>
          <cell r="S35"/>
          <cell r="T35"/>
          <cell r="U35"/>
          <cell r="V35"/>
          <cell r="W35"/>
          <cell r="X35">
            <v>38.5</v>
          </cell>
        </row>
        <row r="36">
          <cell r="C36">
            <v>3581836</v>
          </cell>
          <cell r="D36" t="str">
            <v>ТОВ "КРАСНОКУТСЬКИЙ АШБУД"</v>
          </cell>
          <cell r="E36">
            <v>45791.5245</v>
          </cell>
          <cell r="F36">
            <v>45566</v>
          </cell>
          <cell r="G36" t="str">
            <v>E</v>
          </cell>
          <cell r="H36" t="str">
            <v>C</v>
          </cell>
          <cell r="I36" t="str">
            <v>B</v>
          </cell>
          <cell r="J36" t="str">
            <v>C</v>
          </cell>
          <cell r="K36" t="str">
            <v>D</v>
          </cell>
          <cell r="L36" t="str">
            <v>B</v>
          </cell>
          <cell r="M36" t="str">
            <v>B</v>
          </cell>
          <cell r="N36" t="str">
            <v>B</v>
          </cell>
          <cell r="O36" t="str">
            <v>B</v>
          </cell>
          <cell r="P36" t="str">
            <v>C</v>
          </cell>
          <cell r="Q36" t="str">
            <v>B</v>
          </cell>
          <cell r="R36" t="str">
            <v>C</v>
          </cell>
          <cell r="S36"/>
          <cell r="T36"/>
          <cell r="U36"/>
          <cell r="V36"/>
          <cell r="W36"/>
          <cell r="X36">
            <v>36.1</v>
          </cell>
        </row>
        <row r="37">
          <cell r="C37">
            <v>3731260</v>
          </cell>
          <cell r="D37" t="str">
            <v>ФГ "ДРУЖБА-Л"</v>
          </cell>
          <cell r="E37">
            <v>45985.454400000002</v>
          </cell>
          <cell r="F37">
            <v>45658</v>
          </cell>
          <cell r="G37" t="str">
            <v>E</v>
          </cell>
          <cell r="H37" t="str">
            <v>B</v>
          </cell>
          <cell r="I37" t="str">
            <v>B</v>
          </cell>
          <cell r="J37" t="str">
            <v>B</v>
          </cell>
          <cell r="K37" t="str">
            <v>D</v>
          </cell>
          <cell r="L37" t="str">
            <v>A</v>
          </cell>
          <cell r="M37" t="str">
            <v>A</v>
          </cell>
          <cell r="N37" t="str">
            <v>B</v>
          </cell>
          <cell r="O37" t="str">
            <v>A</v>
          </cell>
          <cell r="P37" t="str">
            <v>C</v>
          </cell>
          <cell r="Q37" t="str">
            <v>C</v>
          </cell>
          <cell r="R37" t="str">
            <v>A</v>
          </cell>
          <cell r="S37"/>
          <cell r="T37"/>
          <cell r="U37"/>
          <cell r="V37"/>
          <cell r="W37"/>
          <cell r="X37">
            <v>53.9</v>
          </cell>
        </row>
        <row r="38">
          <cell r="C38">
            <v>3743405</v>
          </cell>
          <cell r="D38" t="str">
            <v>ПОСП "Колос"</v>
          </cell>
          <cell r="E38">
            <v>45700.422400000003</v>
          </cell>
          <cell r="F38">
            <v>45566</v>
          </cell>
          <cell r="G38" t="str">
            <v>E</v>
          </cell>
          <cell r="H38" t="str">
            <v>C</v>
          </cell>
          <cell r="I38" t="str">
            <v>B</v>
          </cell>
          <cell r="J38" t="str">
            <v>C</v>
          </cell>
          <cell r="K38" t="str">
            <v>E</v>
          </cell>
          <cell r="L38" t="str">
            <v>A</v>
          </cell>
          <cell r="M38" t="str">
            <v>C</v>
          </cell>
          <cell r="N38" t="str">
            <v>B</v>
          </cell>
          <cell r="O38" t="str">
            <v>B</v>
          </cell>
          <cell r="P38" t="str">
            <v>C</v>
          </cell>
          <cell r="Q38" t="str">
            <v>B</v>
          </cell>
          <cell r="R38" t="str">
            <v>C</v>
          </cell>
          <cell r="S38"/>
          <cell r="T38"/>
          <cell r="U38"/>
          <cell r="V38"/>
          <cell r="W38"/>
          <cell r="X38">
            <v>38.5</v>
          </cell>
        </row>
        <row r="39">
          <cell r="C39">
            <v>3794590</v>
          </cell>
          <cell r="D39" t="str">
            <v>СТОВ Агрофірма "Заячківка"</v>
          </cell>
          <cell r="E39">
            <v>45803.992400000003</v>
          </cell>
          <cell r="F39">
            <v>45658</v>
          </cell>
          <cell r="G39" t="str">
            <v>E</v>
          </cell>
          <cell r="H39" t="str">
            <v>B</v>
          </cell>
          <cell r="I39" t="str">
            <v>B</v>
          </cell>
          <cell r="J39" t="str">
            <v>A</v>
          </cell>
          <cell r="K39" t="str">
            <v>D</v>
          </cell>
          <cell r="L39" t="str">
            <v>B</v>
          </cell>
          <cell r="M39" t="str">
            <v>A</v>
          </cell>
          <cell r="N39" t="str">
            <v>B</v>
          </cell>
          <cell r="O39" t="str">
            <v>A</v>
          </cell>
          <cell r="P39" t="str">
            <v>A</v>
          </cell>
          <cell r="Q39" t="str">
            <v>B</v>
          </cell>
          <cell r="R39" t="str">
            <v>A</v>
          </cell>
          <cell r="S39"/>
          <cell r="T39"/>
          <cell r="U39"/>
          <cell r="V39"/>
          <cell r="W39"/>
          <cell r="X39">
            <v>52.300000000000004</v>
          </cell>
        </row>
        <row r="40">
          <cell r="C40">
            <v>3796761</v>
          </cell>
          <cell r="D40" t="str">
            <v>ТОВ ІМ. ШЕВЧЕНКА</v>
          </cell>
          <cell r="E40">
            <v>45723.782200000001</v>
          </cell>
          <cell r="F40">
            <v>45566</v>
          </cell>
          <cell r="G40" t="str">
            <v>E</v>
          </cell>
          <cell r="H40" t="str">
            <v>C</v>
          </cell>
          <cell r="I40" t="str">
            <v>B</v>
          </cell>
          <cell r="J40" t="str">
            <v>A</v>
          </cell>
          <cell r="K40" t="str">
            <v>D</v>
          </cell>
          <cell r="L40" t="str">
            <v>B</v>
          </cell>
          <cell r="M40" t="str">
            <v>A</v>
          </cell>
          <cell r="N40" t="str">
            <v>B</v>
          </cell>
          <cell r="O40" t="str">
            <v>A</v>
          </cell>
          <cell r="P40" t="str">
            <v>C</v>
          </cell>
          <cell r="Q40" t="str">
            <v>B</v>
          </cell>
          <cell r="R40" t="str">
            <v>A</v>
          </cell>
          <cell r="S40"/>
          <cell r="T40"/>
          <cell r="U40"/>
          <cell r="V40"/>
          <cell r="W40"/>
          <cell r="X40">
            <v>46.499999999999993</v>
          </cell>
        </row>
        <row r="41">
          <cell r="C41">
            <v>5430596</v>
          </cell>
          <cell r="D41" t="str">
            <v>ПРАТ "ФІТОФАРМ"</v>
          </cell>
          <cell r="E41">
            <v>45951.446199999998</v>
          </cell>
          <cell r="F41">
            <v>45839</v>
          </cell>
          <cell r="G41" t="str">
            <v>E</v>
          </cell>
          <cell r="H41" t="str">
            <v>B</v>
          </cell>
          <cell r="I41" t="str">
            <v>B</v>
          </cell>
          <cell r="J41" t="str">
            <v>C</v>
          </cell>
          <cell r="K41" t="str">
            <v>B</v>
          </cell>
          <cell r="L41" t="str">
            <v>B</v>
          </cell>
          <cell r="M41" t="str">
            <v>B</v>
          </cell>
          <cell r="N41" t="str">
            <v>B</v>
          </cell>
          <cell r="O41" t="str">
            <v>A</v>
          </cell>
          <cell r="P41" t="str">
            <v>C</v>
          </cell>
          <cell r="Q41" t="str">
            <v>B</v>
          </cell>
          <cell r="R41" t="str">
            <v>C</v>
          </cell>
          <cell r="S41"/>
          <cell r="T41"/>
          <cell r="U41"/>
          <cell r="V41"/>
          <cell r="W41"/>
          <cell r="X41">
            <v>44.900000000000006</v>
          </cell>
        </row>
        <row r="42">
          <cell r="C42">
            <v>5761873</v>
          </cell>
          <cell r="D42" t="str">
            <v>АТ "ЛЬВІВСЬКИЙ ХІМІЧНИЙ ЗАВОД"</v>
          </cell>
          <cell r="E42">
            <v>45650.543799999999</v>
          </cell>
          <cell r="F42">
            <v>45566</v>
          </cell>
          <cell r="G42" t="str">
            <v>D</v>
          </cell>
          <cell r="H42" t="str">
            <v>B</v>
          </cell>
          <cell r="I42" t="str">
            <v>D</v>
          </cell>
          <cell r="J42" t="str">
            <v>A</v>
          </cell>
          <cell r="K42" t="str">
            <v>D</v>
          </cell>
          <cell r="L42" t="str">
            <v>A</v>
          </cell>
          <cell r="M42" t="str">
            <v>A</v>
          </cell>
          <cell r="N42" t="str">
            <v>B</v>
          </cell>
          <cell r="O42" t="str">
            <v>A</v>
          </cell>
          <cell r="P42" t="str">
            <v>C</v>
          </cell>
          <cell r="Q42" t="str">
            <v>B</v>
          </cell>
          <cell r="R42" t="str">
            <v>A</v>
          </cell>
          <cell r="S42"/>
          <cell r="T42"/>
          <cell r="U42"/>
          <cell r="V42"/>
          <cell r="W42"/>
          <cell r="X42">
            <v>49.7</v>
          </cell>
        </row>
        <row r="43">
          <cell r="C43">
            <v>6681089</v>
          </cell>
          <cell r="D43" t="str">
            <v>Д.ТРЕЙДІНГ ІНТЕРНЕШНЛ СА (D.TRADING INTERNATIONAL SA)</v>
          </cell>
          <cell r="E43">
            <v>45959.486400000002</v>
          </cell>
          <cell r="F43">
            <v>45658</v>
          </cell>
          <cell r="G43" t="str">
            <v>B</v>
          </cell>
          <cell r="H43" t="str">
            <v>C</v>
          </cell>
          <cell r="I43" t="str">
            <v>C</v>
          </cell>
          <cell r="J43" t="str">
            <v>C</v>
          </cell>
          <cell r="K43" t="str">
            <v>C</v>
          </cell>
          <cell r="L43" t="str">
            <v>A</v>
          </cell>
          <cell r="M43" t="str">
            <v>A</v>
          </cell>
          <cell r="N43" t="str">
            <v>A</v>
          </cell>
          <cell r="O43" t="str">
            <v>A</v>
          </cell>
          <cell r="P43" t="str">
            <v>C</v>
          </cell>
          <cell r="Q43" t="str">
            <v>B</v>
          </cell>
          <cell r="R43" t="str">
            <v>A</v>
          </cell>
          <cell r="S43"/>
          <cell r="T43"/>
          <cell r="U43"/>
          <cell r="V43"/>
          <cell r="W43"/>
          <cell r="X43">
            <v>63</v>
          </cell>
        </row>
        <row r="44">
          <cell r="C44">
            <v>9335025</v>
          </cell>
          <cell r="D44" t="str">
            <v>RSE s.r.o / ТОВ «РСЕ» с.р.о.</v>
          </cell>
          <cell r="E44">
            <v>45855.606299999999</v>
          </cell>
          <cell r="F44">
            <v>45658</v>
          </cell>
          <cell r="G44" t="str">
            <v>C</v>
          </cell>
          <cell r="H44" t="str">
            <v>B</v>
          </cell>
          <cell r="I44" t="str">
            <v>B</v>
          </cell>
          <cell r="J44" t="str">
            <v>A</v>
          </cell>
          <cell r="K44" t="str">
            <v>B</v>
          </cell>
          <cell r="L44" t="str">
            <v>A</v>
          </cell>
          <cell r="M44" t="str">
            <v>A</v>
          </cell>
          <cell r="N44" t="str">
            <v>B</v>
          </cell>
          <cell r="O44" t="str">
            <v>A</v>
          </cell>
          <cell r="P44" t="str">
            <v>C</v>
          </cell>
          <cell r="Q44" t="str">
            <v>B</v>
          </cell>
          <cell r="R44" t="str">
            <v>A</v>
          </cell>
          <cell r="S44"/>
          <cell r="T44"/>
          <cell r="U44"/>
          <cell r="V44"/>
          <cell r="W44"/>
          <cell r="X44">
            <v>60.500000000000007</v>
          </cell>
        </row>
        <row r="45">
          <cell r="C45">
            <v>13508852</v>
          </cell>
          <cell r="D45" t="str">
            <v>ТОВ "КЕРАМЕТ"</v>
          </cell>
          <cell r="E45">
            <v>45917.590700000001</v>
          </cell>
          <cell r="F45">
            <v>45839</v>
          </cell>
          <cell r="G45" t="str">
            <v>E</v>
          </cell>
          <cell r="H45" t="str">
            <v>A</v>
          </cell>
          <cell r="I45" t="str">
            <v>A</v>
          </cell>
          <cell r="J45" t="str">
            <v>D</v>
          </cell>
          <cell r="K45" t="str">
            <v>D</v>
          </cell>
          <cell r="L45" t="str">
            <v>A</v>
          </cell>
          <cell r="M45" t="str">
            <v>A</v>
          </cell>
          <cell r="N45" t="str">
            <v>A</v>
          </cell>
          <cell r="O45" t="str">
            <v>A</v>
          </cell>
          <cell r="P45" t="str">
            <v>C</v>
          </cell>
          <cell r="Q45" t="str">
            <v>B</v>
          </cell>
          <cell r="R45" t="str">
            <v>A</v>
          </cell>
          <cell r="S45"/>
          <cell r="T45"/>
          <cell r="U45"/>
          <cell r="V45"/>
          <cell r="W45"/>
          <cell r="X45">
            <v>62.199999999999996</v>
          </cell>
        </row>
        <row r="46">
          <cell r="C46">
            <v>13838294</v>
          </cell>
          <cell r="D46" t="str">
            <v>ТЗОВ "МАРКЕТ УНІВЕРСАЛ ЛТД"</v>
          </cell>
          <cell r="E46">
            <v>45833.633099999999</v>
          </cell>
          <cell r="F46">
            <v>45748</v>
          </cell>
          <cell r="G46" t="str">
            <v>E</v>
          </cell>
          <cell r="H46" t="str">
            <v>B</v>
          </cell>
          <cell r="I46" t="str">
            <v>B</v>
          </cell>
          <cell r="J46" t="str">
            <v>B</v>
          </cell>
          <cell r="K46" t="str">
            <v>D</v>
          </cell>
          <cell r="L46" t="str">
            <v>B</v>
          </cell>
          <cell r="M46" t="str">
            <v>A</v>
          </cell>
          <cell r="N46" t="str">
            <v>B</v>
          </cell>
          <cell r="O46" t="str">
            <v>A</v>
          </cell>
          <cell r="P46" t="str">
            <v>C</v>
          </cell>
          <cell r="Q46" t="str">
            <v>B</v>
          </cell>
          <cell r="R46" t="str">
            <v>A</v>
          </cell>
          <cell r="S46"/>
          <cell r="T46"/>
          <cell r="U46"/>
          <cell r="V46"/>
          <cell r="W46"/>
          <cell r="X46">
            <v>50.9</v>
          </cell>
        </row>
        <row r="47">
          <cell r="C47">
            <v>13877727</v>
          </cell>
          <cell r="D47" t="str">
            <v>ТОВ "ПЕК"</v>
          </cell>
          <cell r="E47">
            <v>45686.732300000003</v>
          </cell>
          <cell r="F47">
            <v>45566</v>
          </cell>
          <cell r="G47" t="str">
            <v>E</v>
          </cell>
          <cell r="H47" t="str">
            <v>A</v>
          </cell>
          <cell r="I47" t="str">
            <v>C</v>
          </cell>
          <cell r="J47" t="str">
            <v>A</v>
          </cell>
          <cell r="K47" t="str">
            <v>D</v>
          </cell>
          <cell r="L47" t="str">
            <v>B</v>
          </cell>
          <cell r="M47" t="str">
            <v>A</v>
          </cell>
          <cell r="N47" t="str">
            <v>B</v>
          </cell>
          <cell r="O47" t="str">
            <v>A</v>
          </cell>
          <cell r="P47" t="str">
            <v>C</v>
          </cell>
          <cell r="Q47" t="str">
            <v>C</v>
          </cell>
          <cell r="R47" t="str">
            <v>A</v>
          </cell>
          <cell r="S47"/>
          <cell r="T47"/>
          <cell r="U47"/>
          <cell r="V47"/>
          <cell r="W47"/>
          <cell r="X47">
            <v>40.699999999999996</v>
          </cell>
        </row>
        <row r="48">
          <cell r="C48">
            <v>13906950</v>
          </cell>
          <cell r="D48" t="str">
            <v>ТОВ "МП ЕФЕС"</v>
          </cell>
          <cell r="E48">
            <v>45960.7765</v>
          </cell>
          <cell r="F48">
            <v>45839</v>
          </cell>
          <cell r="G48" t="str">
            <v>E</v>
          </cell>
          <cell r="H48" t="str">
            <v>B</v>
          </cell>
          <cell r="I48" t="str">
            <v>B</v>
          </cell>
          <cell r="J48" t="str">
            <v>A</v>
          </cell>
          <cell r="K48" t="str">
            <v>D</v>
          </cell>
          <cell r="L48" t="str">
            <v>A</v>
          </cell>
          <cell r="M48" t="str">
            <v>A</v>
          </cell>
          <cell r="N48" t="str">
            <v>B</v>
          </cell>
          <cell r="O48" t="str">
            <v>A</v>
          </cell>
          <cell r="P48" t="str">
            <v>C</v>
          </cell>
          <cell r="Q48" t="str">
            <v>B</v>
          </cell>
          <cell r="R48" t="str">
            <v>A</v>
          </cell>
          <cell r="X48">
            <v>52.9</v>
          </cell>
        </row>
        <row r="49">
          <cell r="C49">
            <v>13931059</v>
          </cell>
          <cell r="D49" t="str">
            <v>ТОВ-ПІДПРИЄМСТВО "ІЗУМРУД ЛТД"</v>
          </cell>
          <cell r="E49">
            <v>45895.414900000003</v>
          </cell>
          <cell r="F49">
            <v>45748</v>
          </cell>
          <cell r="G49" t="str">
            <v>D</v>
          </cell>
          <cell r="H49" t="str">
            <v>B</v>
          </cell>
          <cell r="I49" t="str">
            <v>B</v>
          </cell>
          <cell r="J49" t="str">
            <v>A</v>
          </cell>
          <cell r="K49" t="str">
            <v>D</v>
          </cell>
          <cell r="L49" t="str">
            <v>B</v>
          </cell>
          <cell r="M49" t="str">
            <v>A</v>
          </cell>
          <cell r="N49" t="str">
            <v>B</v>
          </cell>
          <cell r="O49" t="str">
            <v>A</v>
          </cell>
          <cell r="P49" t="str">
            <v>C</v>
          </cell>
          <cell r="Q49" t="str">
            <v>C</v>
          </cell>
          <cell r="R49" t="str">
            <v>C</v>
          </cell>
          <cell r="S49"/>
          <cell r="T49"/>
          <cell r="U49"/>
          <cell r="V49"/>
          <cell r="W49"/>
          <cell r="X49">
            <v>43.9</v>
          </cell>
        </row>
        <row r="50">
          <cell r="C50">
            <v>13938392</v>
          </cell>
          <cell r="D50" t="str">
            <v>ТОВ БФ "АСТРА"</v>
          </cell>
          <cell r="E50">
            <v>45750.502500000002</v>
          </cell>
          <cell r="F50">
            <v>45658</v>
          </cell>
          <cell r="G50" t="str">
            <v>E</v>
          </cell>
          <cell r="H50" t="str">
            <v>C</v>
          </cell>
          <cell r="I50" t="str">
            <v>B</v>
          </cell>
          <cell r="J50" t="str">
            <v>C</v>
          </cell>
          <cell r="K50" t="str">
            <v>D</v>
          </cell>
          <cell r="L50" t="str">
            <v>A</v>
          </cell>
          <cell r="M50" t="str">
            <v>A</v>
          </cell>
          <cell r="N50" t="str">
            <v>B</v>
          </cell>
          <cell r="O50" t="str">
            <v>A</v>
          </cell>
          <cell r="P50" t="str">
            <v>C</v>
          </cell>
          <cell r="Q50" t="str">
            <v>B</v>
          </cell>
          <cell r="R50" t="str">
            <v>A</v>
          </cell>
          <cell r="S50"/>
          <cell r="T50"/>
          <cell r="U50"/>
          <cell r="V50"/>
          <cell r="W50"/>
          <cell r="X50">
            <v>56.9</v>
          </cell>
        </row>
        <row r="51">
          <cell r="C51">
            <v>14013532</v>
          </cell>
          <cell r="D51" t="str">
            <v>ТОВ "ТД "УКРМІНХІМ"</v>
          </cell>
          <cell r="E51">
            <v>45699.6198</v>
          </cell>
          <cell r="F51">
            <v>45566</v>
          </cell>
          <cell r="G51" t="str">
            <v>D</v>
          </cell>
          <cell r="H51" t="str">
            <v>C</v>
          </cell>
          <cell r="I51" t="str">
            <v>B</v>
          </cell>
          <cell r="J51" t="str">
            <v>C</v>
          </cell>
          <cell r="K51" t="str">
            <v>D</v>
          </cell>
          <cell r="L51" t="str">
            <v>A</v>
          </cell>
          <cell r="M51" t="str">
            <v>A</v>
          </cell>
          <cell r="N51" t="str">
            <v>A</v>
          </cell>
          <cell r="O51" t="str">
            <v>A</v>
          </cell>
          <cell r="P51" t="str">
            <v>C</v>
          </cell>
          <cell r="Q51" t="str">
            <v>B</v>
          </cell>
          <cell r="R51" t="str">
            <v>A</v>
          </cell>
          <cell r="S51"/>
          <cell r="T51"/>
          <cell r="U51"/>
          <cell r="V51"/>
          <cell r="W51"/>
          <cell r="X51">
            <v>63.8</v>
          </cell>
        </row>
        <row r="52">
          <cell r="C52">
            <v>14284053</v>
          </cell>
          <cell r="D52" t="str">
            <v>ТОВ "ІЛТА"</v>
          </cell>
          <cell r="E52">
            <v>45596.6011</v>
          </cell>
          <cell r="F52">
            <v>45474</v>
          </cell>
          <cell r="G52" t="str">
            <v>D</v>
          </cell>
          <cell r="H52" t="str">
            <v>B</v>
          </cell>
          <cell r="I52" t="str">
            <v>B</v>
          </cell>
          <cell r="J52" t="str">
            <v>D</v>
          </cell>
          <cell r="K52" t="str">
            <v>D</v>
          </cell>
          <cell r="L52" t="str">
            <v>A</v>
          </cell>
          <cell r="M52" t="str">
            <v>A</v>
          </cell>
          <cell r="N52" t="str">
            <v>A</v>
          </cell>
          <cell r="O52" t="str">
            <v>A</v>
          </cell>
          <cell r="P52" t="str">
            <v>B</v>
          </cell>
          <cell r="Q52" t="str">
            <v>A</v>
          </cell>
          <cell r="R52" t="str">
            <v>A</v>
          </cell>
          <cell r="S52"/>
          <cell r="T52"/>
          <cell r="U52"/>
          <cell r="V52"/>
          <cell r="W52"/>
          <cell r="X52">
            <v>72</v>
          </cell>
        </row>
        <row r="53">
          <cell r="C53">
            <v>14291113</v>
          </cell>
          <cell r="D53" t="str">
            <v>ТОВ СП "НІБУЛОН"</v>
          </cell>
          <cell r="E53">
            <v>45911</v>
          </cell>
          <cell r="F53">
            <v>45658</v>
          </cell>
          <cell r="G53" t="str">
            <v>D</v>
          </cell>
          <cell r="H53" t="str">
            <v>C</v>
          </cell>
          <cell r="I53" t="str">
            <v>C</v>
          </cell>
          <cell r="J53" t="str">
            <v>A</v>
          </cell>
          <cell r="K53" t="str">
            <v>D</v>
          </cell>
          <cell r="L53" t="str">
            <v>B</v>
          </cell>
          <cell r="M53" t="str">
            <v>E</v>
          </cell>
          <cell r="N53" t="str">
            <v>B</v>
          </cell>
          <cell r="O53" t="str">
            <v>A</v>
          </cell>
          <cell r="P53" t="str">
            <v>C</v>
          </cell>
          <cell r="Q53" t="str">
            <v>A</v>
          </cell>
          <cell r="R53" t="str">
            <v>A</v>
          </cell>
          <cell r="S53"/>
          <cell r="T53"/>
          <cell r="U53"/>
          <cell r="V53"/>
          <cell r="W53"/>
          <cell r="X53">
            <v>36.5</v>
          </cell>
        </row>
        <row r="54">
          <cell r="C54">
            <v>14300875</v>
          </cell>
          <cell r="D54" t="str">
            <v>ТОВ "УКРІНФОРМТРЕЙД"</v>
          </cell>
          <cell r="E54">
            <v>45586.630299999997</v>
          </cell>
          <cell r="F54">
            <v>45474</v>
          </cell>
          <cell r="G54" t="str">
            <v>E</v>
          </cell>
          <cell r="H54" t="str">
            <v>B</v>
          </cell>
          <cell r="I54" t="str">
            <v>C</v>
          </cell>
          <cell r="J54" t="str">
            <v>B</v>
          </cell>
          <cell r="K54" t="str">
            <v>D</v>
          </cell>
          <cell r="L54" t="str">
            <v>A</v>
          </cell>
          <cell r="M54" t="str">
            <v>D</v>
          </cell>
          <cell r="N54" t="str">
            <v>D</v>
          </cell>
          <cell r="O54" t="str">
            <v>A</v>
          </cell>
          <cell r="P54" t="str">
            <v>C</v>
          </cell>
          <cell r="Q54" t="str">
            <v>C</v>
          </cell>
          <cell r="R54" t="str">
            <v>A</v>
          </cell>
          <cell r="S54"/>
          <cell r="T54"/>
          <cell r="U54"/>
          <cell r="V54"/>
          <cell r="W54"/>
          <cell r="X54">
            <v>35.200000000000003</v>
          </cell>
        </row>
        <row r="55">
          <cell r="C55">
            <v>14307529</v>
          </cell>
          <cell r="D55" t="str">
            <v>АТ «АНТОНОВ»</v>
          </cell>
          <cell r="E55">
            <v>45966.404399999999</v>
          </cell>
          <cell r="F55">
            <v>45931</v>
          </cell>
          <cell r="G55" t="str">
            <v>B</v>
          </cell>
          <cell r="H55" t="str">
            <v>B</v>
          </cell>
          <cell r="I55" t="str">
            <v>B</v>
          </cell>
          <cell r="J55" t="str">
            <v>C</v>
          </cell>
          <cell r="K55" t="str">
            <v>D</v>
          </cell>
          <cell r="L55" t="str">
            <v>A</v>
          </cell>
          <cell r="M55" t="str">
            <v>A</v>
          </cell>
          <cell r="N55" t="str">
            <v>A</v>
          </cell>
          <cell r="O55" t="str">
            <v>A</v>
          </cell>
          <cell r="P55" t="str">
            <v>C</v>
          </cell>
          <cell r="Q55" t="str">
            <v>B</v>
          </cell>
          <cell r="R55" t="str">
            <v>A</v>
          </cell>
          <cell r="X55">
            <v>69.800000000000011</v>
          </cell>
        </row>
        <row r="56">
          <cell r="C56">
            <v>14307794</v>
          </cell>
          <cell r="D56" t="str">
            <v>АТ "МОТОР СІЧ"</v>
          </cell>
          <cell r="E56">
            <v>45971.499499999998</v>
          </cell>
          <cell r="F56">
            <v>45839</v>
          </cell>
          <cell r="G56" t="str">
            <v>A</v>
          </cell>
          <cell r="H56" t="str">
            <v>B</v>
          </cell>
          <cell r="I56" t="str">
            <v>B</v>
          </cell>
          <cell r="J56" t="str">
            <v>D</v>
          </cell>
          <cell r="K56" t="str">
            <v>D</v>
          </cell>
          <cell r="L56" t="str">
            <v>A</v>
          </cell>
          <cell r="M56" t="str">
            <v>A</v>
          </cell>
          <cell r="N56" t="str">
            <v>B</v>
          </cell>
          <cell r="O56" t="str">
            <v>A</v>
          </cell>
          <cell r="P56" t="str">
            <v>C</v>
          </cell>
          <cell r="Q56" t="str">
            <v>C</v>
          </cell>
          <cell r="R56" t="str">
            <v>B</v>
          </cell>
          <cell r="S56"/>
          <cell r="T56"/>
          <cell r="U56"/>
          <cell r="V56"/>
          <cell r="W56"/>
          <cell r="X56">
            <v>61.9</v>
          </cell>
        </row>
        <row r="57">
          <cell r="C57">
            <v>14311169</v>
          </cell>
          <cell r="D57" t="str">
            <v>ПРАТ "КМЗ", ПРАТ "КАРЛІВСЬКИЙ МАШИНОБУДІВНИЙ ЗАВОД"</v>
          </cell>
          <cell r="E57">
            <v>45933.651700000002</v>
          </cell>
          <cell r="F57">
            <v>45839</v>
          </cell>
          <cell r="G57" t="str">
            <v>D</v>
          </cell>
          <cell r="H57" t="str">
            <v>C</v>
          </cell>
          <cell r="I57" t="str">
            <v>B</v>
          </cell>
          <cell r="J57" t="str">
            <v>B</v>
          </cell>
          <cell r="K57" t="str">
            <v>D</v>
          </cell>
          <cell r="L57" t="str">
            <v>A</v>
          </cell>
          <cell r="M57" t="str">
            <v>A</v>
          </cell>
          <cell r="N57" t="str">
            <v>B</v>
          </cell>
          <cell r="O57" t="str">
            <v>A</v>
          </cell>
          <cell r="P57" t="str">
            <v>C</v>
          </cell>
          <cell r="Q57" t="str">
            <v>B</v>
          </cell>
          <cell r="R57" t="str">
            <v>A</v>
          </cell>
          <cell r="X57">
            <v>57.699999999999996</v>
          </cell>
        </row>
        <row r="58">
          <cell r="C58">
            <v>14338180</v>
          </cell>
          <cell r="D58" t="str">
            <v>ТОВ "СЛАВСАНТ"</v>
          </cell>
          <cell r="E58">
            <v>45722.548900000002</v>
          </cell>
          <cell r="F58">
            <v>45566</v>
          </cell>
          <cell r="G58" t="str">
            <v>E</v>
          </cell>
          <cell r="H58" t="str">
            <v>B</v>
          </cell>
          <cell r="I58" t="str">
            <v>B</v>
          </cell>
          <cell r="J58" t="str">
            <v>D</v>
          </cell>
          <cell r="K58" t="str">
            <v>D</v>
          </cell>
          <cell r="L58" t="str">
            <v>B</v>
          </cell>
          <cell r="M58" t="str">
            <v>C</v>
          </cell>
          <cell r="N58" t="str">
            <v>A</v>
          </cell>
          <cell r="O58" t="str">
            <v>A</v>
          </cell>
          <cell r="P58" t="str">
            <v>C</v>
          </cell>
          <cell r="Q58" t="str">
            <v>B</v>
          </cell>
          <cell r="R58" t="str">
            <v>A</v>
          </cell>
          <cell r="S58"/>
          <cell r="T58"/>
          <cell r="U58"/>
          <cell r="V58"/>
          <cell r="W58"/>
          <cell r="X58">
            <v>51.8</v>
          </cell>
        </row>
        <row r="59">
          <cell r="C59">
            <v>14344944</v>
          </cell>
          <cell r="D59" t="str">
            <v>ТзОВ "Віденська кава"</v>
          </cell>
          <cell r="E59">
            <v>45978.420400000003</v>
          </cell>
          <cell r="F59">
            <v>45931</v>
          </cell>
          <cell r="G59" t="str">
            <v>D</v>
          </cell>
          <cell r="H59" t="str">
            <v>B</v>
          </cell>
          <cell r="I59" t="str">
            <v>B</v>
          </cell>
          <cell r="J59" t="str">
            <v>B</v>
          </cell>
          <cell r="K59" t="str">
            <v>C</v>
          </cell>
          <cell r="L59" t="str">
            <v>A</v>
          </cell>
          <cell r="M59" t="str">
            <v>A</v>
          </cell>
          <cell r="N59" t="str">
            <v>A</v>
          </cell>
          <cell r="O59" t="str">
            <v>A</v>
          </cell>
          <cell r="P59" t="str">
            <v>C</v>
          </cell>
          <cell r="Q59" t="str">
            <v>B</v>
          </cell>
          <cell r="R59" t="str">
            <v>A</v>
          </cell>
          <cell r="X59">
            <v>65.400000000000006</v>
          </cell>
        </row>
        <row r="60">
          <cell r="C60">
            <v>16305477</v>
          </cell>
          <cell r="D60" t="str">
            <v>ТОВ "СавВАТС"</v>
          </cell>
          <cell r="E60">
            <v>45959.733</v>
          </cell>
          <cell r="F60">
            <v>45839</v>
          </cell>
          <cell r="G60" t="str">
            <v>E</v>
          </cell>
          <cell r="H60" t="str">
            <v>A</v>
          </cell>
          <cell r="I60" t="str">
            <v>B</v>
          </cell>
          <cell r="J60" t="str">
            <v>A</v>
          </cell>
          <cell r="K60" t="str">
            <v>D</v>
          </cell>
          <cell r="L60" t="str">
            <v>A</v>
          </cell>
          <cell r="M60" t="str">
            <v>A</v>
          </cell>
          <cell r="N60" t="str">
            <v>B</v>
          </cell>
          <cell r="O60" t="str">
            <v>A</v>
          </cell>
          <cell r="P60" t="str">
            <v>C</v>
          </cell>
          <cell r="Q60" t="str">
            <v>B</v>
          </cell>
          <cell r="R60" t="str">
            <v>A</v>
          </cell>
          <cell r="S60"/>
          <cell r="T60"/>
          <cell r="U60"/>
          <cell r="V60"/>
          <cell r="W60"/>
          <cell r="X60">
            <v>55.300000000000004</v>
          </cell>
        </row>
        <row r="61">
          <cell r="C61">
            <v>19151204</v>
          </cell>
          <cell r="D61" t="str">
            <v>ПрАТ "ДНІПРОВСЬКИЙ ЗАВОД "АЛЮМАШ"</v>
          </cell>
          <cell r="E61">
            <v>45558.563000000002</v>
          </cell>
          <cell r="F61">
            <v>45474</v>
          </cell>
          <cell r="G61" t="str">
            <v>E</v>
          </cell>
          <cell r="H61" t="str">
            <v>A</v>
          </cell>
          <cell r="I61" t="str">
            <v>A</v>
          </cell>
          <cell r="J61" t="str">
            <v>A</v>
          </cell>
          <cell r="K61" t="str">
            <v>D</v>
          </cell>
          <cell r="L61" t="str">
            <v>A</v>
          </cell>
          <cell r="M61" t="str">
            <v>A</v>
          </cell>
          <cell r="N61" t="str">
            <v>B</v>
          </cell>
          <cell r="O61" t="str">
            <v>A</v>
          </cell>
          <cell r="P61" t="str">
            <v>C</v>
          </cell>
          <cell r="Q61" t="str">
            <v>B</v>
          </cell>
          <cell r="R61" t="str">
            <v>A</v>
          </cell>
          <cell r="S61"/>
          <cell r="T61"/>
          <cell r="U61"/>
          <cell r="V61"/>
          <cell r="W61"/>
          <cell r="X61">
            <v>50.9</v>
          </cell>
        </row>
        <row r="62">
          <cell r="C62">
            <v>19338138</v>
          </cell>
          <cell r="D62" t="str">
            <v>ПрАТ "ЛАКМА"</v>
          </cell>
          <cell r="E62">
            <v>45596.3534</v>
          </cell>
          <cell r="F62">
            <v>45474</v>
          </cell>
          <cell r="G62" t="str">
            <v>E</v>
          </cell>
          <cell r="H62" t="str">
            <v>B</v>
          </cell>
          <cell r="I62" t="str">
            <v>B</v>
          </cell>
          <cell r="J62" t="str">
            <v>B</v>
          </cell>
          <cell r="K62" t="str">
            <v>D</v>
          </cell>
          <cell r="L62" t="str">
            <v>A</v>
          </cell>
          <cell r="M62" t="str">
            <v>A</v>
          </cell>
          <cell r="N62" t="str">
            <v>A</v>
          </cell>
          <cell r="O62" t="str">
            <v>A</v>
          </cell>
          <cell r="P62" t="str">
            <v>C</v>
          </cell>
          <cell r="Q62" t="str">
            <v>B</v>
          </cell>
          <cell r="R62" t="str">
            <v>A</v>
          </cell>
          <cell r="S62"/>
          <cell r="T62"/>
          <cell r="U62"/>
          <cell r="V62"/>
          <cell r="W62"/>
          <cell r="X62">
            <v>59</v>
          </cell>
        </row>
        <row r="63">
          <cell r="C63">
            <v>19394119</v>
          </cell>
          <cell r="D63" t="str">
            <v>ПП "Вестхім"</v>
          </cell>
          <cell r="E63">
            <v>45874.492700000003</v>
          </cell>
          <cell r="F63">
            <v>45748</v>
          </cell>
          <cell r="G63" t="str">
            <v>E</v>
          </cell>
          <cell r="H63" t="str">
            <v>A</v>
          </cell>
          <cell r="I63" t="str">
            <v>C</v>
          </cell>
          <cell r="J63" t="str">
            <v>A</v>
          </cell>
          <cell r="K63" t="str">
            <v>D</v>
          </cell>
          <cell r="L63" t="str">
            <v>B</v>
          </cell>
          <cell r="M63" t="str">
            <v>A</v>
          </cell>
          <cell r="N63" t="str">
            <v>B</v>
          </cell>
          <cell r="O63" t="str">
            <v>A</v>
          </cell>
          <cell r="P63" t="str">
            <v>C</v>
          </cell>
          <cell r="Q63" t="str">
            <v>B</v>
          </cell>
          <cell r="R63" t="str">
            <v>A</v>
          </cell>
          <cell r="S63"/>
          <cell r="T63"/>
          <cell r="U63"/>
          <cell r="V63"/>
          <cell r="W63"/>
          <cell r="X63">
            <v>42.5</v>
          </cell>
        </row>
        <row r="64">
          <cell r="C64">
            <v>20122395</v>
          </cell>
          <cell r="D64" t="str">
            <v>ТОВ "ОККО-ДРАЙВ"</v>
          </cell>
          <cell r="E64">
            <v>45653.631099999999</v>
          </cell>
          <cell r="F64">
            <v>45474</v>
          </cell>
          <cell r="G64" t="str">
            <v>C</v>
          </cell>
          <cell r="H64" t="str">
            <v>C</v>
          </cell>
          <cell r="I64" t="str">
            <v>B</v>
          </cell>
          <cell r="J64" t="str">
            <v>C</v>
          </cell>
          <cell r="K64" t="str">
            <v>D</v>
          </cell>
          <cell r="L64" t="str">
            <v>A</v>
          </cell>
          <cell r="M64" t="str">
            <v>A</v>
          </cell>
          <cell r="N64" t="str">
            <v>A</v>
          </cell>
          <cell r="O64" t="str">
            <v>B</v>
          </cell>
          <cell r="P64" t="str">
            <v>C</v>
          </cell>
          <cell r="Q64" t="str">
            <v>B</v>
          </cell>
          <cell r="R64" t="str">
            <v>A</v>
          </cell>
          <cell r="S64"/>
          <cell r="T64"/>
          <cell r="U64"/>
          <cell r="V64"/>
          <cell r="W64"/>
          <cell r="X64">
            <v>60.599999999999994</v>
          </cell>
        </row>
        <row r="65">
          <cell r="C65">
            <v>20303352</v>
          </cell>
          <cell r="D65" t="str">
            <v>ТОВ "ЗАВОД "ПСМ"</v>
          </cell>
          <cell r="E65">
            <v>45948.830699999999</v>
          </cell>
          <cell r="F65">
            <v>45658</v>
          </cell>
          <cell r="G65" t="str">
            <v>E</v>
          </cell>
          <cell r="H65" t="str">
            <v>B</v>
          </cell>
          <cell r="I65" t="str">
            <v>B</v>
          </cell>
          <cell r="J65" t="str">
            <v>A</v>
          </cell>
          <cell r="K65" t="str">
            <v>D</v>
          </cell>
          <cell r="L65" t="str">
            <v>B</v>
          </cell>
          <cell r="M65" t="str">
            <v>B</v>
          </cell>
          <cell r="N65" t="str">
            <v>B</v>
          </cell>
          <cell r="O65" t="str">
            <v>A</v>
          </cell>
          <cell r="P65" t="str">
            <v>C</v>
          </cell>
          <cell r="Q65" t="str">
            <v>B</v>
          </cell>
          <cell r="R65" t="str">
            <v>A</v>
          </cell>
          <cell r="S65"/>
          <cell r="T65"/>
          <cell r="U65"/>
          <cell r="V65"/>
          <cell r="W65"/>
          <cell r="X65">
            <v>41.7</v>
          </cell>
        </row>
        <row r="66">
          <cell r="C66">
            <v>20620489</v>
          </cell>
          <cell r="D66" t="str">
            <v>ПРАТ "ПЕНТОПАК"</v>
          </cell>
          <cell r="E66">
            <v>45862.927300000003</v>
          </cell>
          <cell r="F66">
            <v>45748</v>
          </cell>
          <cell r="G66" t="str">
            <v>E</v>
          </cell>
          <cell r="H66" t="str">
            <v>B</v>
          </cell>
          <cell r="I66" t="str">
            <v>C</v>
          </cell>
          <cell r="J66" t="str">
            <v>A</v>
          </cell>
          <cell r="K66" t="str">
            <v>D</v>
          </cell>
          <cell r="L66" t="str">
            <v>A</v>
          </cell>
          <cell r="M66" t="str">
            <v>A</v>
          </cell>
          <cell r="N66" t="str">
            <v>B</v>
          </cell>
          <cell r="O66" t="str">
            <v>A</v>
          </cell>
          <cell r="P66" t="str">
            <v>C</v>
          </cell>
          <cell r="Q66" t="str">
            <v>C</v>
          </cell>
          <cell r="R66" t="str">
            <v>A</v>
          </cell>
          <cell r="X66">
            <v>43.099999999999994</v>
          </cell>
        </row>
        <row r="67">
          <cell r="C67">
            <v>20641422</v>
          </cell>
          <cell r="D67" t="str">
            <v>ТОВ ФІРМА  "АЛЕКО"</v>
          </cell>
          <cell r="E67">
            <v>45639.675000000003</v>
          </cell>
          <cell r="F67">
            <v>45566</v>
          </cell>
          <cell r="G67" t="str">
            <v>E</v>
          </cell>
          <cell r="H67" t="str">
            <v>B</v>
          </cell>
          <cell r="I67" t="str">
            <v>B</v>
          </cell>
          <cell r="J67" t="str">
            <v>B</v>
          </cell>
          <cell r="K67" t="str">
            <v>D</v>
          </cell>
          <cell r="L67" t="str">
            <v>B</v>
          </cell>
          <cell r="M67" t="str">
            <v>A</v>
          </cell>
          <cell r="N67" t="str">
            <v>A</v>
          </cell>
          <cell r="O67" t="str">
            <v>A</v>
          </cell>
          <cell r="P67" t="str">
            <v>C</v>
          </cell>
          <cell r="Q67" t="str">
            <v>B</v>
          </cell>
          <cell r="R67" t="str">
            <v>A</v>
          </cell>
          <cell r="X67">
            <v>54.199999999999996</v>
          </cell>
        </row>
        <row r="68">
          <cell r="C68">
            <v>20651018</v>
          </cell>
          <cell r="D68" t="str">
            <v>ПП "ВІКТОР І К"</v>
          </cell>
          <cell r="E68">
            <v>45866.767399999997</v>
          </cell>
          <cell r="F68">
            <v>45748</v>
          </cell>
          <cell r="G68" t="str">
            <v>D</v>
          </cell>
          <cell r="H68" t="str">
            <v>B</v>
          </cell>
          <cell r="I68" t="str">
            <v>B</v>
          </cell>
          <cell r="J68" t="str">
            <v>B</v>
          </cell>
          <cell r="K68" t="str">
            <v>D</v>
          </cell>
          <cell r="L68" t="str">
            <v>A</v>
          </cell>
          <cell r="M68" t="str">
            <v>A</v>
          </cell>
          <cell r="N68" t="str">
            <v>B</v>
          </cell>
          <cell r="O68" t="str">
            <v>B</v>
          </cell>
          <cell r="P68" t="str">
            <v>B</v>
          </cell>
          <cell r="Q68" t="str">
            <v>B</v>
          </cell>
          <cell r="R68" t="str">
            <v>A</v>
          </cell>
          <cell r="X68">
            <v>57.500000000000007</v>
          </cell>
        </row>
        <row r="69">
          <cell r="C69">
            <v>20873670</v>
          </cell>
          <cell r="D69" t="str">
            <v>ППФ "ЮНІКС ТРЕЙД КО"</v>
          </cell>
          <cell r="E69">
            <v>45832.481299999999</v>
          </cell>
          <cell r="F69">
            <v>45658</v>
          </cell>
          <cell r="G69" t="str">
            <v>E</v>
          </cell>
          <cell r="H69" t="str">
            <v>C</v>
          </cell>
          <cell r="I69" t="str">
            <v>A</v>
          </cell>
          <cell r="J69" t="str">
            <v>A</v>
          </cell>
          <cell r="K69" t="str">
            <v>B</v>
          </cell>
          <cell r="L69" t="str">
            <v>A</v>
          </cell>
          <cell r="M69" t="str">
            <v>A</v>
          </cell>
          <cell r="N69" t="str">
            <v>B</v>
          </cell>
          <cell r="O69" t="str">
            <v>A</v>
          </cell>
          <cell r="P69" t="str">
            <v>C</v>
          </cell>
          <cell r="Q69" t="str">
            <v>B</v>
          </cell>
          <cell r="R69" t="str">
            <v>A</v>
          </cell>
          <cell r="X69">
            <v>50.5</v>
          </cell>
        </row>
        <row r="70">
          <cell r="C70">
            <v>20920180</v>
          </cell>
          <cell r="D70" t="str">
            <v>ТОВ "ЕЛЕФАНТ"</v>
          </cell>
          <cell r="E70">
            <v>45705.411</v>
          </cell>
          <cell r="F70">
            <v>45658</v>
          </cell>
          <cell r="G70" t="str">
            <v>E</v>
          </cell>
          <cell r="H70" t="str">
            <v>C</v>
          </cell>
          <cell r="I70" t="str">
            <v>B</v>
          </cell>
          <cell r="J70" t="str">
            <v>D</v>
          </cell>
          <cell r="K70" t="str">
            <v>D</v>
          </cell>
          <cell r="L70" t="str">
            <v>A</v>
          </cell>
          <cell r="M70" t="str">
            <v>A</v>
          </cell>
          <cell r="N70" t="str">
            <v>B</v>
          </cell>
          <cell r="O70" t="str">
            <v>A</v>
          </cell>
          <cell r="P70" t="str">
            <v>C</v>
          </cell>
          <cell r="Q70" t="str">
            <v>B</v>
          </cell>
          <cell r="R70" t="str">
            <v>A</v>
          </cell>
          <cell r="X70">
            <v>59.300000000000004</v>
          </cell>
        </row>
        <row r="71">
          <cell r="C71">
            <v>20955698</v>
          </cell>
          <cell r="D71" t="str">
            <v>ТОВ ФІРМА "ОНИСС"</v>
          </cell>
          <cell r="E71">
            <v>45785.4571</v>
          </cell>
          <cell r="F71">
            <v>45658</v>
          </cell>
          <cell r="G71" t="str">
            <v>E</v>
          </cell>
          <cell r="H71" t="str">
            <v>A</v>
          </cell>
          <cell r="I71" t="str">
            <v>C</v>
          </cell>
          <cell r="J71" t="str">
            <v>A</v>
          </cell>
          <cell r="K71" t="str">
            <v>F</v>
          </cell>
          <cell r="L71" t="str">
            <v>B</v>
          </cell>
          <cell r="M71" t="str">
            <v>A</v>
          </cell>
          <cell r="N71" t="str">
            <v>B</v>
          </cell>
          <cell r="O71" t="str">
            <v>A</v>
          </cell>
          <cell r="P71" t="str">
            <v>C</v>
          </cell>
          <cell r="Q71" t="str">
            <v>B</v>
          </cell>
          <cell r="R71" t="str">
            <v>C</v>
          </cell>
          <cell r="X71">
            <v>33.299999999999997</v>
          </cell>
        </row>
        <row r="72">
          <cell r="C72">
            <v>21031996</v>
          </cell>
          <cell r="D72" t="str">
            <v>ФІРМА "ПОЛІМЕД"</v>
          </cell>
          <cell r="E72">
            <v>45579.374799999998</v>
          </cell>
          <cell r="F72">
            <v>45474</v>
          </cell>
          <cell r="G72" t="str">
            <v>E</v>
          </cell>
          <cell r="H72" t="str">
            <v>B</v>
          </cell>
          <cell r="I72" t="str">
            <v>B</v>
          </cell>
          <cell r="J72" t="str">
            <v>B</v>
          </cell>
          <cell r="K72" t="str">
            <v>D</v>
          </cell>
          <cell r="L72" t="str">
            <v>A</v>
          </cell>
          <cell r="M72" t="str">
            <v>B</v>
          </cell>
          <cell r="N72" t="str">
            <v>B</v>
          </cell>
          <cell r="O72" t="str">
            <v>A</v>
          </cell>
          <cell r="P72" t="str">
            <v>C</v>
          </cell>
          <cell r="Q72" t="str">
            <v>C</v>
          </cell>
          <cell r="R72" t="str">
            <v>A</v>
          </cell>
          <cell r="X72">
            <v>47.5</v>
          </cell>
        </row>
        <row r="73">
          <cell r="C73">
            <v>21127532</v>
          </cell>
          <cell r="D73" t="str">
            <v>ТОВ "УКРТЕХНОСИНТЕЗ"</v>
          </cell>
          <cell r="E73">
            <v>45702.761599999998</v>
          </cell>
          <cell r="F73">
            <v>45566</v>
          </cell>
          <cell r="G73" t="str">
            <v>D</v>
          </cell>
          <cell r="H73" t="str">
            <v>B</v>
          </cell>
          <cell r="I73" t="str">
            <v>D</v>
          </cell>
          <cell r="J73" t="str">
            <v>D</v>
          </cell>
          <cell r="K73" t="str">
            <v>E</v>
          </cell>
          <cell r="L73" t="str">
            <v>B</v>
          </cell>
          <cell r="M73" t="str">
            <v>B</v>
          </cell>
          <cell r="N73" t="str">
            <v>D</v>
          </cell>
          <cell r="O73" t="str">
            <v>A</v>
          </cell>
          <cell r="P73" t="str">
            <v>C</v>
          </cell>
          <cell r="Q73" t="str">
            <v>B</v>
          </cell>
          <cell r="R73" t="str">
            <v>B</v>
          </cell>
          <cell r="X73">
            <v>39</v>
          </cell>
        </row>
        <row r="74">
          <cell r="C74">
            <v>21131806</v>
          </cell>
          <cell r="D74" t="str">
            <v>СГ ТОВ"ДРУЖБА"</v>
          </cell>
          <cell r="E74">
            <v>45672.716</v>
          </cell>
          <cell r="F74">
            <v>45566</v>
          </cell>
          <cell r="G74" t="str">
            <v>E</v>
          </cell>
          <cell r="H74" t="str">
            <v>B</v>
          </cell>
          <cell r="I74" t="str">
            <v>D</v>
          </cell>
          <cell r="J74" t="str">
            <v>A</v>
          </cell>
          <cell r="K74" t="str">
            <v>D</v>
          </cell>
          <cell r="L74" t="str">
            <v>A</v>
          </cell>
          <cell r="M74" t="str">
            <v>A</v>
          </cell>
          <cell r="N74" t="str">
            <v>A</v>
          </cell>
          <cell r="O74" t="str">
            <v>A</v>
          </cell>
          <cell r="P74" t="str">
            <v>C</v>
          </cell>
          <cell r="Q74" t="str">
            <v>B</v>
          </cell>
          <cell r="R74" t="str">
            <v>A</v>
          </cell>
          <cell r="X74">
            <v>49.4</v>
          </cell>
        </row>
        <row r="75">
          <cell r="C75">
            <v>21278751</v>
          </cell>
          <cell r="D75" t="str">
            <v>ПП "ВКФ "ДИАДЕМА-КОНСАЛТИНГ"</v>
          </cell>
          <cell r="E75">
            <v>45636.655400000003</v>
          </cell>
          <cell r="F75">
            <v>45566</v>
          </cell>
          <cell r="G75" t="str">
            <v>E</v>
          </cell>
          <cell r="H75" t="str">
            <v>B</v>
          </cell>
          <cell r="I75" t="str">
            <v>B</v>
          </cell>
          <cell r="J75" t="str">
            <v>D</v>
          </cell>
          <cell r="K75" t="str">
            <v>D</v>
          </cell>
          <cell r="L75" t="str">
            <v>A</v>
          </cell>
          <cell r="M75" t="str">
            <v>A</v>
          </cell>
          <cell r="N75" t="str">
            <v>A</v>
          </cell>
          <cell r="O75" t="str">
            <v>A</v>
          </cell>
          <cell r="P75" t="str">
            <v>C</v>
          </cell>
          <cell r="Q75" t="str">
            <v>B</v>
          </cell>
          <cell r="R75" t="str">
            <v>A</v>
          </cell>
          <cell r="X75">
            <v>64.199999999999989</v>
          </cell>
        </row>
        <row r="76">
          <cell r="C76">
            <v>21560045</v>
          </cell>
          <cell r="D76" t="str">
            <v>АТ "Укрпошта"</v>
          </cell>
          <cell r="E76">
            <v>45748.673900000002</v>
          </cell>
          <cell r="F76">
            <v>45566</v>
          </cell>
          <cell r="G76" t="str">
            <v>A</v>
          </cell>
          <cell r="H76" t="str">
            <v>D</v>
          </cell>
          <cell r="I76" t="str">
            <v>D</v>
          </cell>
          <cell r="J76" t="str">
            <v>C</v>
          </cell>
          <cell r="K76" t="str">
            <v>D</v>
          </cell>
          <cell r="L76" t="str">
            <v>A</v>
          </cell>
          <cell r="M76" t="str">
            <v>A</v>
          </cell>
          <cell r="N76" t="str">
            <v>A</v>
          </cell>
          <cell r="O76" t="str">
            <v>A</v>
          </cell>
          <cell r="P76" t="str">
            <v>C</v>
          </cell>
          <cell r="Q76" t="str">
            <v>B</v>
          </cell>
          <cell r="R76" t="str">
            <v>A</v>
          </cell>
          <cell r="X76">
            <v>55.800000000000004</v>
          </cell>
        </row>
        <row r="77">
          <cell r="C77">
            <v>21560766</v>
          </cell>
          <cell r="D77" t="str">
            <v>АТ "УКРТЕЛЕКОМ"</v>
          </cell>
          <cell r="E77">
            <v>45552.680699999997</v>
          </cell>
          <cell r="F77">
            <v>45474</v>
          </cell>
          <cell r="G77" t="str">
            <v>B</v>
          </cell>
          <cell r="H77" t="str">
            <v>C</v>
          </cell>
          <cell r="I77" t="str">
            <v>B</v>
          </cell>
          <cell r="J77" t="str">
            <v>A</v>
          </cell>
          <cell r="K77" t="str">
            <v>D</v>
          </cell>
          <cell r="L77" t="str">
            <v>A</v>
          </cell>
          <cell r="M77" t="str">
            <v>A</v>
          </cell>
          <cell r="N77" t="str">
            <v>B</v>
          </cell>
          <cell r="O77" t="str">
            <v>A</v>
          </cell>
          <cell r="P77" t="str">
            <v>A</v>
          </cell>
          <cell r="Q77" t="str">
            <v>B</v>
          </cell>
          <cell r="R77" t="str">
            <v>A</v>
          </cell>
          <cell r="X77">
            <v>63.500000000000007</v>
          </cell>
        </row>
        <row r="78">
          <cell r="C78">
            <v>21665318</v>
          </cell>
          <cell r="D78" t="str">
            <v>ТОВ "АВЕР-ТЕХ"</v>
          </cell>
          <cell r="E78">
            <v>45960.723100000003</v>
          </cell>
          <cell r="F78">
            <v>45839</v>
          </cell>
          <cell r="G78" t="str">
            <v>E</v>
          </cell>
          <cell r="H78" t="str">
            <v>A</v>
          </cell>
          <cell r="I78" t="str">
            <v>B</v>
          </cell>
          <cell r="J78" t="str">
            <v>B</v>
          </cell>
          <cell r="K78" t="str">
            <v>D</v>
          </cell>
          <cell r="L78" t="str">
            <v>A</v>
          </cell>
          <cell r="M78" t="str">
            <v>A</v>
          </cell>
          <cell r="N78" t="str">
            <v>B</v>
          </cell>
          <cell r="O78" t="str">
            <v>A</v>
          </cell>
          <cell r="P78" t="str">
            <v>C</v>
          </cell>
          <cell r="Q78" t="str">
            <v>C</v>
          </cell>
          <cell r="R78" t="str">
            <v>A</v>
          </cell>
          <cell r="X78">
            <v>56.3</v>
          </cell>
        </row>
        <row r="79">
          <cell r="C79">
            <v>21672519</v>
          </cell>
          <cell r="D79" t="str">
            <v>ТОВ "ХФК "БІОКОН"</v>
          </cell>
          <cell r="E79">
            <v>45992.643300000003</v>
          </cell>
          <cell r="F79">
            <v>45931</v>
          </cell>
          <cell r="G79" t="str">
            <v>E</v>
          </cell>
          <cell r="H79" t="str">
            <v>C</v>
          </cell>
          <cell r="I79" t="str">
            <v>A</v>
          </cell>
          <cell r="J79" t="str">
            <v>A</v>
          </cell>
          <cell r="K79" t="str">
            <v>B</v>
          </cell>
          <cell r="L79" t="str">
            <v>A</v>
          </cell>
          <cell r="M79" t="str">
            <v>A</v>
          </cell>
          <cell r="N79" t="str">
            <v>A</v>
          </cell>
          <cell r="O79" t="str">
            <v>A</v>
          </cell>
          <cell r="P79" t="str">
            <v>C</v>
          </cell>
          <cell r="Q79" t="str">
            <v>B</v>
          </cell>
          <cell r="R79" t="str">
            <v>C</v>
          </cell>
          <cell r="X79">
            <v>47.8</v>
          </cell>
        </row>
        <row r="80">
          <cell r="C80">
            <v>21739072</v>
          </cell>
          <cell r="D80" t="str">
            <v>ТОВ "ТАТРАФАН"</v>
          </cell>
          <cell r="E80">
            <v>45812.387000000002</v>
          </cell>
          <cell r="F80">
            <v>45748</v>
          </cell>
          <cell r="G80" t="str">
            <v>D</v>
          </cell>
          <cell r="H80" t="str">
            <v>B</v>
          </cell>
          <cell r="I80" t="str">
            <v>B</v>
          </cell>
          <cell r="J80" t="str">
            <v>A</v>
          </cell>
          <cell r="K80" t="str">
            <v>A</v>
          </cell>
          <cell r="L80" t="str">
            <v>A</v>
          </cell>
          <cell r="M80" t="str">
            <v>B</v>
          </cell>
          <cell r="N80" t="str">
            <v>A</v>
          </cell>
          <cell r="O80" t="str">
            <v>A</v>
          </cell>
          <cell r="P80" t="str">
            <v>A</v>
          </cell>
          <cell r="Q80" t="str">
            <v>A</v>
          </cell>
          <cell r="R80" t="str">
            <v>B</v>
          </cell>
          <cell r="X80">
            <v>61.2</v>
          </cell>
        </row>
        <row r="81">
          <cell r="C81">
            <v>21751578</v>
          </cell>
          <cell r="D81" t="str">
            <v>СП ТОВ "МОДЕРН-ЕКСПО"</v>
          </cell>
          <cell r="E81">
            <v>45638.983</v>
          </cell>
          <cell r="F81">
            <v>45566</v>
          </cell>
          <cell r="G81" t="str">
            <v>C</v>
          </cell>
          <cell r="H81" t="str">
            <v>B</v>
          </cell>
          <cell r="I81" t="str">
            <v>B</v>
          </cell>
          <cell r="J81" t="str">
            <v>B</v>
          </cell>
          <cell r="K81" t="str">
            <v>C</v>
          </cell>
          <cell r="L81" t="str">
            <v>A</v>
          </cell>
          <cell r="M81" t="str">
            <v>A</v>
          </cell>
          <cell r="N81" t="str">
            <v>A</v>
          </cell>
          <cell r="O81" t="str">
            <v>A</v>
          </cell>
          <cell r="P81" t="str">
            <v>C</v>
          </cell>
          <cell r="Q81" t="str">
            <v>B</v>
          </cell>
          <cell r="R81" t="str">
            <v>A</v>
          </cell>
          <cell r="X81">
            <v>65.800000000000011</v>
          </cell>
        </row>
        <row r="82">
          <cell r="C82">
            <v>21875464</v>
          </cell>
          <cell r="D82" t="str">
            <v>ТОВ ПП "ЗІП"</v>
          </cell>
          <cell r="E82">
            <v>45814</v>
          </cell>
          <cell r="F82">
            <v>45748</v>
          </cell>
          <cell r="G82" t="str">
            <v>E</v>
          </cell>
          <cell r="H82" t="str">
            <v>B</v>
          </cell>
          <cell r="I82" t="str">
            <v>A</v>
          </cell>
          <cell r="J82" t="str">
            <v>A</v>
          </cell>
          <cell r="K82" t="str">
            <v>C</v>
          </cell>
          <cell r="L82" t="str">
            <v>A</v>
          </cell>
          <cell r="M82" t="str">
            <v>A</v>
          </cell>
          <cell r="N82" t="str">
            <v>B</v>
          </cell>
          <cell r="O82" t="str">
            <v>A</v>
          </cell>
          <cell r="P82" t="str">
            <v>C</v>
          </cell>
          <cell r="Q82" t="str">
            <v>B</v>
          </cell>
          <cell r="R82" t="str">
            <v>A</v>
          </cell>
          <cell r="X82">
            <v>51.300000000000004</v>
          </cell>
        </row>
        <row r="83">
          <cell r="C83">
            <v>21899269</v>
          </cell>
          <cell r="D83" t="str">
            <v>ФГ "ЛЮДМИЛА І КО"</v>
          </cell>
          <cell r="E83">
            <v>45854.645900000003</v>
          </cell>
          <cell r="F83">
            <v>45748</v>
          </cell>
          <cell r="G83" t="str">
            <v>E</v>
          </cell>
          <cell r="H83" t="str">
            <v>B</v>
          </cell>
          <cell r="I83" t="str">
            <v>B</v>
          </cell>
          <cell r="J83" t="str">
            <v>B</v>
          </cell>
          <cell r="K83" t="str">
            <v>D</v>
          </cell>
          <cell r="L83" t="str">
            <v>B</v>
          </cell>
          <cell r="M83" t="str">
            <v>A</v>
          </cell>
          <cell r="N83" t="str">
            <v>B</v>
          </cell>
          <cell r="O83" t="str">
            <v>A</v>
          </cell>
          <cell r="P83" t="str">
            <v>C</v>
          </cell>
          <cell r="Q83" t="str">
            <v>B</v>
          </cell>
          <cell r="R83" t="str">
            <v>B</v>
          </cell>
          <cell r="X83">
            <v>47.3</v>
          </cell>
        </row>
        <row r="84">
          <cell r="C84">
            <v>22372423</v>
          </cell>
          <cell r="D84" t="str">
            <v>ТЗОВ "Ю.Р.К."</v>
          </cell>
          <cell r="E84">
            <v>45533.470399999998</v>
          </cell>
          <cell r="F84">
            <v>45474</v>
          </cell>
          <cell r="G84" t="str">
            <v>E</v>
          </cell>
          <cell r="H84" t="str">
            <v>A</v>
          </cell>
          <cell r="I84" t="str">
            <v>B</v>
          </cell>
          <cell r="J84" t="str">
            <v>C</v>
          </cell>
          <cell r="K84" t="str">
            <v>D</v>
          </cell>
          <cell r="L84" t="str">
            <v>A</v>
          </cell>
          <cell r="M84" t="str">
            <v>A</v>
          </cell>
          <cell r="N84" t="str">
            <v>A</v>
          </cell>
          <cell r="O84" t="str">
            <v>A</v>
          </cell>
          <cell r="P84" t="str">
            <v>C</v>
          </cell>
          <cell r="Q84" t="str">
            <v>B</v>
          </cell>
          <cell r="R84" t="str">
            <v>A</v>
          </cell>
          <cell r="X84">
            <v>64.199999999999989</v>
          </cell>
        </row>
        <row r="85">
          <cell r="C85">
            <v>22392394</v>
          </cell>
          <cell r="D85" t="str">
            <v>ТзОВ "ОВАЦІЯ"</v>
          </cell>
          <cell r="E85">
            <v>45588.540999999997</v>
          </cell>
          <cell r="F85">
            <v>45474</v>
          </cell>
          <cell r="G85" t="str">
            <v>E</v>
          </cell>
          <cell r="H85" t="str">
            <v>A</v>
          </cell>
          <cell r="I85" t="str">
            <v>B</v>
          </cell>
          <cell r="J85" t="str">
            <v>D</v>
          </cell>
          <cell r="K85" t="str">
            <v>D</v>
          </cell>
          <cell r="L85" t="str">
            <v>A</v>
          </cell>
          <cell r="M85" t="str">
            <v>A</v>
          </cell>
          <cell r="N85" t="str">
            <v>A</v>
          </cell>
          <cell r="O85" t="str">
            <v>A</v>
          </cell>
          <cell r="P85" t="str">
            <v>C</v>
          </cell>
          <cell r="Q85" t="str">
            <v>B</v>
          </cell>
          <cell r="R85" t="str">
            <v>B</v>
          </cell>
          <cell r="X85">
            <v>63</v>
          </cell>
        </row>
        <row r="86">
          <cell r="C86">
            <v>22447546</v>
          </cell>
          <cell r="D86" t="str">
            <v>ПІДПРИЄМСТВО "ФЛАГМАН" У ФОРМІ ТОВ</v>
          </cell>
          <cell r="E86">
            <v>45588.492400000003</v>
          </cell>
          <cell r="F86">
            <v>45474</v>
          </cell>
          <cell r="G86" t="str">
            <v>E</v>
          </cell>
          <cell r="H86" t="str">
            <v>C</v>
          </cell>
          <cell r="I86" t="str">
            <v>A</v>
          </cell>
          <cell r="J86" t="str">
            <v>C</v>
          </cell>
          <cell r="K86" t="str">
            <v>D</v>
          </cell>
          <cell r="L86" t="str">
            <v>B</v>
          </cell>
          <cell r="M86" t="str">
            <v>A</v>
          </cell>
          <cell r="N86" t="str">
            <v>A</v>
          </cell>
          <cell r="O86" t="str">
            <v>A</v>
          </cell>
          <cell r="P86" t="str">
            <v>C</v>
          </cell>
          <cell r="Q86" t="str">
            <v>B</v>
          </cell>
          <cell r="R86" t="str">
            <v>B</v>
          </cell>
          <cell r="X86">
            <v>47.399999999999991</v>
          </cell>
        </row>
        <row r="87">
          <cell r="C87">
            <v>22748650</v>
          </cell>
          <cell r="D87" t="str">
            <v>ТОВ НВФ "Дріада, ЛТД"</v>
          </cell>
          <cell r="E87">
            <v>45975.521800000002</v>
          </cell>
          <cell r="F87">
            <v>45658</v>
          </cell>
          <cell r="G87" t="str">
            <v>E</v>
          </cell>
          <cell r="H87" t="str">
            <v>B</v>
          </cell>
          <cell r="I87" t="str">
            <v>B</v>
          </cell>
          <cell r="J87" t="str">
            <v>B</v>
          </cell>
          <cell r="K87" t="str">
            <v>D</v>
          </cell>
          <cell r="L87" t="str">
            <v>A</v>
          </cell>
          <cell r="M87" t="str">
            <v>B</v>
          </cell>
          <cell r="N87" t="str">
            <v>A</v>
          </cell>
          <cell r="O87" t="str">
            <v>B</v>
          </cell>
          <cell r="P87" t="str">
            <v>C</v>
          </cell>
          <cell r="Q87" t="str">
            <v>C</v>
          </cell>
          <cell r="R87" t="str">
            <v>B</v>
          </cell>
          <cell r="X87">
            <v>43.599999999999994</v>
          </cell>
        </row>
        <row r="88">
          <cell r="C88">
            <v>22802562</v>
          </cell>
          <cell r="D88" t="str">
            <v>ПП "ВЛАНДЕР"</v>
          </cell>
          <cell r="E88">
            <v>45820.467700000001</v>
          </cell>
          <cell r="F88">
            <v>45748</v>
          </cell>
          <cell r="G88" t="str">
            <v>D</v>
          </cell>
          <cell r="H88" t="str">
            <v>A</v>
          </cell>
          <cell r="I88" t="str">
            <v>B</v>
          </cell>
          <cell r="J88" t="str">
            <v>A</v>
          </cell>
          <cell r="K88" t="str">
            <v>B</v>
          </cell>
          <cell r="L88" t="str">
            <v>A</v>
          </cell>
          <cell r="M88" t="str">
            <v>A</v>
          </cell>
          <cell r="N88" t="str">
            <v>A</v>
          </cell>
          <cell r="O88" t="str">
            <v>A</v>
          </cell>
          <cell r="P88" t="str">
            <v>A</v>
          </cell>
          <cell r="Q88" t="str">
            <v>B</v>
          </cell>
          <cell r="R88" t="str">
            <v>A</v>
          </cell>
          <cell r="X88">
            <v>70</v>
          </cell>
        </row>
        <row r="89">
          <cell r="C89">
            <v>23079576</v>
          </cell>
          <cell r="D89" t="str">
            <v>ТОВ "Бетонярня "Будмайстер"</v>
          </cell>
          <cell r="E89">
            <v>45948.830699999999</v>
          </cell>
          <cell r="F89">
            <v>45658</v>
          </cell>
          <cell r="G89" t="str">
            <v>E</v>
          </cell>
          <cell r="H89" t="str">
            <v>B</v>
          </cell>
          <cell r="I89" t="str">
            <v>B</v>
          </cell>
          <cell r="J89" t="str">
            <v>A</v>
          </cell>
          <cell r="K89" t="str">
            <v>D</v>
          </cell>
          <cell r="L89" t="str">
            <v>B</v>
          </cell>
          <cell r="M89" t="str">
            <v>B</v>
          </cell>
          <cell r="N89" t="str">
            <v>B</v>
          </cell>
          <cell r="O89" t="str">
            <v>A</v>
          </cell>
          <cell r="P89" t="str">
            <v>C</v>
          </cell>
          <cell r="Q89" t="str">
            <v>B</v>
          </cell>
          <cell r="R89" t="str">
            <v>A</v>
          </cell>
          <cell r="X89">
            <v>41.7</v>
          </cell>
        </row>
        <row r="90">
          <cell r="C90">
            <v>23182771</v>
          </cell>
          <cell r="D90" t="str">
            <v>ТОВ "ГЕФЕСТ. ЛТД"</v>
          </cell>
          <cell r="E90">
            <v>45730.466699999997</v>
          </cell>
          <cell r="F90">
            <v>45658</v>
          </cell>
          <cell r="G90" t="str">
            <v>E</v>
          </cell>
          <cell r="H90" t="str">
            <v>C</v>
          </cell>
          <cell r="I90" t="str">
            <v>D</v>
          </cell>
          <cell r="J90" t="str">
            <v>B</v>
          </cell>
          <cell r="K90" t="str">
            <v>B</v>
          </cell>
          <cell r="L90" t="str">
            <v>B</v>
          </cell>
          <cell r="M90" t="str">
            <v>A</v>
          </cell>
          <cell r="N90" t="str">
            <v>B</v>
          </cell>
          <cell r="O90" t="str">
            <v>B</v>
          </cell>
          <cell r="P90" t="str">
            <v>C</v>
          </cell>
          <cell r="Q90" t="str">
            <v>C</v>
          </cell>
          <cell r="R90" t="str">
            <v>A</v>
          </cell>
          <cell r="X90">
            <v>40.699999999999996</v>
          </cell>
        </row>
        <row r="91">
          <cell r="C91">
            <v>23764970</v>
          </cell>
          <cell r="D91" t="str">
            <v>ТОВ ВК "ІНДАСТРІ"</v>
          </cell>
          <cell r="E91">
            <v>45713.861599999997</v>
          </cell>
          <cell r="F91">
            <v>45566</v>
          </cell>
          <cell r="G91" t="str">
            <v>E</v>
          </cell>
          <cell r="H91" t="str">
            <v>B</v>
          </cell>
          <cell r="I91" t="str">
            <v>B</v>
          </cell>
          <cell r="J91" t="str">
            <v>C</v>
          </cell>
          <cell r="K91" t="str">
            <v>E</v>
          </cell>
          <cell r="L91" t="str">
            <v>B</v>
          </cell>
          <cell r="M91" t="str">
            <v>D</v>
          </cell>
          <cell r="N91" t="str">
            <v>C</v>
          </cell>
          <cell r="O91" t="str">
            <v>B</v>
          </cell>
          <cell r="P91" t="str">
            <v>C</v>
          </cell>
          <cell r="Q91" t="str">
            <v>C</v>
          </cell>
          <cell r="R91" t="str">
            <v>A</v>
          </cell>
          <cell r="X91">
            <v>37.6</v>
          </cell>
        </row>
        <row r="92">
          <cell r="C92">
            <v>23934596</v>
          </cell>
          <cell r="D92" t="str">
            <v>ТОВ ФІРМА "КАСКАД"</v>
          </cell>
          <cell r="E92">
            <v>45747.778599999998</v>
          </cell>
          <cell r="F92">
            <v>45658</v>
          </cell>
          <cell r="G92" t="str">
            <v>E</v>
          </cell>
          <cell r="H92" t="str">
            <v>C</v>
          </cell>
          <cell r="I92" t="str">
            <v>B</v>
          </cell>
          <cell r="J92" t="str">
            <v>A</v>
          </cell>
          <cell r="K92" t="str">
            <v>D</v>
          </cell>
          <cell r="L92" t="str">
            <v>B</v>
          </cell>
          <cell r="M92" t="str">
            <v>A</v>
          </cell>
          <cell r="N92" t="str">
            <v>C</v>
          </cell>
          <cell r="O92" t="str">
            <v>A</v>
          </cell>
          <cell r="P92" t="str">
            <v>C</v>
          </cell>
          <cell r="Q92" t="str">
            <v>C</v>
          </cell>
          <cell r="R92" t="str">
            <v>C</v>
          </cell>
          <cell r="X92">
            <v>37.199999999999989</v>
          </cell>
        </row>
        <row r="93">
          <cell r="C93">
            <v>23946642</v>
          </cell>
          <cell r="D93" t="str">
            <v>ТОВ ФІРМА "АЛМАЗ МОТОР, ЛТД"</v>
          </cell>
          <cell r="E93">
            <v>45674.599900000001</v>
          </cell>
          <cell r="F93">
            <v>45566</v>
          </cell>
          <cell r="G93" t="str">
            <v>E</v>
          </cell>
          <cell r="H93" t="str">
            <v>B</v>
          </cell>
          <cell r="I93" t="str">
            <v>B</v>
          </cell>
          <cell r="J93" t="str">
            <v>D</v>
          </cell>
          <cell r="K93" t="str">
            <v>D</v>
          </cell>
          <cell r="L93" t="str">
            <v>A</v>
          </cell>
          <cell r="M93" t="str">
            <v>A</v>
          </cell>
          <cell r="N93" t="str">
            <v>A</v>
          </cell>
          <cell r="O93" t="str">
            <v>A</v>
          </cell>
          <cell r="P93" t="str">
            <v>C</v>
          </cell>
          <cell r="Q93" t="str">
            <v>B</v>
          </cell>
          <cell r="R93" t="str">
            <v>B</v>
          </cell>
          <cell r="X93">
            <v>60.599999999999994</v>
          </cell>
        </row>
        <row r="94">
          <cell r="C94">
            <v>23957545</v>
          </cell>
          <cell r="D94" t="str">
            <v>ТОВ "ЕЛЬПЛАСТ-ЛЬВІВ"</v>
          </cell>
          <cell r="E94">
            <v>45974.6659</v>
          </cell>
          <cell r="F94">
            <v>45839</v>
          </cell>
          <cell r="G94" t="str">
            <v>D</v>
          </cell>
          <cell r="H94" t="str">
            <v>B</v>
          </cell>
          <cell r="I94" t="str">
            <v>B</v>
          </cell>
          <cell r="J94" t="str">
            <v>B</v>
          </cell>
          <cell r="K94" t="str">
            <v>B</v>
          </cell>
          <cell r="L94" t="str">
            <v>B</v>
          </cell>
          <cell r="M94" t="str">
            <v>B</v>
          </cell>
          <cell r="N94" t="str">
            <v>C</v>
          </cell>
          <cell r="O94" t="str">
            <v>A</v>
          </cell>
          <cell r="P94" t="str">
            <v>C</v>
          </cell>
          <cell r="Q94" t="str">
            <v>C</v>
          </cell>
          <cell r="R94" t="str">
            <v>A</v>
          </cell>
          <cell r="X94">
            <v>48.4</v>
          </cell>
        </row>
        <row r="95">
          <cell r="C95">
            <v>23958622</v>
          </cell>
          <cell r="D95" t="str">
            <v>ПрАТ "Галнафтохім"</v>
          </cell>
          <cell r="E95">
            <v>45918.628599999996</v>
          </cell>
          <cell r="F95">
            <v>45839</v>
          </cell>
          <cell r="G95" t="str">
            <v>E</v>
          </cell>
          <cell r="H95" t="str">
            <v>B</v>
          </cell>
          <cell r="I95" t="str">
            <v>A</v>
          </cell>
          <cell r="J95" t="str">
            <v>D</v>
          </cell>
          <cell r="K95" t="str">
            <v>D</v>
          </cell>
          <cell r="L95" t="str">
            <v>A</v>
          </cell>
          <cell r="M95" t="str">
            <v>A</v>
          </cell>
          <cell r="N95" t="str">
            <v>A</v>
          </cell>
          <cell r="O95" t="str">
            <v>A</v>
          </cell>
          <cell r="P95" t="str">
            <v>B</v>
          </cell>
          <cell r="Q95" t="str">
            <v>B</v>
          </cell>
          <cell r="R95" t="str">
            <v>C</v>
          </cell>
          <cell r="X95">
            <v>55.600000000000009</v>
          </cell>
        </row>
        <row r="96">
          <cell r="C96">
            <v>24127337</v>
          </cell>
          <cell r="D96" t="str">
            <v>ТОВ "АВТОМОБІЛЬНИЙ ДОМ "СОЛЛІ-ПЛЮС"</v>
          </cell>
          <cell r="E96">
            <v>45861.418100000003</v>
          </cell>
          <cell r="F96">
            <v>45748</v>
          </cell>
          <cell r="G96" t="str">
            <v>E</v>
          </cell>
          <cell r="H96" t="str">
            <v>B</v>
          </cell>
          <cell r="I96" t="str">
            <v>B</v>
          </cell>
          <cell r="J96" t="str">
            <v>C</v>
          </cell>
          <cell r="K96" t="str">
            <v>D</v>
          </cell>
          <cell r="L96" t="str">
            <v>A</v>
          </cell>
          <cell r="M96" t="str">
            <v>A</v>
          </cell>
          <cell r="N96" t="str">
            <v>B</v>
          </cell>
          <cell r="O96" t="str">
            <v>B</v>
          </cell>
          <cell r="P96" t="str">
            <v>C</v>
          </cell>
          <cell r="Q96" t="str">
            <v>B</v>
          </cell>
          <cell r="R96" t="str">
            <v>C</v>
          </cell>
          <cell r="X96">
            <v>48.900000000000006</v>
          </cell>
        </row>
        <row r="97">
          <cell r="C97">
            <v>24267110</v>
          </cell>
          <cell r="D97" t="str">
            <v>ПП "БУДПОСТАЧ"</v>
          </cell>
          <cell r="E97">
            <v>45707.598599999998</v>
          </cell>
          <cell r="F97">
            <v>45566</v>
          </cell>
          <cell r="G97" t="str">
            <v>D</v>
          </cell>
          <cell r="H97" t="str">
            <v>C</v>
          </cell>
          <cell r="I97" t="str">
            <v>B</v>
          </cell>
          <cell r="J97" t="str">
            <v>A</v>
          </cell>
          <cell r="K97" t="str">
            <v>C</v>
          </cell>
          <cell r="L97" t="str">
            <v>B</v>
          </cell>
          <cell r="M97" t="str">
            <v>A</v>
          </cell>
          <cell r="N97" t="str">
            <v>B</v>
          </cell>
          <cell r="O97" t="str">
            <v>A</v>
          </cell>
          <cell r="P97" t="str">
            <v>C</v>
          </cell>
          <cell r="Q97" t="str">
            <v>C</v>
          </cell>
          <cell r="R97" t="str">
            <v>C</v>
          </cell>
          <cell r="X97">
            <v>45.099999999999994</v>
          </cell>
        </row>
        <row r="98">
          <cell r="C98">
            <v>24316073</v>
          </cell>
          <cell r="D98" t="str">
            <v>ТОВ "ПАРАЛЛЕЛЬ-М ЛТД"</v>
          </cell>
          <cell r="E98">
            <v>45730.466699999997</v>
          </cell>
          <cell r="F98">
            <v>45658</v>
          </cell>
          <cell r="G98" t="str">
            <v>E</v>
          </cell>
          <cell r="H98" t="str">
            <v>C</v>
          </cell>
          <cell r="I98" t="str">
            <v>D</v>
          </cell>
          <cell r="J98" t="str">
            <v>B</v>
          </cell>
          <cell r="K98" t="str">
            <v>B</v>
          </cell>
          <cell r="L98" t="str">
            <v>B</v>
          </cell>
          <cell r="M98" t="str">
            <v>A</v>
          </cell>
          <cell r="N98" t="str">
            <v>B</v>
          </cell>
          <cell r="O98" t="str">
            <v>B</v>
          </cell>
          <cell r="P98" t="str">
            <v>C</v>
          </cell>
          <cell r="Q98" t="str">
            <v>C</v>
          </cell>
          <cell r="R98" t="str">
            <v>A</v>
          </cell>
          <cell r="X98">
            <v>40.699999999999996</v>
          </cell>
        </row>
        <row r="99">
          <cell r="C99">
            <v>24430567</v>
          </cell>
          <cell r="D99" t="str">
            <v>ПП "ДАСК-ЦЕНТР"</v>
          </cell>
          <cell r="E99">
            <v>45833.5432</v>
          </cell>
          <cell r="F99">
            <v>45748</v>
          </cell>
          <cell r="G99" t="str">
            <v>E</v>
          </cell>
          <cell r="H99" t="str">
            <v>B</v>
          </cell>
          <cell r="I99" t="str">
            <v>B</v>
          </cell>
          <cell r="J99" t="str">
            <v>A</v>
          </cell>
          <cell r="K99" t="str">
            <v>D</v>
          </cell>
          <cell r="L99" t="str">
            <v>A</v>
          </cell>
          <cell r="M99" t="str">
            <v>A</v>
          </cell>
          <cell r="N99" t="str">
            <v>B</v>
          </cell>
          <cell r="O99" t="str">
            <v>A</v>
          </cell>
          <cell r="P99" t="str">
            <v>C</v>
          </cell>
          <cell r="Q99" t="str">
            <v>B</v>
          </cell>
          <cell r="R99" t="str">
            <v>A</v>
          </cell>
          <cell r="X99">
            <v>52.9</v>
          </cell>
        </row>
        <row r="100">
          <cell r="C100">
            <v>24432974</v>
          </cell>
          <cell r="D100" t="str">
            <v>ПАТ "АРСЕЛОРМІТТАЛ КРИВИЙ РІГ"</v>
          </cell>
          <cell r="E100">
            <v>45981.718399999998</v>
          </cell>
          <cell r="F100">
            <v>45931</v>
          </cell>
          <cell r="G100" t="str">
            <v>B</v>
          </cell>
          <cell r="H100" t="str">
            <v>B</v>
          </cell>
          <cell r="I100" t="str">
            <v>B</v>
          </cell>
          <cell r="J100" t="str">
            <v>C</v>
          </cell>
          <cell r="K100" t="str">
            <v>D</v>
          </cell>
          <cell r="L100" t="str">
            <v>A</v>
          </cell>
          <cell r="M100" t="str">
            <v>A</v>
          </cell>
          <cell r="N100" t="str">
            <v>A</v>
          </cell>
          <cell r="O100" t="str">
            <v>A</v>
          </cell>
          <cell r="P100" t="str">
            <v>A</v>
          </cell>
          <cell r="Q100" t="str">
            <v>B</v>
          </cell>
          <cell r="R100" t="str">
            <v>C</v>
          </cell>
          <cell r="X100">
            <v>68</v>
          </cell>
        </row>
        <row r="101">
          <cell r="C101">
            <v>24435910</v>
          </cell>
          <cell r="D101" t="str">
            <v>ТОВ "УКРАГРОМЕТПРОМ"</v>
          </cell>
          <cell r="E101">
            <v>45645.5167</v>
          </cell>
          <cell r="F101">
            <v>45566</v>
          </cell>
          <cell r="G101" t="str">
            <v>E</v>
          </cell>
          <cell r="H101" t="str">
            <v>A</v>
          </cell>
          <cell r="I101" t="str">
            <v>A</v>
          </cell>
          <cell r="J101" t="str">
            <v>A</v>
          </cell>
          <cell r="K101" t="str">
            <v>D</v>
          </cell>
          <cell r="L101" t="str">
            <v>A</v>
          </cell>
          <cell r="M101" t="str">
            <v>A</v>
          </cell>
          <cell r="N101" t="str">
            <v>A</v>
          </cell>
          <cell r="O101" t="str">
            <v>A</v>
          </cell>
          <cell r="P101" t="str">
            <v>C</v>
          </cell>
          <cell r="Q101" t="str">
            <v>B</v>
          </cell>
          <cell r="R101" t="str">
            <v>A</v>
          </cell>
          <cell r="X101">
            <v>54.199999999999996</v>
          </cell>
        </row>
        <row r="102">
          <cell r="C102">
            <v>24615640</v>
          </cell>
          <cell r="D102" t="str">
            <v>ТОВ М'ЯСОКОМБІНАТ "ЮВІЛЕЙНИЙ"</v>
          </cell>
          <cell r="E102">
            <v>45874.732100000001</v>
          </cell>
          <cell r="F102">
            <v>45658</v>
          </cell>
          <cell r="G102" t="str">
            <v>D</v>
          </cell>
          <cell r="H102" t="str">
            <v>B</v>
          </cell>
          <cell r="I102" t="str">
            <v>B</v>
          </cell>
          <cell r="J102" t="str">
            <v>B</v>
          </cell>
          <cell r="K102" t="str">
            <v>D</v>
          </cell>
          <cell r="L102" t="str">
            <v>A</v>
          </cell>
          <cell r="M102" t="str">
            <v>A</v>
          </cell>
          <cell r="N102" t="str">
            <v>A</v>
          </cell>
          <cell r="O102" t="str">
            <v>A</v>
          </cell>
          <cell r="P102" t="str">
            <v>B</v>
          </cell>
          <cell r="Q102" t="str">
            <v>B</v>
          </cell>
          <cell r="R102" t="str">
            <v>A</v>
          </cell>
          <cell r="X102">
            <v>64.400000000000006</v>
          </cell>
        </row>
        <row r="103">
          <cell r="C103">
            <v>24942675</v>
          </cell>
          <cell r="D103" t="str">
            <v>ТОВ "ФІРМА"ВІКАНТ"</v>
          </cell>
          <cell r="E103">
            <v>45833.469400000002</v>
          </cell>
          <cell r="F103">
            <v>45748</v>
          </cell>
          <cell r="G103" t="str">
            <v>D</v>
          </cell>
          <cell r="H103" t="str">
            <v>C</v>
          </cell>
          <cell r="I103" t="str">
            <v>B</v>
          </cell>
          <cell r="J103" t="str">
            <v>B</v>
          </cell>
          <cell r="K103" t="str">
            <v>C</v>
          </cell>
          <cell r="L103" t="str">
            <v>A</v>
          </cell>
          <cell r="M103" t="str">
            <v>A</v>
          </cell>
          <cell r="N103" t="str">
            <v>B</v>
          </cell>
          <cell r="O103" t="str">
            <v>A</v>
          </cell>
          <cell r="P103" t="str">
            <v>C</v>
          </cell>
          <cell r="Q103" t="str">
            <v>B</v>
          </cell>
          <cell r="R103" t="str">
            <v>B</v>
          </cell>
          <cell r="X103">
            <v>56.9</v>
          </cell>
        </row>
        <row r="104">
          <cell r="C104">
            <v>25024651</v>
          </cell>
          <cell r="D104" t="str">
            <v>ТОВ "МУЛЬТИТРАНС"</v>
          </cell>
          <cell r="E104">
            <v>45875.487099999998</v>
          </cell>
          <cell r="F104">
            <v>45748</v>
          </cell>
          <cell r="G104" t="str">
            <v>E</v>
          </cell>
          <cell r="H104" t="str">
            <v>B</v>
          </cell>
          <cell r="I104" t="str">
            <v>B</v>
          </cell>
          <cell r="J104" t="str">
            <v>A</v>
          </cell>
          <cell r="K104" t="str">
            <v>D</v>
          </cell>
          <cell r="L104" t="str">
            <v>A</v>
          </cell>
          <cell r="M104" t="str">
            <v>A</v>
          </cell>
          <cell r="N104" t="str">
            <v>B</v>
          </cell>
          <cell r="O104" t="str">
            <v>B</v>
          </cell>
          <cell r="P104" t="str">
            <v>C</v>
          </cell>
          <cell r="Q104" t="str">
            <v>B</v>
          </cell>
          <cell r="R104" t="str">
            <v>A</v>
          </cell>
          <cell r="X104">
            <v>49.3</v>
          </cell>
        </row>
        <row r="105">
          <cell r="C105">
            <v>25101110</v>
          </cell>
          <cell r="D105" t="str">
            <v>ТОВ "АБ ПЛЮС"</v>
          </cell>
          <cell r="E105">
            <v>45897.684699999998</v>
          </cell>
          <cell r="F105">
            <v>45839</v>
          </cell>
          <cell r="G105" t="str">
            <v>E</v>
          </cell>
          <cell r="H105" t="str">
            <v>B</v>
          </cell>
          <cell r="I105" t="str">
            <v>C</v>
          </cell>
          <cell r="J105" t="str">
            <v>D</v>
          </cell>
          <cell r="K105" t="str">
            <v>D</v>
          </cell>
          <cell r="L105" t="str">
            <v>A</v>
          </cell>
          <cell r="M105" t="str">
            <v>A</v>
          </cell>
          <cell r="N105" t="str">
            <v>B</v>
          </cell>
          <cell r="O105" t="str">
            <v>A</v>
          </cell>
          <cell r="P105" t="str">
            <v>C</v>
          </cell>
          <cell r="Q105" t="str">
            <v>B</v>
          </cell>
          <cell r="R105" t="str">
            <v>C</v>
          </cell>
          <cell r="X105">
            <v>46.9</v>
          </cell>
        </row>
        <row r="106">
          <cell r="C106">
            <v>25264533</v>
          </cell>
          <cell r="D106" t="str">
            <v>ПІІ "ВІП-РЕНТ"</v>
          </cell>
          <cell r="E106">
            <v>45943.622300000003</v>
          </cell>
          <cell r="F106">
            <v>45839</v>
          </cell>
          <cell r="G106" t="str">
            <v>C</v>
          </cell>
          <cell r="H106" t="str">
            <v>B</v>
          </cell>
          <cell r="I106" t="str">
            <v>D</v>
          </cell>
          <cell r="J106" t="str">
            <v>A</v>
          </cell>
          <cell r="K106" t="str">
            <v>B</v>
          </cell>
          <cell r="L106" t="str">
            <v>A</v>
          </cell>
          <cell r="M106" t="str">
            <v>A</v>
          </cell>
          <cell r="N106" t="str">
            <v>B</v>
          </cell>
          <cell r="O106" t="str">
            <v>A</v>
          </cell>
          <cell r="P106" t="str">
            <v>A</v>
          </cell>
          <cell r="Q106" t="str">
            <v>B</v>
          </cell>
          <cell r="R106" t="str">
            <v>A</v>
          </cell>
          <cell r="X106">
            <v>57.900000000000006</v>
          </cell>
        </row>
        <row r="107">
          <cell r="C107">
            <v>25388117</v>
          </cell>
          <cell r="D107" t="str">
            <v>ТОВ "ТК "КИЇВСЬКИЙ СУПУТНИК"</v>
          </cell>
          <cell r="E107">
            <v>45785.566500000001</v>
          </cell>
          <cell r="F107">
            <v>45658</v>
          </cell>
          <cell r="G107" t="str">
            <v>E</v>
          </cell>
          <cell r="H107" t="str">
            <v>B</v>
          </cell>
          <cell r="I107" t="str">
            <v>B</v>
          </cell>
          <cell r="J107" t="str">
            <v>C</v>
          </cell>
          <cell r="K107" t="str">
            <v>D</v>
          </cell>
          <cell r="L107" t="str">
            <v>A</v>
          </cell>
          <cell r="M107" t="str">
            <v>A</v>
          </cell>
          <cell r="N107" t="str">
            <v>B</v>
          </cell>
          <cell r="O107" t="str">
            <v>A</v>
          </cell>
          <cell r="P107" t="str">
            <v>C</v>
          </cell>
          <cell r="Q107" t="str">
            <v>A</v>
          </cell>
          <cell r="R107" t="str">
            <v>A</v>
          </cell>
          <cell r="X107">
            <v>60.900000000000006</v>
          </cell>
        </row>
        <row r="108">
          <cell r="C108">
            <v>25414435</v>
          </cell>
          <cell r="D108" t="str">
            <v>ТОВ ФІРМА "ОДРІ"</v>
          </cell>
          <cell r="E108">
            <v>45895.545100000003</v>
          </cell>
          <cell r="F108">
            <v>45839</v>
          </cell>
          <cell r="G108" t="str">
            <v>E</v>
          </cell>
          <cell r="H108" t="str">
            <v>B</v>
          </cell>
          <cell r="I108" t="str">
            <v>A</v>
          </cell>
          <cell r="J108" t="str">
            <v>A</v>
          </cell>
          <cell r="K108" t="str">
            <v>D</v>
          </cell>
          <cell r="L108" t="str">
            <v>A</v>
          </cell>
          <cell r="M108" t="str">
            <v>A</v>
          </cell>
          <cell r="N108" t="str">
            <v>B</v>
          </cell>
          <cell r="O108" t="str">
            <v>A</v>
          </cell>
          <cell r="P108" t="str">
            <v>C</v>
          </cell>
          <cell r="Q108" t="str">
            <v>B</v>
          </cell>
          <cell r="R108" t="str">
            <v>A</v>
          </cell>
          <cell r="X108">
            <v>48.5</v>
          </cell>
        </row>
        <row r="109">
          <cell r="C109">
            <v>25498828</v>
          </cell>
          <cell r="D109" t="str">
            <v>ТОВ "Українські технологічні продукти"</v>
          </cell>
          <cell r="E109">
            <v>45778.500399999997</v>
          </cell>
          <cell r="F109">
            <v>45658</v>
          </cell>
          <cell r="G109" t="str">
            <v>E</v>
          </cell>
          <cell r="H109" t="str">
            <v>A</v>
          </cell>
          <cell r="I109" t="str">
            <v>A</v>
          </cell>
          <cell r="J109" t="str">
            <v>A</v>
          </cell>
          <cell r="K109" t="str">
            <v>A</v>
          </cell>
          <cell r="L109" t="str">
            <v>A</v>
          </cell>
          <cell r="M109" t="str">
            <v>A</v>
          </cell>
          <cell r="N109" t="str">
            <v>A</v>
          </cell>
          <cell r="O109" t="str">
            <v>A</v>
          </cell>
          <cell r="P109" t="str">
            <v>C</v>
          </cell>
          <cell r="Q109" t="str">
            <v>A</v>
          </cell>
          <cell r="R109" t="str">
            <v>A</v>
          </cell>
          <cell r="X109">
            <v>61.4</v>
          </cell>
        </row>
        <row r="110">
          <cell r="C110">
            <v>25513976</v>
          </cell>
          <cell r="D110" t="str">
            <v>ТОВ "ВІНІЛ"</v>
          </cell>
          <cell r="E110">
            <v>45651.532800000001</v>
          </cell>
          <cell r="F110">
            <v>45474</v>
          </cell>
          <cell r="G110" t="str">
            <v>E</v>
          </cell>
          <cell r="H110" t="str">
            <v>D</v>
          </cell>
          <cell r="I110" t="str">
            <v>A</v>
          </cell>
          <cell r="J110" t="str">
            <v>D</v>
          </cell>
          <cell r="K110" t="str">
            <v>E</v>
          </cell>
          <cell r="L110" t="str">
            <v>A</v>
          </cell>
          <cell r="M110" t="str">
            <v>B</v>
          </cell>
          <cell r="N110" t="str">
            <v>B</v>
          </cell>
          <cell r="O110" t="str">
            <v>A</v>
          </cell>
          <cell r="P110" t="str">
            <v>B</v>
          </cell>
          <cell r="Q110" t="str">
            <v>C</v>
          </cell>
          <cell r="R110" t="str">
            <v>A</v>
          </cell>
          <cell r="X110">
            <v>43.3</v>
          </cell>
        </row>
        <row r="111">
          <cell r="C111">
            <v>25548331</v>
          </cell>
          <cell r="D111" t="str">
            <v>ТЗОВ " ІНТЕР - СИНТЕЗ "</v>
          </cell>
          <cell r="E111">
            <v>45541.447099999998</v>
          </cell>
          <cell r="F111">
            <v>45474</v>
          </cell>
          <cell r="G111" t="str">
            <v>E</v>
          </cell>
          <cell r="H111" t="str">
            <v>A</v>
          </cell>
          <cell r="I111" t="str">
            <v>B</v>
          </cell>
          <cell r="J111" t="str">
            <v>B</v>
          </cell>
          <cell r="K111" t="str">
            <v>D</v>
          </cell>
          <cell r="L111" t="str">
            <v>A</v>
          </cell>
          <cell r="M111" t="str">
            <v>A</v>
          </cell>
          <cell r="N111" t="str">
            <v>B</v>
          </cell>
          <cell r="O111" t="str">
            <v>A</v>
          </cell>
          <cell r="P111" t="str">
            <v>C</v>
          </cell>
          <cell r="Q111" t="str">
            <v>B</v>
          </cell>
          <cell r="R111" t="str">
            <v>A</v>
          </cell>
          <cell r="X111">
            <v>58.1</v>
          </cell>
        </row>
        <row r="112">
          <cell r="C112">
            <v>25556075</v>
          </cell>
          <cell r="D112" t="str">
            <v>ТОВ "БАРКОМ"</v>
          </cell>
          <cell r="E112">
            <v>45937.550199999998</v>
          </cell>
          <cell r="F112">
            <v>45839</v>
          </cell>
          <cell r="G112" t="str">
            <v>D</v>
          </cell>
          <cell r="H112" t="str">
            <v>B</v>
          </cell>
          <cell r="I112" t="str">
            <v>B</v>
          </cell>
          <cell r="J112" t="str">
            <v>B</v>
          </cell>
          <cell r="K112" t="str">
            <v>D</v>
          </cell>
          <cell r="L112" t="str">
            <v>B</v>
          </cell>
          <cell r="M112" t="str">
            <v>C</v>
          </cell>
          <cell r="N112" t="str">
            <v>A</v>
          </cell>
          <cell r="O112" t="str">
            <v>A</v>
          </cell>
          <cell r="P112" t="str">
            <v>C</v>
          </cell>
          <cell r="Q112" t="str">
            <v>C</v>
          </cell>
          <cell r="R112" t="str">
            <v>A</v>
          </cell>
          <cell r="X112">
            <v>48.399999999999991</v>
          </cell>
        </row>
        <row r="113">
          <cell r="C113">
            <v>25657043</v>
          </cell>
          <cell r="D113" t="str">
            <v>ТОВ ВФ "Базальт"</v>
          </cell>
          <cell r="E113">
            <v>45887.597099999999</v>
          </cell>
          <cell r="F113">
            <v>45658</v>
          </cell>
          <cell r="G113" t="str">
            <v>E</v>
          </cell>
          <cell r="H113" t="str">
            <v>A</v>
          </cell>
          <cell r="I113" t="str">
            <v>A</v>
          </cell>
          <cell r="J113" t="str">
            <v>A</v>
          </cell>
          <cell r="K113" t="str">
            <v>D</v>
          </cell>
          <cell r="L113" t="str">
            <v>A</v>
          </cell>
          <cell r="M113" t="str">
            <v>A</v>
          </cell>
          <cell r="N113" t="str">
            <v>B</v>
          </cell>
          <cell r="O113" t="str">
            <v>A</v>
          </cell>
          <cell r="P113" t="str">
            <v>C</v>
          </cell>
          <cell r="Q113" t="str">
            <v>C</v>
          </cell>
          <cell r="R113" t="str">
            <v>A</v>
          </cell>
          <cell r="X113">
            <v>49.099999999999994</v>
          </cell>
        </row>
        <row r="114">
          <cell r="C114">
            <v>30050930</v>
          </cell>
          <cell r="D114" t="str">
            <v>ТОВ "АБА "АСТРА"</v>
          </cell>
          <cell r="E114">
            <v>45772.509299999998</v>
          </cell>
          <cell r="F114">
            <v>45658</v>
          </cell>
          <cell r="G114" t="str">
            <v>E</v>
          </cell>
          <cell r="H114" t="str">
            <v>C</v>
          </cell>
          <cell r="I114" t="str">
            <v>B</v>
          </cell>
          <cell r="J114" t="str">
            <v>B</v>
          </cell>
          <cell r="K114" t="str">
            <v>B</v>
          </cell>
          <cell r="L114" t="str">
            <v>A</v>
          </cell>
          <cell r="M114" t="str">
            <v>A</v>
          </cell>
          <cell r="N114" t="str">
            <v>A</v>
          </cell>
          <cell r="O114" t="str">
            <v>A</v>
          </cell>
          <cell r="P114" t="str">
            <v>C</v>
          </cell>
          <cell r="Q114" t="str">
            <v>C</v>
          </cell>
          <cell r="R114" t="str">
            <v>C</v>
          </cell>
          <cell r="X114">
            <v>53.199999999999996</v>
          </cell>
        </row>
        <row r="115">
          <cell r="C115">
            <v>30094098</v>
          </cell>
          <cell r="D115" t="str">
            <v>ТОВ "АГРОФІРМА ІМ.ГОРЬКОГО"</v>
          </cell>
          <cell r="E115">
            <v>45743.484499999999</v>
          </cell>
          <cell r="F115">
            <v>45474</v>
          </cell>
          <cell r="G115" t="str">
            <v>D</v>
          </cell>
          <cell r="H115" t="str">
            <v>B</v>
          </cell>
          <cell r="I115" t="str">
            <v>B</v>
          </cell>
          <cell r="J115" t="str">
            <v>C</v>
          </cell>
          <cell r="K115" t="str">
            <v>A</v>
          </cell>
          <cell r="L115" t="str">
            <v>A</v>
          </cell>
          <cell r="M115" t="str">
            <v>A</v>
          </cell>
          <cell r="N115" t="str">
            <v>A</v>
          </cell>
          <cell r="O115" t="str">
            <v>A</v>
          </cell>
          <cell r="P115" t="str">
            <v>A</v>
          </cell>
          <cell r="Q115" t="str">
            <v>A</v>
          </cell>
          <cell r="R115" t="str">
            <v>B</v>
          </cell>
          <cell r="X115">
            <v>73.200000000000017</v>
          </cell>
        </row>
        <row r="116">
          <cell r="C116">
            <v>30105738</v>
          </cell>
          <cell r="D116" t="str">
            <v>ТОВ "МІК"</v>
          </cell>
          <cell r="E116">
            <v>45553.472399999999</v>
          </cell>
          <cell r="F116">
            <v>45474</v>
          </cell>
          <cell r="G116" t="str">
            <v>E</v>
          </cell>
          <cell r="H116" t="str">
            <v>B</v>
          </cell>
          <cell r="I116" t="str">
            <v>B</v>
          </cell>
          <cell r="J116" t="str">
            <v>A</v>
          </cell>
          <cell r="K116" t="str">
            <v>D</v>
          </cell>
          <cell r="L116" t="str">
            <v>B</v>
          </cell>
          <cell r="M116" t="str">
            <v>A</v>
          </cell>
          <cell r="N116" t="str">
            <v>B</v>
          </cell>
          <cell r="O116" t="str">
            <v>A</v>
          </cell>
          <cell r="P116" t="str">
            <v>B</v>
          </cell>
          <cell r="Q116" t="str">
            <v>C</v>
          </cell>
          <cell r="R116" t="str">
            <v>A</v>
          </cell>
          <cell r="X116">
            <v>48.1</v>
          </cell>
        </row>
        <row r="117">
          <cell r="C117">
            <v>30116577</v>
          </cell>
          <cell r="D117" t="str">
            <v>ТОВ НВП "ІНФОРМАЦІЙНІ ТЕХНОЛОГІЇ"</v>
          </cell>
          <cell r="E117">
            <v>45875.621500000001</v>
          </cell>
          <cell r="F117">
            <v>45658</v>
          </cell>
          <cell r="G117" t="str">
            <v>E</v>
          </cell>
          <cell r="H117" t="str">
            <v>A</v>
          </cell>
          <cell r="I117" t="str">
            <v>B</v>
          </cell>
          <cell r="J117" t="str">
            <v>D</v>
          </cell>
          <cell r="K117" t="str">
            <v>C</v>
          </cell>
          <cell r="L117" t="str">
            <v>A</v>
          </cell>
          <cell r="M117" t="str">
            <v>A</v>
          </cell>
          <cell r="N117" t="str">
            <v>B</v>
          </cell>
          <cell r="O117" t="str">
            <v>A</v>
          </cell>
          <cell r="P117" t="str">
            <v>C</v>
          </cell>
          <cell r="Q117" t="str">
            <v>B</v>
          </cell>
          <cell r="R117" t="str">
            <v>A</v>
          </cell>
          <cell r="X117">
            <v>66.099999999999994</v>
          </cell>
        </row>
        <row r="118">
          <cell r="C118">
            <v>30132761</v>
          </cell>
          <cell r="D118" t="str">
            <v>ПП "АГРО-ЕКСПРЕС-СЕРВІС"</v>
          </cell>
          <cell r="E118">
            <v>45980.482199999999</v>
          </cell>
          <cell r="F118">
            <v>45931</v>
          </cell>
          <cell r="G118" t="str">
            <v>E</v>
          </cell>
          <cell r="H118" t="str">
            <v>C</v>
          </cell>
          <cell r="I118" t="str">
            <v>B</v>
          </cell>
          <cell r="J118" t="str">
            <v>C</v>
          </cell>
          <cell r="K118" t="str">
            <v>D</v>
          </cell>
          <cell r="L118" t="str">
            <v>B</v>
          </cell>
          <cell r="M118" t="str">
            <v>C</v>
          </cell>
          <cell r="N118" t="str">
            <v>B</v>
          </cell>
          <cell r="O118" t="str">
            <v>B</v>
          </cell>
          <cell r="P118" t="str">
            <v>A</v>
          </cell>
          <cell r="Q118" t="str">
            <v>C</v>
          </cell>
          <cell r="R118" t="str">
            <v>A</v>
          </cell>
          <cell r="X118">
            <v>43.3</v>
          </cell>
        </row>
        <row r="119">
          <cell r="C119">
            <v>30161290</v>
          </cell>
          <cell r="D119" t="str">
            <v>ТОВ "Контакт Плюс"</v>
          </cell>
          <cell r="E119">
            <v>45946.609600000003</v>
          </cell>
          <cell r="F119">
            <v>45839</v>
          </cell>
          <cell r="G119" t="str">
            <v>E</v>
          </cell>
          <cell r="H119" t="str">
            <v>B</v>
          </cell>
          <cell r="I119" t="str">
            <v>B</v>
          </cell>
          <cell r="J119" t="str">
            <v>C</v>
          </cell>
          <cell r="K119" t="str">
            <v>D</v>
          </cell>
          <cell r="L119" t="str">
            <v>A</v>
          </cell>
          <cell r="M119" t="str">
            <v>A</v>
          </cell>
          <cell r="N119" t="str">
            <v>A</v>
          </cell>
          <cell r="O119" t="str">
            <v>A</v>
          </cell>
          <cell r="P119" t="str">
            <v>C</v>
          </cell>
          <cell r="Q119" t="str">
            <v>B</v>
          </cell>
          <cell r="R119" t="str">
            <v>B</v>
          </cell>
          <cell r="X119">
            <v>58.2</v>
          </cell>
        </row>
        <row r="120">
          <cell r="C120">
            <v>30163496</v>
          </cell>
          <cell r="D120" t="str">
            <v>ПП "СОЛОМІЯ-СЕРВІС"</v>
          </cell>
          <cell r="E120">
            <v>45812</v>
          </cell>
          <cell r="F120">
            <v>45658</v>
          </cell>
          <cell r="G120" t="str">
            <v>B</v>
          </cell>
          <cell r="H120" t="str">
            <v>B</v>
          </cell>
          <cell r="I120" t="str">
            <v>B</v>
          </cell>
          <cell r="J120" t="str">
            <v>A</v>
          </cell>
          <cell r="K120" t="str">
            <v>A</v>
          </cell>
          <cell r="L120" t="str">
            <v>A</v>
          </cell>
          <cell r="M120" t="str">
            <v>A</v>
          </cell>
          <cell r="N120" t="str">
            <v>A</v>
          </cell>
          <cell r="O120" t="str">
            <v>A</v>
          </cell>
          <cell r="P120" t="str">
            <v>A</v>
          </cell>
          <cell r="Q120" t="str">
            <v>A</v>
          </cell>
          <cell r="R120" t="str">
            <v>C</v>
          </cell>
          <cell r="X120">
            <v>69.599999999999994</v>
          </cell>
        </row>
        <row r="121">
          <cell r="C121">
            <v>30169090</v>
          </cell>
          <cell r="D121" t="str">
            <v>ТОВ "ПАРК ПЛЮС"</v>
          </cell>
          <cell r="E121">
            <v>45686.6636</v>
          </cell>
          <cell r="F121">
            <v>45566</v>
          </cell>
          <cell r="G121" t="str">
            <v>E</v>
          </cell>
          <cell r="H121" t="str">
            <v>B</v>
          </cell>
          <cell r="I121" t="str">
            <v>B</v>
          </cell>
          <cell r="J121" t="str">
            <v>A</v>
          </cell>
          <cell r="K121" t="str">
            <v>D</v>
          </cell>
          <cell r="L121" t="str">
            <v>A</v>
          </cell>
          <cell r="M121" t="str">
            <v>A</v>
          </cell>
          <cell r="N121" t="str">
            <v>A</v>
          </cell>
          <cell r="O121" t="str">
            <v>A</v>
          </cell>
          <cell r="P121" t="str">
            <v>C</v>
          </cell>
          <cell r="Q121" t="str">
            <v>B</v>
          </cell>
          <cell r="R121" t="str">
            <v>A</v>
          </cell>
          <cell r="X121">
            <v>56.199999999999996</v>
          </cell>
        </row>
        <row r="122">
          <cell r="C122">
            <v>30189336</v>
          </cell>
          <cell r="D122" t="str">
            <v>ТОВ "АГРОФІРМА ОРІЛЬСЬКА"</v>
          </cell>
          <cell r="E122">
            <v>45743.484499999999</v>
          </cell>
          <cell r="F122">
            <v>45474</v>
          </cell>
          <cell r="G122" t="str">
            <v>D</v>
          </cell>
          <cell r="H122" t="str">
            <v>B</v>
          </cell>
          <cell r="I122" t="str">
            <v>B</v>
          </cell>
          <cell r="J122" t="str">
            <v>C</v>
          </cell>
          <cell r="K122" t="str">
            <v>A</v>
          </cell>
          <cell r="L122" t="str">
            <v>A</v>
          </cell>
          <cell r="M122" t="str">
            <v>A</v>
          </cell>
          <cell r="N122" t="str">
            <v>A</v>
          </cell>
          <cell r="O122" t="str">
            <v>A</v>
          </cell>
          <cell r="P122" t="str">
            <v>A</v>
          </cell>
          <cell r="Q122" t="str">
            <v>A</v>
          </cell>
          <cell r="R122" t="str">
            <v>B</v>
          </cell>
          <cell r="X122">
            <v>73.200000000000017</v>
          </cell>
        </row>
        <row r="123">
          <cell r="C123">
            <v>30262667</v>
          </cell>
          <cell r="D123" t="str">
            <v>ТОВ "Хімагромаркетинг"</v>
          </cell>
          <cell r="E123">
            <v>45974.670700000002</v>
          </cell>
          <cell r="F123">
            <v>45931</v>
          </cell>
          <cell r="G123" t="str">
            <v>E</v>
          </cell>
          <cell r="H123" t="str">
            <v>B</v>
          </cell>
          <cell r="I123" t="str">
            <v>C</v>
          </cell>
          <cell r="J123" t="str">
            <v>D</v>
          </cell>
          <cell r="K123" t="str">
            <v>D</v>
          </cell>
          <cell r="L123" t="str">
            <v>A</v>
          </cell>
          <cell r="M123" t="str">
            <v>A</v>
          </cell>
          <cell r="N123" t="str">
            <v>B</v>
          </cell>
          <cell r="O123" t="str">
            <v>A</v>
          </cell>
          <cell r="P123" t="str">
            <v>C</v>
          </cell>
          <cell r="Q123" t="str">
            <v>B</v>
          </cell>
          <cell r="R123" t="str">
            <v>A</v>
          </cell>
          <cell r="X123">
            <v>52.9</v>
          </cell>
        </row>
        <row r="124">
          <cell r="C124">
            <v>30307697</v>
          </cell>
          <cell r="D124" t="str">
            <v>ТОВ "ЄВРОПА АРМ СПОРТ"</v>
          </cell>
          <cell r="E124">
            <v>45785.457399999999</v>
          </cell>
          <cell r="F124">
            <v>45658</v>
          </cell>
          <cell r="G124" t="str">
            <v>E</v>
          </cell>
          <cell r="H124" t="str">
            <v>A</v>
          </cell>
          <cell r="I124" t="str">
            <v>D</v>
          </cell>
          <cell r="J124" t="str">
            <v>A</v>
          </cell>
          <cell r="K124" t="str">
            <v>B</v>
          </cell>
          <cell r="L124" t="str">
            <v>A</v>
          </cell>
          <cell r="M124" t="str">
            <v>A</v>
          </cell>
          <cell r="N124" t="str">
            <v>B</v>
          </cell>
          <cell r="O124" t="str">
            <v>A</v>
          </cell>
          <cell r="P124" t="str">
            <v>B</v>
          </cell>
          <cell r="Q124" t="str">
            <v>B</v>
          </cell>
          <cell r="R124" t="str">
            <v>C</v>
          </cell>
          <cell r="X124">
            <v>47.900000000000006</v>
          </cell>
        </row>
        <row r="125">
          <cell r="C125">
            <v>30316717</v>
          </cell>
          <cell r="D125" t="str">
            <v>ТОВ "МАГРОК"</v>
          </cell>
          <cell r="E125">
            <v>45870.613799999999</v>
          </cell>
          <cell r="F125">
            <v>45748</v>
          </cell>
          <cell r="G125" t="str">
            <v>E</v>
          </cell>
          <cell r="H125" t="str">
            <v>A</v>
          </cell>
          <cell r="I125" t="str">
            <v>B</v>
          </cell>
          <cell r="J125" t="str">
            <v>A</v>
          </cell>
          <cell r="K125" t="str">
            <v>D</v>
          </cell>
          <cell r="L125" t="str">
            <v>A</v>
          </cell>
          <cell r="M125" t="str">
            <v>A</v>
          </cell>
          <cell r="N125" t="str">
            <v>B</v>
          </cell>
          <cell r="O125" t="str">
            <v>A</v>
          </cell>
          <cell r="P125" t="str">
            <v>C</v>
          </cell>
          <cell r="Q125" t="str">
            <v>B</v>
          </cell>
          <cell r="R125" t="str">
            <v>A</v>
          </cell>
          <cell r="X125">
            <v>55.300000000000004</v>
          </cell>
        </row>
        <row r="126">
          <cell r="C126">
            <v>30327425</v>
          </cell>
          <cell r="D126" t="str">
            <v>ТОВ "УкрАгроКом"</v>
          </cell>
          <cell r="E126">
            <v>45736.444600000003</v>
          </cell>
          <cell r="F126">
            <v>45566</v>
          </cell>
          <cell r="G126" t="str">
            <v>D</v>
          </cell>
          <cell r="H126" t="str">
            <v>C</v>
          </cell>
          <cell r="I126" t="str">
            <v>D</v>
          </cell>
          <cell r="J126" t="str">
            <v>D</v>
          </cell>
          <cell r="K126" t="str">
            <v>D</v>
          </cell>
          <cell r="L126" t="str">
            <v>A</v>
          </cell>
          <cell r="M126" t="str">
            <v>C</v>
          </cell>
          <cell r="N126" t="str">
            <v>B</v>
          </cell>
          <cell r="O126" t="str">
            <v>B</v>
          </cell>
          <cell r="P126" t="str">
            <v>C</v>
          </cell>
          <cell r="Q126" t="str">
            <v>C</v>
          </cell>
          <cell r="R126" t="str">
            <v>A</v>
          </cell>
          <cell r="X126">
            <v>43.099999999999987</v>
          </cell>
        </row>
        <row r="127">
          <cell r="C127">
            <v>30344330</v>
          </cell>
          <cell r="D127" t="str">
            <v>ДП "ЧАРЗ-АВТО"</v>
          </cell>
          <cell r="E127">
            <v>45761</v>
          </cell>
          <cell r="F127">
            <v>45658</v>
          </cell>
          <cell r="G127" t="str">
            <v>E</v>
          </cell>
          <cell r="H127" t="str">
            <v>B</v>
          </cell>
          <cell r="I127" t="str">
            <v>B</v>
          </cell>
          <cell r="J127" t="str">
            <v>A</v>
          </cell>
          <cell r="K127" t="str">
            <v>D</v>
          </cell>
          <cell r="L127" t="str">
            <v>A</v>
          </cell>
          <cell r="M127" t="str">
            <v>A</v>
          </cell>
          <cell r="N127" t="str">
            <v>B</v>
          </cell>
          <cell r="O127" t="str">
            <v>A</v>
          </cell>
          <cell r="P127" t="str">
            <v>C</v>
          </cell>
          <cell r="Q127" t="str">
            <v>B</v>
          </cell>
          <cell r="R127" t="str">
            <v>A</v>
          </cell>
          <cell r="X127">
            <v>52.9</v>
          </cell>
        </row>
        <row r="128">
          <cell r="C128">
            <v>30355611</v>
          </cell>
          <cell r="D128" t="str">
            <v>ТОВ "БХ АГРО"</v>
          </cell>
          <cell r="E128">
            <v>45665.607799999998</v>
          </cell>
          <cell r="F128">
            <v>45566</v>
          </cell>
          <cell r="G128" t="str">
            <v>E</v>
          </cell>
          <cell r="H128" t="str">
            <v>B</v>
          </cell>
          <cell r="I128" t="str">
            <v>B</v>
          </cell>
          <cell r="J128" t="str">
            <v>B</v>
          </cell>
          <cell r="K128" t="str">
            <v>D</v>
          </cell>
          <cell r="L128" t="str">
            <v>A</v>
          </cell>
          <cell r="M128" t="str">
            <v>B</v>
          </cell>
          <cell r="N128" t="str">
            <v>B</v>
          </cell>
          <cell r="O128" t="str">
            <v>A</v>
          </cell>
          <cell r="P128" t="str">
            <v>C</v>
          </cell>
          <cell r="Q128" t="str">
            <v>B</v>
          </cell>
          <cell r="R128" t="str">
            <v>A</v>
          </cell>
          <cell r="X128">
            <v>49.300000000000004</v>
          </cell>
        </row>
        <row r="129">
          <cell r="C129">
            <v>30356917</v>
          </cell>
          <cell r="D129" t="str">
            <v>ПрАТ "Тернопільський молокозавод"</v>
          </cell>
          <cell r="E129">
            <v>45689.981</v>
          </cell>
          <cell r="F129">
            <v>45566</v>
          </cell>
          <cell r="G129" t="str">
            <v>C</v>
          </cell>
          <cell r="H129" t="str">
            <v>A</v>
          </cell>
          <cell r="I129" t="str">
            <v>D</v>
          </cell>
          <cell r="J129" t="str">
            <v>D</v>
          </cell>
          <cell r="K129" t="str">
            <v>D</v>
          </cell>
          <cell r="L129" t="str">
            <v>A</v>
          </cell>
          <cell r="M129" t="str">
            <v>A</v>
          </cell>
          <cell r="N129" t="str">
            <v>A</v>
          </cell>
          <cell r="O129" t="str">
            <v>A</v>
          </cell>
          <cell r="P129" t="str">
            <v>C</v>
          </cell>
          <cell r="Q129" t="str">
            <v>B</v>
          </cell>
          <cell r="R129" t="str">
            <v>A</v>
          </cell>
          <cell r="X129">
            <v>63.8</v>
          </cell>
        </row>
        <row r="130">
          <cell r="C130">
            <v>30443517</v>
          </cell>
          <cell r="D130" t="str">
            <v>ТОВ "ТМІ"</v>
          </cell>
          <cell r="E130">
            <v>45856.599800000004</v>
          </cell>
          <cell r="F130">
            <v>45748</v>
          </cell>
          <cell r="G130" t="str">
            <v>E</v>
          </cell>
          <cell r="H130" t="str">
            <v>C</v>
          </cell>
          <cell r="I130" t="str">
            <v>B</v>
          </cell>
          <cell r="J130" t="str">
            <v>A</v>
          </cell>
          <cell r="K130" t="str">
            <v>C</v>
          </cell>
          <cell r="L130" t="str">
            <v>A</v>
          </cell>
          <cell r="M130" t="str">
            <v>A</v>
          </cell>
          <cell r="N130" t="str">
            <v>B</v>
          </cell>
          <cell r="O130" t="str">
            <v>A</v>
          </cell>
          <cell r="P130" t="str">
            <v>C</v>
          </cell>
          <cell r="Q130" t="str">
            <v>B</v>
          </cell>
          <cell r="R130" t="str">
            <v>A</v>
          </cell>
          <cell r="X130">
            <v>54.1</v>
          </cell>
        </row>
        <row r="131">
          <cell r="C131">
            <v>30481196</v>
          </cell>
          <cell r="D131" t="str">
            <v>ПП "ВКП "АЛЬФАТЕКС"</v>
          </cell>
          <cell r="E131">
            <v>45792.556900000003</v>
          </cell>
          <cell r="F131">
            <v>45566</v>
          </cell>
          <cell r="G131" t="str">
            <v>D</v>
          </cell>
          <cell r="H131" t="str">
            <v>C</v>
          </cell>
          <cell r="I131" t="str">
            <v>B</v>
          </cell>
          <cell r="J131" t="str">
            <v>A</v>
          </cell>
          <cell r="K131" t="str">
            <v>D</v>
          </cell>
          <cell r="L131" t="str">
            <v>B</v>
          </cell>
          <cell r="M131" t="str">
            <v>A</v>
          </cell>
          <cell r="N131" t="str">
            <v>B</v>
          </cell>
          <cell r="O131" t="str">
            <v>A</v>
          </cell>
          <cell r="P131" t="str">
            <v>C</v>
          </cell>
          <cell r="Q131" t="str">
            <v>C</v>
          </cell>
          <cell r="R131" t="str">
            <v>A</v>
          </cell>
          <cell r="X131">
            <v>48.3</v>
          </cell>
        </row>
        <row r="132">
          <cell r="C132">
            <v>30504160</v>
          </cell>
          <cell r="D132" t="str">
            <v>ТОВ "УКРАЇНА-2010"</v>
          </cell>
          <cell r="E132">
            <v>45817.486799999999</v>
          </cell>
          <cell r="F132">
            <v>45658</v>
          </cell>
          <cell r="G132" t="str">
            <v>E</v>
          </cell>
          <cell r="H132" t="str">
            <v>B</v>
          </cell>
          <cell r="I132" t="str">
            <v>A</v>
          </cell>
          <cell r="J132" t="str">
            <v>A</v>
          </cell>
          <cell r="K132" t="str">
            <v>D</v>
          </cell>
          <cell r="L132" t="str">
            <v>B</v>
          </cell>
          <cell r="M132" t="str">
            <v>A</v>
          </cell>
          <cell r="N132" t="str">
            <v>C</v>
          </cell>
          <cell r="O132" t="str">
            <v>A</v>
          </cell>
          <cell r="P132" t="str">
            <v>B</v>
          </cell>
          <cell r="Q132" t="str">
            <v>B</v>
          </cell>
          <cell r="R132" t="str">
            <v>A</v>
          </cell>
          <cell r="X132">
            <v>44</v>
          </cell>
        </row>
        <row r="133">
          <cell r="C133">
            <v>30531566</v>
          </cell>
          <cell r="D133" t="str">
            <v>ПРАТ "ДОК №7"</v>
          </cell>
          <cell r="E133">
            <v>45958.529499999997</v>
          </cell>
          <cell r="F133">
            <v>45839</v>
          </cell>
          <cell r="G133" t="str">
            <v>E</v>
          </cell>
          <cell r="H133" t="str">
            <v>B</v>
          </cell>
          <cell r="I133" t="str">
            <v>C</v>
          </cell>
          <cell r="J133" t="str">
            <v>A</v>
          </cell>
          <cell r="K133" t="str">
            <v>E</v>
          </cell>
          <cell r="L133" t="str">
            <v>A</v>
          </cell>
          <cell r="M133" t="str">
            <v>A</v>
          </cell>
          <cell r="N133" t="str">
            <v>B</v>
          </cell>
          <cell r="O133" t="str">
            <v>A</v>
          </cell>
          <cell r="P133" t="str">
            <v>C</v>
          </cell>
          <cell r="Q133" t="str">
            <v>B</v>
          </cell>
          <cell r="R133" t="str">
            <v>A</v>
          </cell>
          <cell r="X133">
            <v>43.699999999999996</v>
          </cell>
        </row>
        <row r="134">
          <cell r="C134">
            <v>30605742</v>
          </cell>
          <cell r="D134" t="str">
            <v>ТОВ "РАЛІЇВКА"</v>
          </cell>
          <cell r="E134">
            <v>45796.491399999999</v>
          </cell>
          <cell r="F134">
            <v>45658</v>
          </cell>
          <cell r="G134" t="str">
            <v>E</v>
          </cell>
          <cell r="H134" t="str">
            <v>B</v>
          </cell>
          <cell r="I134" t="str">
            <v>B</v>
          </cell>
          <cell r="J134" t="str">
            <v>A</v>
          </cell>
          <cell r="K134" t="str">
            <v>D</v>
          </cell>
          <cell r="L134" t="str">
            <v>B</v>
          </cell>
          <cell r="M134" t="str">
            <v>A</v>
          </cell>
          <cell r="N134" t="str">
            <v>B</v>
          </cell>
          <cell r="O134" t="str">
            <v>A</v>
          </cell>
          <cell r="P134" t="str">
            <v>C</v>
          </cell>
          <cell r="Q134" t="str">
            <v>B</v>
          </cell>
          <cell r="R134" t="str">
            <v>A</v>
          </cell>
          <cell r="X134">
            <v>48.1</v>
          </cell>
        </row>
        <row r="135">
          <cell r="C135">
            <v>30615881</v>
          </cell>
          <cell r="D135" t="str">
            <v>ТОВ "НАТАЛКА"</v>
          </cell>
          <cell r="E135">
            <v>45611.617700000003</v>
          </cell>
          <cell r="F135">
            <v>45566</v>
          </cell>
          <cell r="G135" t="str">
            <v>E</v>
          </cell>
          <cell r="H135" t="str">
            <v>B</v>
          </cell>
          <cell r="I135" t="str">
            <v>B</v>
          </cell>
          <cell r="J135" t="str">
            <v>D</v>
          </cell>
          <cell r="K135" t="str">
            <v>D</v>
          </cell>
          <cell r="L135" t="str">
            <v>A</v>
          </cell>
          <cell r="M135" t="str">
            <v>A</v>
          </cell>
          <cell r="N135" t="str">
            <v>B</v>
          </cell>
          <cell r="O135" t="str">
            <v>A</v>
          </cell>
          <cell r="P135" t="str">
            <v>C</v>
          </cell>
          <cell r="Q135" t="str">
            <v>C</v>
          </cell>
          <cell r="R135" t="str">
            <v>A</v>
          </cell>
          <cell r="X135">
            <v>59.099999999999994</v>
          </cell>
        </row>
        <row r="136">
          <cell r="C136">
            <v>30818378</v>
          </cell>
          <cell r="D136" t="str">
            <v>ТОВ "УКРАГРОСОЮЗ ЛТД"</v>
          </cell>
          <cell r="E136">
            <v>45897.659</v>
          </cell>
          <cell r="F136">
            <v>45748</v>
          </cell>
          <cell r="G136" t="str">
            <v>E</v>
          </cell>
          <cell r="H136" t="str">
            <v>B</v>
          </cell>
          <cell r="I136" t="str">
            <v>B</v>
          </cell>
          <cell r="J136" t="str">
            <v>A</v>
          </cell>
          <cell r="K136" t="str">
            <v>D</v>
          </cell>
          <cell r="L136" t="str">
            <v>A</v>
          </cell>
          <cell r="M136" t="str">
            <v>A</v>
          </cell>
          <cell r="N136" t="str">
            <v>B</v>
          </cell>
          <cell r="O136" t="str">
            <v>A</v>
          </cell>
          <cell r="P136" t="str">
            <v>C</v>
          </cell>
          <cell r="Q136" t="str">
            <v>B</v>
          </cell>
          <cell r="R136" t="str">
            <v>B</v>
          </cell>
          <cell r="X136">
            <v>49.3</v>
          </cell>
        </row>
        <row r="137">
          <cell r="C137">
            <v>30828716</v>
          </cell>
          <cell r="D137" t="str">
            <v>ТЗОВ"ГАЛИЦЬКА ЗЕРНОВА КОМПАНІЯ"</v>
          </cell>
          <cell r="E137">
            <v>45672.716</v>
          </cell>
          <cell r="F137">
            <v>45566</v>
          </cell>
          <cell r="G137" t="str">
            <v>E</v>
          </cell>
          <cell r="H137" t="str">
            <v>B</v>
          </cell>
          <cell r="I137" t="str">
            <v>D</v>
          </cell>
          <cell r="J137" t="str">
            <v>A</v>
          </cell>
          <cell r="K137" t="str">
            <v>D</v>
          </cell>
          <cell r="L137" t="str">
            <v>A</v>
          </cell>
          <cell r="M137" t="str">
            <v>A</v>
          </cell>
          <cell r="N137" t="str">
            <v>A</v>
          </cell>
          <cell r="O137" t="str">
            <v>A</v>
          </cell>
          <cell r="P137" t="str">
            <v>C</v>
          </cell>
          <cell r="Q137" t="str">
            <v>B</v>
          </cell>
          <cell r="R137" t="str">
            <v>A</v>
          </cell>
          <cell r="X137">
            <v>49.4</v>
          </cell>
        </row>
        <row r="138">
          <cell r="C138">
            <v>30834410</v>
          </cell>
          <cell r="D138" t="str">
            <v>ТОВ " АГРОПОЛІС "</v>
          </cell>
          <cell r="E138">
            <v>45967.529900000001</v>
          </cell>
          <cell r="F138">
            <v>45839</v>
          </cell>
          <cell r="G138" t="str">
            <v>D</v>
          </cell>
          <cell r="H138" t="str">
            <v>B</v>
          </cell>
          <cell r="I138" t="str">
            <v>B</v>
          </cell>
          <cell r="J138" t="str">
            <v>A</v>
          </cell>
          <cell r="K138" t="str">
            <v>D</v>
          </cell>
          <cell r="L138" t="str">
            <v>A</v>
          </cell>
          <cell r="M138" t="str">
            <v>A</v>
          </cell>
          <cell r="N138" t="str">
            <v>A</v>
          </cell>
          <cell r="O138" t="str">
            <v>A</v>
          </cell>
          <cell r="P138" t="str">
            <v>B</v>
          </cell>
          <cell r="Q138" t="str">
            <v>B</v>
          </cell>
          <cell r="R138" t="str">
            <v>A</v>
          </cell>
          <cell r="X138">
            <v>61.600000000000009</v>
          </cell>
        </row>
        <row r="139">
          <cell r="C139">
            <v>30839534</v>
          </cell>
          <cell r="D139" t="str">
            <v>ТОВ"АСКАНІЯ-ФЛОРА"</v>
          </cell>
          <cell r="E139">
            <v>45989.405599999998</v>
          </cell>
          <cell r="F139">
            <v>45658</v>
          </cell>
          <cell r="G139" t="str">
            <v>C</v>
          </cell>
          <cell r="H139" t="str">
            <v>D</v>
          </cell>
          <cell r="I139" t="str">
            <v>D</v>
          </cell>
          <cell r="J139" t="str">
            <v>D</v>
          </cell>
          <cell r="K139" t="str">
            <v>D</v>
          </cell>
          <cell r="L139" t="str">
            <v>A</v>
          </cell>
          <cell r="M139" t="str">
            <v>A</v>
          </cell>
          <cell r="N139" t="str">
            <v>A</v>
          </cell>
          <cell r="O139" t="str">
            <v>A</v>
          </cell>
          <cell r="P139" t="str">
            <v>B</v>
          </cell>
          <cell r="Q139" t="str">
            <v>B</v>
          </cell>
          <cell r="R139" t="str">
            <v>B</v>
          </cell>
          <cell r="X139">
            <v>54</v>
          </cell>
        </row>
        <row r="140">
          <cell r="C140">
            <v>30853543</v>
          </cell>
          <cell r="D140" t="str">
            <v>ТОВ "АГРОФІРМА МАЛИНІВСЬКА"</v>
          </cell>
          <cell r="E140">
            <v>45951.869899999998</v>
          </cell>
          <cell r="F140">
            <v>45839</v>
          </cell>
          <cell r="G140" t="str">
            <v>E</v>
          </cell>
          <cell r="H140" t="str">
            <v>B</v>
          </cell>
          <cell r="I140" t="str">
            <v>B</v>
          </cell>
          <cell r="J140" t="str">
            <v>A</v>
          </cell>
          <cell r="K140" t="str">
            <v>D</v>
          </cell>
          <cell r="L140" t="str">
            <v>B</v>
          </cell>
          <cell r="M140" t="str">
            <v>C</v>
          </cell>
          <cell r="N140" t="str">
            <v>B</v>
          </cell>
          <cell r="O140" t="str">
            <v>A</v>
          </cell>
          <cell r="P140" t="str">
            <v>C</v>
          </cell>
          <cell r="Q140" t="str">
            <v>C</v>
          </cell>
          <cell r="R140" t="str">
            <v>A</v>
          </cell>
          <cell r="X140">
            <v>38.699999999999996</v>
          </cell>
        </row>
        <row r="141">
          <cell r="C141">
            <v>30864974</v>
          </cell>
          <cell r="D141" t="str">
            <v>СТОВ"ВІКТОРІЯ"</v>
          </cell>
          <cell r="E141">
            <v>45672.716</v>
          </cell>
          <cell r="F141">
            <v>45566</v>
          </cell>
          <cell r="G141" t="str">
            <v>E</v>
          </cell>
          <cell r="H141" t="str">
            <v>B</v>
          </cell>
          <cell r="I141" t="str">
            <v>D</v>
          </cell>
          <cell r="J141" t="str">
            <v>A</v>
          </cell>
          <cell r="K141" t="str">
            <v>D</v>
          </cell>
          <cell r="L141" t="str">
            <v>A</v>
          </cell>
          <cell r="M141" t="str">
            <v>A</v>
          </cell>
          <cell r="N141" t="str">
            <v>A</v>
          </cell>
          <cell r="O141" t="str">
            <v>A</v>
          </cell>
          <cell r="P141" t="str">
            <v>C</v>
          </cell>
          <cell r="Q141" t="str">
            <v>B</v>
          </cell>
          <cell r="R141" t="str">
            <v>A</v>
          </cell>
          <cell r="X141">
            <v>49.4</v>
          </cell>
        </row>
        <row r="142">
          <cell r="C142">
            <v>30868790</v>
          </cell>
          <cell r="D142" t="str">
            <v>ТОВ КОМПАНІЯ "УКРЕЛІТАГРО"</v>
          </cell>
          <cell r="E142">
            <v>45944</v>
          </cell>
          <cell r="F142">
            <v>45658</v>
          </cell>
          <cell r="G142" t="str">
            <v>D</v>
          </cell>
          <cell r="H142" t="str">
            <v>B</v>
          </cell>
          <cell r="I142" t="str">
            <v>C</v>
          </cell>
          <cell r="J142" t="str">
            <v>C</v>
          </cell>
          <cell r="K142" t="str">
            <v>D</v>
          </cell>
          <cell r="L142" t="str">
            <v>A</v>
          </cell>
          <cell r="M142" t="str">
            <v>A</v>
          </cell>
          <cell r="N142" t="str">
            <v>B</v>
          </cell>
          <cell r="O142" t="str">
            <v>B</v>
          </cell>
          <cell r="P142" t="str">
            <v>C</v>
          </cell>
          <cell r="Q142" t="str">
            <v>B</v>
          </cell>
          <cell r="R142" t="str">
            <v>A</v>
          </cell>
          <cell r="X142">
            <v>50.5</v>
          </cell>
        </row>
        <row r="143">
          <cell r="C143">
            <v>30905643</v>
          </cell>
          <cell r="D143" t="str">
            <v>ПП " МАДЕСА"</v>
          </cell>
          <cell r="E143">
            <v>45812.499799999998</v>
          </cell>
          <cell r="F143">
            <v>45748</v>
          </cell>
          <cell r="G143" t="str">
            <v>E</v>
          </cell>
          <cell r="H143" t="str">
            <v>B</v>
          </cell>
          <cell r="I143" t="str">
            <v>B</v>
          </cell>
          <cell r="J143" t="str">
            <v>A</v>
          </cell>
          <cell r="K143" t="str">
            <v>C</v>
          </cell>
          <cell r="L143" t="str">
            <v>A</v>
          </cell>
          <cell r="M143" t="str">
            <v>A</v>
          </cell>
          <cell r="N143" t="str">
            <v>B</v>
          </cell>
          <cell r="O143" t="str">
            <v>A</v>
          </cell>
          <cell r="P143" t="str">
            <v>C</v>
          </cell>
          <cell r="Q143" t="str">
            <v>B</v>
          </cell>
          <cell r="R143" t="str">
            <v>A</v>
          </cell>
          <cell r="X143">
            <v>55.7</v>
          </cell>
        </row>
        <row r="144">
          <cell r="C144">
            <v>30921733</v>
          </cell>
          <cell r="D144" t="str">
            <v>ТОВ "ОРІЛЬСЬКИЙ ОБ'ЄДНАНИЙ ЕЛЕВАТОР"</v>
          </cell>
          <cell r="E144">
            <v>45743.484499999999</v>
          </cell>
          <cell r="F144">
            <v>45474</v>
          </cell>
          <cell r="G144" t="str">
            <v>D</v>
          </cell>
          <cell r="H144" t="str">
            <v>B</v>
          </cell>
          <cell r="I144" t="str">
            <v>B</v>
          </cell>
          <cell r="J144" t="str">
            <v>C</v>
          </cell>
          <cell r="K144" t="str">
            <v>A</v>
          </cell>
          <cell r="L144" t="str">
            <v>A</v>
          </cell>
          <cell r="M144" t="str">
            <v>A</v>
          </cell>
          <cell r="N144" t="str">
            <v>A</v>
          </cell>
          <cell r="O144" t="str">
            <v>A</v>
          </cell>
          <cell r="P144" t="str">
            <v>A</v>
          </cell>
          <cell r="Q144" t="str">
            <v>A</v>
          </cell>
          <cell r="R144" t="str">
            <v>B</v>
          </cell>
          <cell r="X144">
            <v>73.200000000000017</v>
          </cell>
        </row>
        <row r="145">
          <cell r="C145">
            <v>30944148</v>
          </cell>
          <cell r="D145" t="str">
            <v>ТОВ "БГС РЕЙЛ"</v>
          </cell>
          <cell r="E145">
            <v>45989.397100000002</v>
          </cell>
          <cell r="F145">
            <v>45839</v>
          </cell>
          <cell r="G145" t="str">
            <v>E</v>
          </cell>
          <cell r="H145" t="str">
            <v>C</v>
          </cell>
          <cell r="I145" t="str">
            <v>B</v>
          </cell>
          <cell r="J145" t="str">
            <v>D</v>
          </cell>
          <cell r="K145" t="str">
            <v>D</v>
          </cell>
          <cell r="L145" t="str">
            <v>A</v>
          </cell>
          <cell r="M145" t="str">
            <v>A</v>
          </cell>
          <cell r="N145" t="str">
            <v>A</v>
          </cell>
          <cell r="O145" t="str">
            <v>A</v>
          </cell>
          <cell r="P145" t="str">
            <v>A</v>
          </cell>
          <cell r="Q145" t="str">
            <v>B</v>
          </cell>
          <cell r="R145" t="str">
            <v>C</v>
          </cell>
          <cell r="X145">
            <v>60.800000000000004</v>
          </cell>
        </row>
        <row r="146">
          <cell r="C146">
            <v>30972222</v>
          </cell>
          <cell r="D146" t="str">
            <v>ТОВ "ЕКСТРІМ ЛТД"</v>
          </cell>
          <cell r="E146">
            <v>45741.438900000001</v>
          </cell>
          <cell r="F146">
            <v>45658</v>
          </cell>
          <cell r="G146" t="str">
            <v>E</v>
          </cell>
          <cell r="H146" t="str">
            <v>B</v>
          </cell>
          <cell r="I146" t="str">
            <v>A</v>
          </cell>
          <cell r="J146" t="str">
            <v>A</v>
          </cell>
          <cell r="K146" t="str">
            <v>D</v>
          </cell>
          <cell r="L146" t="str">
            <v>A</v>
          </cell>
          <cell r="M146" t="str">
            <v>A</v>
          </cell>
          <cell r="N146" t="str">
            <v>A</v>
          </cell>
          <cell r="O146" t="str">
            <v>A</v>
          </cell>
          <cell r="P146" t="str">
            <v>B</v>
          </cell>
          <cell r="Q146" t="str">
            <v>B</v>
          </cell>
          <cell r="R146" t="str">
            <v>A</v>
          </cell>
          <cell r="X146">
            <v>53.600000000000009</v>
          </cell>
        </row>
        <row r="147">
          <cell r="C147">
            <v>30976452</v>
          </cell>
          <cell r="D147" t="str">
            <v>ТОВ "Техноторг"</v>
          </cell>
          <cell r="E147">
            <v>45905.5386</v>
          </cell>
          <cell r="F147">
            <v>45839</v>
          </cell>
          <cell r="G147" t="str">
            <v>C</v>
          </cell>
          <cell r="H147" t="str">
            <v>C</v>
          </cell>
          <cell r="I147" t="str">
            <v>A</v>
          </cell>
          <cell r="J147" t="str">
            <v>D</v>
          </cell>
          <cell r="K147" t="str">
            <v>C</v>
          </cell>
          <cell r="L147" t="str">
            <v>D</v>
          </cell>
          <cell r="M147" t="str">
            <v>B</v>
          </cell>
          <cell r="N147" t="str">
            <v>A</v>
          </cell>
          <cell r="O147" t="str">
            <v>A</v>
          </cell>
          <cell r="P147" t="str">
            <v>C</v>
          </cell>
          <cell r="Q147" t="str">
            <v>B</v>
          </cell>
          <cell r="R147" t="str">
            <v>A</v>
          </cell>
          <cell r="X147">
            <v>50.6</v>
          </cell>
        </row>
        <row r="148">
          <cell r="C148">
            <v>30986586</v>
          </cell>
          <cell r="D148" t="str">
            <v>ТОВ "Хот-Велл"</v>
          </cell>
          <cell r="E148">
            <v>45608.468200000003</v>
          </cell>
          <cell r="F148">
            <v>45474</v>
          </cell>
          <cell r="G148" t="str">
            <v>E</v>
          </cell>
          <cell r="H148" t="str">
            <v>C</v>
          </cell>
          <cell r="I148" t="str">
            <v>B</v>
          </cell>
          <cell r="J148" t="str">
            <v>D</v>
          </cell>
          <cell r="K148" t="str">
            <v>D</v>
          </cell>
          <cell r="L148" t="str">
            <v>A</v>
          </cell>
          <cell r="M148" t="str">
            <v>A</v>
          </cell>
          <cell r="N148" t="str">
            <v>A</v>
          </cell>
          <cell r="O148" t="str">
            <v>A</v>
          </cell>
          <cell r="P148" t="str">
            <v>C</v>
          </cell>
          <cell r="Q148" t="str">
            <v>B</v>
          </cell>
          <cell r="R148" t="str">
            <v>A</v>
          </cell>
          <cell r="X148">
            <v>62.6</v>
          </cell>
        </row>
        <row r="149">
          <cell r="C149">
            <v>31004466</v>
          </cell>
          <cell r="D149" t="str">
            <v>ПСП"МРІЯ"</v>
          </cell>
          <cell r="E149">
            <v>45854.645900000003</v>
          </cell>
          <cell r="F149">
            <v>45748</v>
          </cell>
          <cell r="G149" t="str">
            <v>E</v>
          </cell>
          <cell r="H149" t="str">
            <v>B</v>
          </cell>
          <cell r="I149" t="str">
            <v>B</v>
          </cell>
          <cell r="J149" t="str">
            <v>B</v>
          </cell>
          <cell r="K149" t="str">
            <v>D</v>
          </cell>
          <cell r="L149" t="str">
            <v>B</v>
          </cell>
          <cell r="M149" t="str">
            <v>A</v>
          </cell>
          <cell r="N149" t="str">
            <v>B</v>
          </cell>
          <cell r="O149" t="str">
            <v>A</v>
          </cell>
          <cell r="P149" t="str">
            <v>C</v>
          </cell>
          <cell r="Q149" t="str">
            <v>B</v>
          </cell>
          <cell r="R149" t="str">
            <v>B</v>
          </cell>
          <cell r="X149">
            <v>47.3</v>
          </cell>
        </row>
        <row r="150">
          <cell r="C150">
            <v>31008937</v>
          </cell>
          <cell r="D150" t="str">
            <v>ТОВ ВО "МІНЕРАЛИ УКРАЇНИ"</v>
          </cell>
          <cell r="E150">
            <v>45707.704599999997</v>
          </cell>
          <cell r="F150">
            <v>45566</v>
          </cell>
          <cell r="G150" t="str">
            <v>E</v>
          </cell>
          <cell r="H150" t="str">
            <v>C</v>
          </cell>
          <cell r="I150" t="str">
            <v>B</v>
          </cell>
          <cell r="J150" t="str">
            <v>A</v>
          </cell>
          <cell r="K150" t="str">
            <v>D</v>
          </cell>
          <cell r="L150" t="str">
            <v>B</v>
          </cell>
          <cell r="M150" t="str">
            <v>A</v>
          </cell>
          <cell r="N150" t="str">
            <v>B</v>
          </cell>
          <cell r="O150" t="str">
            <v>A</v>
          </cell>
          <cell r="P150" t="str">
            <v>C</v>
          </cell>
          <cell r="Q150" t="str">
            <v>C</v>
          </cell>
          <cell r="R150" t="str">
            <v>A</v>
          </cell>
          <cell r="X150">
            <v>44.699999999999989</v>
          </cell>
        </row>
        <row r="151">
          <cell r="C151">
            <v>31028769</v>
          </cell>
          <cell r="D151" t="str">
            <v>ТОВ "НОРМАІЗОЛ"</v>
          </cell>
          <cell r="E151">
            <v>45639.538800000002</v>
          </cell>
          <cell r="F151">
            <v>45566</v>
          </cell>
          <cell r="G151" t="str">
            <v>E</v>
          </cell>
          <cell r="H151" t="str">
            <v>B</v>
          </cell>
          <cell r="I151" t="str">
            <v>B</v>
          </cell>
          <cell r="J151" t="str">
            <v>B</v>
          </cell>
          <cell r="K151" t="str">
            <v>D</v>
          </cell>
          <cell r="L151" t="str">
            <v>A</v>
          </cell>
          <cell r="M151" t="str">
            <v>A</v>
          </cell>
          <cell r="N151" t="str">
            <v>B</v>
          </cell>
          <cell r="O151" t="str">
            <v>A</v>
          </cell>
          <cell r="P151" t="str">
            <v>C</v>
          </cell>
          <cell r="Q151" t="str">
            <v>B</v>
          </cell>
          <cell r="R151" t="str">
            <v>A</v>
          </cell>
          <cell r="X151">
            <v>55.7</v>
          </cell>
        </row>
        <row r="152">
          <cell r="C152">
            <v>31037360</v>
          </cell>
          <cell r="D152" t="str">
            <v>ПП "САРМАТ"</v>
          </cell>
          <cell r="E152">
            <v>45952.740299999998</v>
          </cell>
          <cell r="F152">
            <v>45839</v>
          </cell>
          <cell r="G152" t="str">
            <v>E</v>
          </cell>
          <cell r="H152" t="str">
            <v>B</v>
          </cell>
          <cell r="I152" t="str">
            <v>B</v>
          </cell>
          <cell r="J152" t="str">
            <v>C</v>
          </cell>
          <cell r="K152" t="str">
            <v>D</v>
          </cell>
          <cell r="L152" t="str">
            <v>B</v>
          </cell>
          <cell r="M152" t="str">
            <v>D</v>
          </cell>
          <cell r="N152" t="str">
            <v>C</v>
          </cell>
          <cell r="O152" t="str">
            <v>B</v>
          </cell>
          <cell r="P152" t="str">
            <v>C</v>
          </cell>
          <cell r="Q152" t="str">
            <v>C</v>
          </cell>
          <cell r="R152" t="str">
            <v>B</v>
          </cell>
          <cell r="X152">
            <v>35.199999999999996</v>
          </cell>
        </row>
        <row r="153">
          <cell r="C153">
            <v>31140930</v>
          </cell>
          <cell r="D153" t="str">
            <v>ПП "Благодатне"</v>
          </cell>
          <cell r="E153">
            <v>45965.373500000002</v>
          </cell>
          <cell r="F153">
            <v>45839</v>
          </cell>
          <cell r="G153" t="str">
            <v>D</v>
          </cell>
          <cell r="H153" t="str">
            <v>B</v>
          </cell>
          <cell r="I153" t="str">
            <v>B</v>
          </cell>
          <cell r="J153" t="str">
            <v>B</v>
          </cell>
          <cell r="K153" t="str">
            <v>C</v>
          </cell>
          <cell r="L153" t="str">
            <v>B</v>
          </cell>
          <cell r="M153" t="str">
            <v>A</v>
          </cell>
          <cell r="N153" t="str">
            <v>A</v>
          </cell>
          <cell r="O153" t="str">
            <v>A</v>
          </cell>
          <cell r="P153" t="str">
            <v>C</v>
          </cell>
          <cell r="Q153" t="str">
            <v>C</v>
          </cell>
          <cell r="R153" t="str">
            <v>A</v>
          </cell>
          <cell r="X153">
            <v>58.8</v>
          </cell>
        </row>
        <row r="154">
          <cell r="C154">
            <v>31152349</v>
          </cell>
          <cell r="D154" t="str">
            <v>ТОВ "ДЖАМП"</v>
          </cell>
          <cell r="E154">
            <v>45652.601999999999</v>
          </cell>
          <cell r="F154">
            <v>45566</v>
          </cell>
          <cell r="G154" t="str">
            <v>E</v>
          </cell>
          <cell r="H154" t="str">
            <v>A</v>
          </cell>
          <cell r="I154" t="str">
            <v>A</v>
          </cell>
          <cell r="J154" t="str">
            <v>A</v>
          </cell>
          <cell r="K154" t="str">
            <v>C</v>
          </cell>
          <cell r="L154" t="str">
            <v>A</v>
          </cell>
          <cell r="M154" t="str">
            <v>A</v>
          </cell>
          <cell r="N154" t="str">
            <v>A</v>
          </cell>
          <cell r="O154" t="str">
            <v>A</v>
          </cell>
          <cell r="P154" t="str">
            <v>C</v>
          </cell>
          <cell r="Q154" t="str">
            <v>B</v>
          </cell>
          <cell r="R154" t="str">
            <v>C</v>
          </cell>
          <cell r="X154">
            <v>51</v>
          </cell>
        </row>
        <row r="155">
          <cell r="C155">
            <v>31190269</v>
          </cell>
          <cell r="D155" t="str">
            <v>ТОВ АПК "СПАСЬКИЙ"</v>
          </cell>
          <cell r="E155">
            <v>45755</v>
          </cell>
          <cell r="F155">
            <v>45658</v>
          </cell>
          <cell r="G155" t="str">
            <v>E</v>
          </cell>
          <cell r="H155" t="str">
            <v>B</v>
          </cell>
          <cell r="I155" t="str">
            <v>B</v>
          </cell>
          <cell r="J155" t="str">
            <v>B</v>
          </cell>
          <cell r="K155" t="str">
            <v>B</v>
          </cell>
          <cell r="L155" t="str">
            <v>A</v>
          </cell>
          <cell r="M155" t="str">
            <v>A</v>
          </cell>
          <cell r="N155" t="str">
            <v>C</v>
          </cell>
          <cell r="O155" t="str">
            <v>A</v>
          </cell>
          <cell r="P155" t="str">
            <v>C</v>
          </cell>
          <cell r="Q155" t="str">
            <v>B</v>
          </cell>
          <cell r="R155" t="str">
            <v>A</v>
          </cell>
          <cell r="X155">
            <v>57.800000000000004</v>
          </cell>
        </row>
        <row r="156">
          <cell r="C156">
            <v>31207130</v>
          </cell>
          <cell r="D156" t="str">
            <v>ТОВ "ЧЕСМ"</v>
          </cell>
          <cell r="E156">
            <v>45635.991000000002</v>
          </cell>
          <cell r="F156">
            <v>45566</v>
          </cell>
          <cell r="G156" t="str">
            <v>E</v>
          </cell>
          <cell r="H156" t="str">
            <v>C</v>
          </cell>
          <cell r="I156" t="str">
            <v>B</v>
          </cell>
          <cell r="J156" t="str">
            <v>B</v>
          </cell>
          <cell r="K156" t="str">
            <v>D</v>
          </cell>
          <cell r="L156" t="str">
            <v>B</v>
          </cell>
          <cell r="M156" t="str">
            <v>A</v>
          </cell>
          <cell r="N156" t="str">
            <v>B</v>
          </cell>
          <cell r="O156" t="str">
            <v>A</v>
          </cell>
          <cell r="P156" t="str">
            <v>B</v>
          </cell>
          <cell r="Q156" t="str">
            <v>B</v>
          </cell>
          <cell r="R156" t="str">
            <v>A</v>
          </cell>
          <cell r="X156">
            <v>51.1</v>
          </cell>
        </row>
        <row r="157">
          <cell r="C157">
            <v>31261769</v>
          </cell>
          <cell r="D157" t="str">
            <v>ТОВ ВК "ГІРНИЧОДОБУВНА ПРОМИСЛОВІСТЬ"</v>
          </cell>
          <cell r="E157">
            <v>45551.451200000003</v>
          </cell>
          <cell r="F157">
            <v>45474</v>
          </cell>
          <cell r="G157" t="str">
            <v>E</v>
          </cell>
          <cell r="H157" t="str">
            <v>A</v>
          </cell>
          <cell r="I157" t="str">
            <v>A</v>
          </cell>
          <cell r="J157" t="str">
            <v>C</v>
          </cell>
          <cell r="K157" t="str">
            <v>E</v>
          </cell>
          <cell r="L157" t="str">
            <v>A</v>
          </cell>
          <cell r="M157" t="str">
            <v>A</v>
          </cell>
          <cell r="N157" t="str">
            <v>C</v>
          </cell>
          <cell r="O157" t="str">
            <v>A</v>
          </cell>
          <cell r="P157" t="str">
            <v>C</v>
          </cell>
          <cell r="Q157" t="str">
            <v>B</v>
          </cell>
          <cell r="R157" t="str">
            <v>C</v>
          </cell>
          <cell r="X157">
            <v>47.800000000000004</v>
          </cell>
        </row>
        <row r="158">
          <cell r="C158">
            <v>31285135</v>
          </cell>
          <cell r="D158" t="str">
            <v>ТОВ "АВТОМОБІЛЬНИЙ ДОМ "СОЛЛІ-ПЛЮС"</v>
          </cell>
          <cell r="E158">
            <v>45861.418100000003</v>
          </cell>
          <cell r="F158">
            <v>45748</v>
          </cell>
          <cell r="G158" t="str">
            <v>E</v>
          </cell>
          <cell r="H158" t="str">
            <v>B</v>
          </cell>
          <cell r="I158" t="str">
            <v>B</v>
          </cell>
          <cell r="J158" t="str">
            <v>C</v>
          </cell>
          <cell r="K158" t="str">
            <v>D</v>
          </cell>
          <cell r="L158" t="str">
            <v>A</v>
          </cell>
          <cell r="M158" t="str">
            <v>A</v>
          </cell>
          <cell r="N158" t="str">
            <v>B</v>
          </cell>
          <cell r="O158" t="str">
            <v>B</v>
          </cell>
          <cell r="P158" t="str">
            <v>C</v>
          </cell>
          <cell r="Q158" t="str">
            <v>B</v>
          </cell>
          <cell r="R158" t="str">
            <v>C</v>
          </cell>
          <cell r="X158">
            <v>48.900000000000006</v>
          </cell>
        </row>
        <row r="159">
          <cell r="C159">
            <v>31316702</v>
          </cell>
          <cell r="D159" t="str">
            <v>ПП"АЛМАЗ-М"</v>
          </cell>
          <cell r="E159">
            <v>45856.427100000001</v>
          </cell>
          <cell r="F159">
            <v>45748</v>
          </cell>
          <cell r="G159" t="str">
            <v>E</v>
          </cell>
          <cell r="H159" t="str">
            <v>A</v>
          </cell>
          <cell r="I159" t="str">
            <v>A</v>
          </cell>
          <cell r="J159" t="str">
            <v>A</v>
          </cell>
          <cell r="K159" t="str">
            <v>D</v>
          </cell>
          <cell r="L159" t="str">
            <v>A</v>
          </cell>
          <cell r="M159" t="str">
            <v>A</v>
          </cell>
          <cell r="N159" t="str">
            <v>B</v>
          </cell>
          <cell r="O159" t="str">
            <v>A</v>
          </cell>
          <cell r="P159" t="str">
            <v>C</v>
          </cell>
          <cell r="Q159" t="str">
            <v>B</v>
          </cell>
          <cell r="R159" t="str">
            <v>A</v>
          </cell>
          <cell r="X159">
            <v>50.9</v>
          </cell>
        </row>
        <row r="160">
          <cell r="C160">
            <v>31316718</v>
          </cell>
          <cell r="D160" t="str">
            <v>ТОВ "Нова пошта"</v>
          </cell>
          <cell r="E160">
            <v>45909.691200000001</v>
          </cell>
          <cell r="F160">
            <v>45658</v>
          </cell>
          <cell r="G160" t="str">
            <v>A</v>
          </cell>
          <cell r="H160" t="str">
            <v>B</v>
          </cell>
          <cell r="I160" t="str">
            <v>B</v>
          </cell>
          <cell r="J160" t="str">
            <v>B</v>
          </cell>
          <cell r="K160" t="str">
            <v>A</v>
          </cell>
          <cell r="L160" t="str">
            <v>A</v>
          </cell>
          <cell r="M160" t="str">
            <v>A</v>
          </cell>
          <cell r="N160" t="str">
            <v>A</v>
          </cell>
          <cell r="O160" t="str">
            <v>A</v>
          </cell>
          <cell r="P160" t="str">
            <v>C</v>
          </cell>
          <cell r="Q160" t="str">
            <v>B</v>
          </cell>
          <cell r="R160" t="str">
            <v>A</v>
          </cell>
          <cell r="X160">
            <v>70.199999999999989</v>
          </cell>
        </row>
        <row r="161">
          <cell r="C161">
            <v>31421830</v>
          </cell>
          <cell r="D161" t="str">
            <v>ТОВ "Пілот"</v>
          </cell>
          <cell r="E161">
            <v>45611.617700000003</v>
          </cell>
          <cell r="F161">
            <v>45566</v>
          </cell>
          <cell r="G161" t="str">
            <v>E</v>
          </cell>
          <cell r="H161" t="str">
            <v>B</v>
          </cell>
          <cell r="I161" t="str">
            <v>B</v>
          </cell>
          <cell r="J161" t="str">
            <v>D</v>
          </cell>
          <cell r="K161" t="str">
            <v>D</v>
          </cell>
          <cell r="L161" t="str">
            <v>A</v>
          </cell>
          <cell r="M161" t="str">
            <v>A</v>
          </cell>
          <cell r="N161" t="str">
            <v>B</v>
          </cell>
          <cell r="O161" t="str">
            <v>A</v>
          </cell>
          <cell r="P161" t="str">
            <v>C</v>
          </cell>
          <cell r="Q161" t="str">
            <v>C</v>
          </cell>
          <cell r="R161" t="str">
            <v>A</v>
          </cell>
          <cell r="X161">
            <v>59.099999999999994</v>
          </cell>
        </row>
        <row r="162">
          <cell r="C162">
            <v>31427962</v>
          </cell>
          <cell r="D162" t="str">
            <v>ТОВ "ВЕЛЕС-АГРО ЛТД."</v>
          </cell>
          <cell r="E162">
            <v>45919.466500000002</v>
          </cell>
          <cell r="F162">
            <v>45839</v>
          </cell>
          <cell r="G162" t="str">
            <v>E</v>
          </cell>
          <cell r="H162" t="str">
            <v>A</v>
          </cell>
          <cell r="I162" t="str">
            <v>A</v>
          </cell>
          <cell r="J162" t="str">
            <v>A</v>
          </cell>
          <cell r="K162" t="str">
            <v>A</v>
          </cell>
          <cell r="L162" t="str">
            <v>A</v>
          </cell>
          <cell r="M162" t="str">
            <v>A</v>
          </cell>
          <cell r="N162" t="str">
            <v>B</v>
          </cell>
          <cell r="O162" t="str">
            <v>A</v>
          </cell>
          <cell r="P162" t="str">
            <v>C</v>
          </cell>
          <cell r="Q162" t="str">
            <v>B</v>
          </cell>
          <cell r="R162" t="str">
            <v>A</v>
          </cell>
          <cell r="X162">
            <v>55.7</v>
          </cell>
        </row>
        <row r="163">
          <cell r="C163">
            <v>31496816</v>
          </cell>
          <cell r="D163" t="str">
            <v>ТЗОВ"ВОЛИНЬ-ЗЕРНО-ПРОДУКТ"</v>
          </cell>
          <cell r="E163">
            <v>45769.481800000001</v>
          </cell>
          <cell r="F163">
            <v>45658</v>
          </cell>
          <cell r="G163" t="str">
            <v>D</v>
          </cell>
          <cell r="H163" t="str">
            <v>B</v>
          </cell>
          <cell r="I163" t="str">
            <v>B</v>
          </cell>
          <cell r="J163" t="str">
            <v>A</v>
          </cell>
          <cell r="K163" t="str">
            <v>D</v>
          </cell>
          <cell r="L163" t="str">
            <v>B</v>
          </cell>
          <cell r="M163" t="str">
            <v>A</v>
          </cell>
          <cell r="N163" t="str">
            <v>A</v>
          </cell>
          <cell r="O163" t="str">
            <v>A</v>
          </cell>
          <cell r="P163" t="str">
            <v>C</v>
          </cell>
          <cell r="Q163" t="str">
            <v>B</v>
          </cell>
          <cell r="R163" t="str">
            <v>A</v>
          </cell>
          <cell r="X163">
            <v>55</v>
          </cell>
        </row>
        <row r="164">
          <cell r="C164">
            <v>31626517</v>
          </cell>
          <cell r="D164" t="str">
            <v>ТОВ "СПЕЦТРАНССЕРВІС"</v>
          </cell>
          <cell r="E164">
            <v>45628.774100000002</v>
          </cell>
          <cell r="F164">
            <v>45566</v>
          </cell>
          <cell r="G164" t="str">
            <v>E</v>
          </cell>
          <cell r="H164" t="str">
            <v>C</v>
          </cell>
          <cell r="I164" t="str">
            <v>A</v>
          </cell>
          <cell r="J164" t="str">
            <v>A</v>
          </cell>
          <cell r="K164" t="str">
            <v>D</v>
          </cell>
          <cell r="L164" t="str">
            <v>A</v>
          </cell>
          <cell r="M164" t="str">
            <v>A</v>
          </cell>
          <cell r="N164" t="str">
            <v>B</v>
          </cell>
          <cell r="O164" t="str">
            <v>A</v>
          </cell>
          <cell r="P164" t="str">
            <v>C</v>
          </cell>
          <cell r="Q164" t="str">
            <v>C</v>
          </cell>
          <cell r="R164" t="str">
            <v>A</v>
          </cell>
          <cell r="X164">
            <v>45.099999999999994</v>
          </cell>
        </row>
        <row r="165">
          <cell r="C165">
            <v>31676602</v>
          </cell>
          <cell r="D165" t="str">
            <v>ТОВ "ЗАВОД ХТТ"</v>
          </cell>
          <cell r="E165">
            <v>45967.674599999998</v>
          </cell>
          <cell r="F165">
            <v>45839</v>
          </cell>
          <cell r="G165" t="str">
            <v>E</v>
          </cell>
          <cell r="H165" t="str">
            <v>C</v>
          </cell>
          <cell r="I165" t="str">
            <v>B</v>
          </cell>
          <cell r="J165" t="str">
            <v>B</v>
          </cell>
          <cell r="K165" t="str">
            <v>D</v>
          </cell>
          <cell r="L165" t="str">
            <v>A</v>
          </cell>
          <cell r="M165" t="str">
            <v>B</v>
          </cell>
          <cell r="N165" t="str">
            <v>B</v>
          </cell>
          <cell r="O165" t="str">
            <v>B</v>
          </cell>
          <cell r="P165" t="str">
            <v>B</v>
          </cell>
          <cell r="Q165" t="str">
            <v>B</v>
          </cell>
          <cell r="R165" t="str">
            <v>B</v>
          </cell>
          <cell r="X165">
            <v>42.300000000000004</v>
          </cell>
        </row>
        <row r="166">
          <cell r="C166">
            <v>31728376</v>
          </cell>
          <cell r="D166" t="str">
            <v>ТОВ "НВП "СИСТЕМИ УПРАВЛІННЯ"</v>
          </cell>
          <cell r="E166">
            <v>45960.7765</v>
          </cell>
          <cell r="F166">
            <v>45839</v>
          </cell>
          <cell r="G166" t="str">
            <v>E</v>
          </cell>
          <cell r="H166" t="str">
            <v>B</v>
          </cell>
          <cell r="I166" t="str">
            <v>B</v>
          </cell>
          <cell r="J166" t="str">
            <v>A</v>
          </cell>
          <cell r="K166" t="str">
            <v>D</v>
          </cell>
          <cell r="L166" t="str">
            <v>A</v>
          </cell>
          <cell r="M166" t="str">
            <v>A</v>
          </cell>
          <cell r="N166" t="str">
            <v>B</v>
          </cell>
          <cell r="O166" t="str">
            <v>A</v>
          </cell>
          <cell r="P166" t="str">
            <v>C</v>
          </cell>
          <cell r="Q166" t="str">
            <v>B</v>
          </cell>
          <cell r="R166" t="str">
            <v>A</v>
          </cell>
          <cell r="X166">
            <v>52.9</v>
          </cell>
        </row>
        <row r="167">
          <cell r="C167">
            <v>31744590</v>
          </cell>
          <cell r="D167" t="str">
            <v>ТОВ "АПК "НИВА УКРАЇНИ"</v>
          </cell>
          <cell r="E167">
            <v>45604.541799999999</v>
          </cell>
          <cell r="F167">
            <v>45474</v>
          </cell>
          <cell r="G167" t="str">
            <v>E</v>
          </cell>
          <cell r="H167" t="str">
            <v>C</v>
          </cell>
          <cell r="I167" t="str">
            <v>B</v>
          </cell>
          <cell r="J167" t="str">
            <v>B</v>
          </cell>
          <cell r="K167" t="str">
            <v>B</v>
          </cell>
          <cell r="L167" t="str">
            <v>B</v>
          </cell>
          <cell r="M167" t="str">
            <v>A</v>
          </cell>
          <cell r="N167" t="str">
            <v>A</v>
          </cell>
          <cell r="O167" t="str">
            <v>A</v>
          </cell>
          <cell r="P167" t="str">
            <v>B</v>
          </cell>
          <cell r="Q167" t="str">
            <v>B</v>
          </cell>
          <cell r="R167" t="str">
            <v>A</v>
          </cell>
          <cell r="X167">
            <v>58</v>
          </cell>
        </row>
        <row r="168">
          <cell r="C168">
            <v>31756056</v>
          </cell>
          <cell r="D168" t="str">
            <v>ПП «АККЕРМАН ЗЕРНОПРОМ»</v>
          </cell>
          <cell r="E168">
            <v>45905</v>
          </cell>
          <cell r="F168">
            <v>45839</v>
          </cell>
          <cell r="G168" t="str">
            <v>E</v>
          </cell>
          <cell r="H168" t="str">
            <v>C</v>
          </cell>
          <cell r="I168" t="str">
            <v>C</v>
          </cell>
          <cell r="J168" t="str">
            <v>C</v>
          </cell>
          <cell r="K168" t="str">
            <v>D</v>
          </cell>
          <cell r="L168" t="str">
            <v>B</v>
          </cell>
          <cell r="M168" t="str">
            <v>A</v>
          </cell>
          <cell r="N168" t="str">
            <v>B</v>
          </cell>
          <cell r="O168" t="str">
            <v>B</v>
          </cell>
          <cell r="P168" t="str">
            <v>C</v>
          </cell>
          <cell r="Q168" t="str">
            <v>B</v>
          </cell>
          <cell r="R168" t="str">
            <v>A</v>
          </cell>
          <cell r="X168">
            <v>40.5</v>
          </cell>
        </row>
        <row r="169">
          <cell r="C169">
            <v>31760612</v>
          </cell>
          <cell r="D169" t="str">
            <v>ТОВ "Крафт"</v>
          </cell>
          <cell r="E169">
            <v>45750.515399999997</v>
          </cell>
          <cell r="F169">
            <v>45658</v>
          </cell>
          <cell r="G169" t="str">
            <v>E</v>
          </cell>
          <cell r="H169" t="str">
            <v>B</v>
          </cell>
          <cell r="I169" t="str">
            <v>A</v>
          </cell>
          <cell r="J169" t="str">
            <v>A</v>
          </cell>
          <cell r="K169" t="str">
            <v>D</v>
          </cell>
          <cell r="L169" t="str">
            <v>B</v>
          </cell>
          <cell r="M169" t="str">
            <v>A</v>
          </cell>
          <cell r="N169" t="str">
            <v>B</v>
          </cell>
          <cell r="O169" t="str">
            <v>A</v>
          </cell>
          <cell r="P169" t="str">
            <v>C</v>
          </cell>
          <cell r="Q169" t="str">
            <v>C</v>
          </cell>
          <cell r="R169" t="str">
            <v>C</v>
          </cell>
          <cell r="X169">
            <v>35.899999999999991</v>
          </cell>
        </row>
        <row r="170">
          <cell r="C170">
            <v>31764816</v>
          </cell>
          <cell r="D170" t="str">
            <v>ТОВ "Техноторг-Дон"</v>
          </cell>
          <cell r="E170">
            <v>45905.5386</v>
          </cell>
          <cell r="F170">
            <v>45839</v>
          </cell>
          <cell r="G170" t="str">
            <v>C</v>
          </cell>
          <cell r="H170" t="str">
            <v>C</v>
          </cell>
          <cell r="I170" t="str">
            <v>A</v>
          </cell>
          <cell r="J170" t="str">
            <v>D</v>
          </cell>
          <cell r="K170" t="str">
            <v>C</v>
          </cell>
          <cell r="L170" t="str">
            <v>D</v>
          </cell>
          <cell r="M170" t="str">
            <v>B</v>
          </cell>
          <cell r="N170" t="str">
            <v>A</v>
          </cell>
          <cell r="O170" t="str">
            <v>A</v>
          </cell>
          <cell r="P170" t="str">
            <v>C</v>
          </cell>
          <cell r="Q170" t="str">
            <v>B</v>
          </cell>
          <cell r="R170" t="str">
            <v>A</v>
          </cell>
          <cell r="X170">
            <v>50.6</v>
          </cell>
        </row>
        <row r="171">
          <cell r="C171">
            <v>31818929</v>
          </cell>
          <cell r="D171" t="str">
            <v>ТОВ "АГРОПАРТНЕР"</v>
          </cell>
          <cell r="E171">
            <v>45840.4496</v>
          </cell>
          <cell r="F171">
            <v>45658</v>
          </cell>
          <cell r="G171" t="str">
            <v>D</v>
          </cell>
          <cell r="H171" t="str">
            <v>B</v>
          </cell>
          <cell r="I171" t="str">
            <v>A</v>
          </cell>
          <cell r="J171" t="str">
            <v>B</v>
          </cell>
          <cell r="K171" t="str">
            <v>B</v>
          </cell>
          <cell r="L171" t="str">
            <v>B</v>
          </cell>
          <cell r="M171" t="str">
            <v>C</v>
          </cell>
          <cell r="N171" t="str">
            <v>B</v>
          </cell>
          <cell r="O171" t="str">
            <v>B</v>
          </cell>
          <cell r="P171" t="str">
            <v>C</v>
          </cell>
          <cell r="Q171" t="str">
            <v>B</v>
          </cell>
          <cell r="R171" t="str">
            <v>B</v>
          </cell>
          <cell r="X171">
            <v>38.9</v>
          </cell>
        </row>
        <row r="172">
          <cell r="C172">
            <v>31850889</v>
          </cell>
          <cell r="D172" t="str">
            <v>ТОВ "ПРОГРЕС"</v>
          </cell>
          <cell r="E172">
            <v>45736.444600000003</v>
          </cell>
          <cell r="F172">
            <v>45566</v>
          </cell>
          <cell r="G172" t="str">
            <v>D</v>
          </cell>
          <cell r="H172" t="str">
            <v>C</v>
          </cell>
          <cell r="I172" t="str">
            <v>D</v>
          </cell>
          <cell r="J172" t="str">
            <v>D</v>
          </cell>
          <cell r="K172" t="str">
            <v>D</v>
          </cell>
          <cell r="L172" t="str">
            <v>A</v>
          </cell>
          <cell r="M172" t="str">
            <v>C</v>
          </cell>
          <cell r="N172" t="str">
            <v>B</v>
          </cell>
          <cell r="O172" t="str">
            <v>B</v>
          </cell>
          <cell r="P172" t="str">
            <v>C</v>
          </cell>
          <cell r="Q172" t="str">
            <v>C</v>
          </cell>
          <cell r="R172" t="str">
            <v>A</v>
          </cell>
          <cell r="X172">
            <v>43.099999999999987</v>
          </cell>
        </row>
        <row r="173">
          <cell r="C173">
            <v>31862978</v>
          </cell>
          <cell r="D173" t="str">
            <v>ТОВ "ТАЛАНЛЕГПРОМ"</v>
          </cell>
          <cell r="E173">
            <v>45755.625899999999</v>
          </cell>
          <cell r="F173">
            <v>45658</v>
          </cell>
          <cell r="G173" t="str">
            <v>B</v>
          </cell>
          <cell r="H173" t="str">
            <v>B</v>
          </cell>
          <cell r="I173" t="str">
            <v>B</v>
          </cell>
          <cell r="J173" t="str">
            <v>C</v>
          </cell>
          <cell r="K173" t="str">
            <v>D</v>
          </cell>
          <cell r="L173" t="str">
            <v>A</v>
          </cell>
          <cell r="M173" t="str">
            <v>A</v>
          </cell>
          <cell r="N173" t="str">
            <v>A</v>
          </cell>
          <cell r="O173" t="str">
            <v>A</v>
          </cell>
          <cell r="P173" t="str">
            <v>C</v>
          </cell>
          <cell r="Q173" t="str">
            <v>B</v>
          </cell>
          <cell r="R173" t="str">
            <v>A</v>
          </cell>
          <cell r="X173">
            <v>69.800000000000011</v>
          </cell>
        </row>
        <row r="174">
          <cell r="C174">
            <v>31867274</v>
          </cell>
          <cell r="D174" t="str">
            <v>ТОВ "ГЕРМЕС-ТРЕЙДІНГ"</v>
          </cell>
          <cell r="E174">
            <v>45736.444600000003</v>
          </cell>
          <cell r="F174">
            <v>45566</v>
          </cell>
          <cell r="G174" t="str">
            <v>D</v>
          </cell>
          <cell r="H174" t="str">
            <v>C</v>
          </cell>
          <cell r="I174" t="str">
            <v>D</v>
          </cell>
          <cell r="J174" t="str">
            <v>D</v>
          </cell>
          <cell r="K174" t="str">
            <v>D</v>
          </cell>
          <cell r="L174" t="str">
            <v>A</v>
          </cell>
          <cell r="M174" t="str">
            <v>C</v>
          </cell>
          <cell r="N174" t="str">
            <v>B</v>
          </cell>
          <cell r="O174" t="str">
            <v>B</v>
          </cell>
          <cell r="P174" t="str">
            <v>C</v>
          </cell>
          <cell r="Q174" t="str">
            <v>C</v>
          </cell>
          <cell r="R174" t="str">
            <v>A</v>
          </cell>
          <cell r="X174">
            <v>43.099999999999987</v>
          </cell>
        </row>
        <row r="175">
          <cell r="C175">
            <v>31892976</v>
          </cell>
          <cell r="D175" t="str">
            <v>ПСП "ЕКСІМ-АГРО"</v>
          </cell>
          <cell r="E175">
            <v>45695.731200000002</v>
          </cell>
          <cell r="F175">
            <v>45566</v>
          </cell>
          <cell r="G175" t="str">
            <v>E</v>
          </cell>
          <cell r="H175" t="str">
            <v>C</v>
          </cell>
          <cell r="I175" t="str">
            <v>A</v>
          </cell>
          <cell r="J175" t="str">
            <v>C</v>
          </cell>
          <cell r="K175" t="str">
            <v>D</v>
          </cell>
          <cell r="L175" t="str">
            <v>B</v>
          </cell>
          <cell r="M175" t="str">
            <v>D</v>
          </cell>
          <cell r="N175" t="str">
            <v>B</v>
          </cell>
          <cell r="O175" t="str">
            <v>A</v>
          </cell>
          <cell r="P175" t="str">
            <v>A</v>
          </cell>
          <cell r="Q175" t="str">
            <v>B</v>
          </cell>
          <cell r="R175" t="str">
            <v>A</v>
          </cell>
          <cell r="X175">
            <v>43.9</v>
          </cell>
        </row>
        <row r="176">
          <cell r="C176">
            <v>31911363</v>
          </cell>
          <cell r="D176" t="str">
            <v>ТОВ "КПД"</v>
          </cell>
          <cell r="E176">
            <v>45835.374100000001</v>
          </cell>
          <cell r="F176">
            <v>45658</v>
          </cell>
          <cell r="G176" t="str">
            <v>C</v>
          </cell>
          <cell r="H176" t="str">
            <v>C</v>
          </cell>
          <cell r="I176" t="str">
            <v>D</v>
          </cell>
          <cell r="J176" t="str">
            <v>A</v>
          </cell>
          <cell r="K176" t="str">
            <v>A</v>
          </cell>
          <cell r="L176" t="str">
            <v>A</v>
          </cell>
          <cell r="M176" t="str">
            <v>A</v>
          </cell>
          <cell r="N176" t="str">
            <v>A</v>
          </cell>
          <cell r="O176" t="str">
            <v>A</v>
          </cell>
          <cell r="P176" t="str">
            <v>C</v>
          </cell>
          <cell r="Q176" t="str">
            <v>B</v>
          </cell>
          <cell r="R176" t="str">
            <v>A</v>
          </cell>
          <cell r="X176">
            <v>56.6</v>
          </cell>
        </row>
        <row r="177">
          <cell r="C177">
            <v>31982734</v>
          </cell>
          <cell r="D177" t="str">
            <v>ТОВ "АВТОБАНСЕРВІС"</v>
          </cell>
          <cell r="E177">
            <v>45833.396000000001</v>
          </cell>
          <cell r="F177">
            <v>45658</v>
          </cell>
          <cell r="G177" t="str">
            <v>D</v>
          </cell>
          <cell r="H177" t="str">
            <v>C</v>
          </cell>
          <cell r="I177" t="str">
            <v>B</v>
          </cell>
          <cell r="J177" t="str">
            <v>D</v>
          </cell>
          <cell r="K177" t="str">
            <v>D</v>
          </cell>
          <cell r="L177" t="str">
            <v>B</v>
          </cell>
          <cell r="M177" t="str">
            <v>A</v>
          </cell>
          <cell r="N177" t="str">
            <v>B</v>
          </cell>
          <cell r="O177" t="str">
            <v>A</v>
          </cell>
          <cell r="P177" t="str">
            <v>C</v>
          </cell>
          <cell r="Q177" t="str">
            <v>B</v>
          </cell>
          <cell r="R177" t="str">
            <v>B</v>
          </cell>
          <cell r="X177">
            <v>54.5</v>
          </cell>
        </row>
        <row r="178">
          <cell r="C178">
            <v>32007740</v>
          </cell>
          <cell r="D178" t="str">
            <v>ТОВ "РУШ"</v>
          </cell>
          <cell r="E178">
            <v>45791.535600000003</v>
          </cell>
          <cell r="F178">
            <v>45658</v>
          </cell>
          <cell r="G178" t="str">
            <v>C</v>
          </cell>
          <cell r="H178" t="str">
            <v>B</v>
          </cell>
          <cell r="I178" t="str">
            <v>B</v>
          </cell>
          <cell r="J178" t="str">
            <v>D</v>
          </cell>
          <cell r="K178" t="str">
            <v>B</v>
          </cell>
          <cell r="L178" t="str">
            <v>A</v>
          </cell>
          <cell r="M178" t="str">
            <v>A</v>
          </cell>
          <cell r="N178" t="str">
            <v>A</v>
          </cell>
          <cell r="O178" t="str">
            <v>A</v>
          </cell>
          <cell r="P178" t="str">
            <v>C</v>
          </cell>
          <cell r="Q178" t="str">
            <v>B</v>
          </cell>
          <cell r="R178" t="str">
            <v>A</v>
          </cell>
          <cell r="X178">
            <v>71.8</v>
          </cell>
        </row>
        <row r="179">
          <cell r="C179">
            <v>32010004</v>
          </cell>
          <cell r="D179" t="str">
            <v>ТОВ "АГРО ЕКСПЕРТ"</v>
          </cell>
          <cell r="E179">
            <v>45531.599300000002</v>
          </cell>
          <cell r="F179">
            <v>45474</v>
          </cell>
          <cell r="G179" t="str">
            <v>E</v>
          </cell>
          <cell r="H179" t="str">
            <v>C</v>
          </cell>
          <cell r="I179" t="str">
            <v>B</v>
          </cell>
          <cell r="J179" t="str">
            <v>A</v>
          </cell>
          <cell r="K179" t="str">
            <v>D</v>
          </cell>
          <cell r="L179" t="str">
            <v>B</v>
          </cell>
          <cell r="M179" t="str">
            <v>A</v>
          </cell>
          <cell r="N179" t="str">
            <v>B</v>
          </cell>
          <cell r="O179" t="str">
            <v>A</v>
          </cell>
          <cell r="P179" t="str">
            <v>C</v>
          </cell>
          <cell r="Q179" t="str">
            <v>B</v>
          </cell>
          <cell r="R179" t="str">
            <v>A</v>
          </cell>
          <cell r="X179">
            <v>46.499999999999993</v>
          </cell>
        </row>
        <row r="180">
          <cell r="C180">
            <v>32054193</v>
          </cell>
          <cell r="D180" t="str">
            <v>ТОВ "ДЕМОР"</v>
          </cell>
          <cell r="E180">
            <v>45785.643300000003</v>
          </cell>
          <cell r="F180">
            <v>45658</v>
          </cell>
          <cell r="G180" t="str">
            <v>E</v>
          </cell>
          <cell r="H180" t="str">
            <v>C</v>
          </cell>
          <cell r="I180" t="str">
            <v>A</v>
          </cell>
          <cell r="J180" t="str">
            <v>B</v>
          </cell>
          <cell r="K180" t="str">
            <v>D</v>
          </cell>
          <cell r="L180" t="str">
            <v>B</v>
          </cell>
          <cell r="M180" t="str">
            <v>D</v>
          </cell>
          <cell r="N180" t="str">
            <v>B</v>
          </cell>
          <cell r="O180" t="str">
            <v>A</v>
          </cell>
          <cell r="P180" t="str">
            <v>C</v>
          </cell>
          <cell r="Q180" t="str">
            <v>C</v>
          </cell>
          <cell r="R180" t="str">
            <v>A</v>
          </cell>
          <cell r="X180">
            <v>35.1</v>
          </cell>
        </row>
        <row r="181">
          <cell r="C181">
            <v>32062052</v>
          </cell>
          <cell r="D181" t="str">
            <v>СТОВ АГРОФІРМА "ВІЛЬНЕ - 2002"</v>
          </cell>
          <cell r="E181">
            <v>45657.491099999999</v>
          </cell>
          <cell r="F181">
            <v>45566</v>
          </cell>
          <cell r="G181" t="str">
            <v>E</v>
          </cell>
          <cell r="H181" t="str">
            <v>A</v>
          </cell>
          <cell r="I181" t="str">
            <v>B</v>
          </cell>
          <cell r="J181" t="str">
            <v>A</v>
          </cell>
          <cell r="K181" t="str">
            <v>D</v>
          </cell>
          <cell r="L181" t="str">
            <v>A</v>
          </cell>
          <cell r="M181" t="str">
            <v>A</v>
          </cell>
          <cell r="N181" t="str">
            <v>B</v>
          </cell>
          <cell r="O181" t="str">
            <v>B</v>
          </cell>
          <cell r="P181" t="str">
            <v>A</v>
          </cell>
          <cell r="Q181" t="str">
            <v>B</v>
          </cell>
          <cell r="R181" t="str">
            <v>A</v>
          </cell>
          <cell r="X181">
            <v>55.900000000000006</v>
          </cell>
        </row>
        <row r="182">
          <cell r="C182">
            <v>32140004</v>
          </cell>
          <cell r="D182" t="str">
            <v>ТОВ "ШОКОЛАДНА КОМПАНІЯ "МИР"</v>
          </cell>
          <cell r="E182">
            <v>45895.411399999997</v>
          </cell>
          <cell r="F182">
            <v>45748</v>
          </cell>
          <cell r="G182" t="str">
            <v>B</v>
          </cell>
          <cell r="H182" t="str">
            <v>A</v>
          </cell>
          <cell r="I182" t="str">
            <v>B</v>
          </cell>
          <cell r="J182" t="str">
            <v>D</v>
          </cell>
          <cell r="K182" t="str">
            <v>D</v>
          </cell>
          <cell r="L182" t="str">
            <v>B</v>
          </cell>
          <cell r="M182" t="str">
            <v>A</v>
          </cell>
          <cell r="N182" t="str">
            <v>B</v>
          </cell>
          <cell r="O182" t="str">
            <v>A</v>
          </cell>
          <cell r="P182" t="str">
            <v>C</v>
          </cell>
          <cell r="Q182" t="str">
            <v>C</v>
          </cell>
          <cell r="R182" t="str">
            <v>C</v>
          </cell>
          <cell r="X182">
            <v>58.7</v>
          </cell>
        </row>
        <row r="183">
          <cell r="C183">
            <v>32157382</v>
          </cell>
          <cell r="D183" t="str">
            <v>ТОВ "Асканія-Пак"</v>
          </cell>
          <cell r="E183">
            <v>45989.405599999998</v>
          </cell>
          <cell r="F183">
            <v>45658</v>
          </cell>
          <cell r="G183" t="str">
            <v>C</v>
          </cell>
          <cell r="H183" t="str">
            <v>D</v>
          </cell>
          <cell r="I183" t="str">
            <v>D</v>
          </cell>
          <cell r="J183" t="str">
            <v>D</v>
          </cell>
          <cell r="K183" t="str">
            <v>D</v>
          </cell>
          <cell r="L183" t="str">
            <v>A</v>
          </cell>
          <cell r="M183" t="str">
            <v>A</v>
          </cell>
          <cell r="N183" t="str">
            <v>A</v>
          </cell>
          <cell r="O183" t="str">
            <v>A</v>
          </cell>
          <cell r="P183" t="str">
            <v>B</v>
          </cell>
          <cell r="Q183" t="str">
            <v>B</v>
          </cell>
          <cell r="R183" t="str">
            <v>B</v>
          </cell>
          <cell r="X183">
            <v>54</v>
          </cell>
        </row>
        <row r="184">
          <cell r="C184">
            <v>32206599</v>
          </cell>
          <cell r="D184" t="str">
            <v>ТОВ "ОККО ЕНЕРДЖІ"</v>
          </cell>
          <cell r="E184">
            <v>45653.631099999999</v>
          </cell>
          <cell r="F184">
            <v>45474</v>
          </cell>
          <cell r="G184" t="str">
            <v>C</v>
          </cell>
          <cell r="H184" t="str">
            <v>C</v>
          </cell>
          <cell r="I184" t="str">
            <v>B</v>
          </cell>
          <cell r="J184" t="str">
            <v>C</v>
          </cell>
          <cell r="K184" t="str">
            <v>D</v>
          </cell>
          <cell r="L184" t="str">
            <v>A</v>
          </cell>
          <cell r="M184" t="str">
            <v>A</v>
          </cell>
          <cell r="N184" t="str">
            <v>A</v>
          </cell>
          <cell r="O184" t="str">
            <v>B</v>
          </cell>
          <cell r="P184" t="str">
            <v>C</v>
          </cell>
          <cell r="Q184" t="str">
            <v>B</v>
          </cell>
          <cell r="R184" t="str">
            <v>A</v>
          </cell>
          <cell r="X184">
            <v>60.599999999999994</v>
          </cell>
        </row>
        <row r="185">
          <cell r="C185">
            <v>32224487</v>
          </cell>
          <cell r="D185" t="str">
            <v>ТОВ "ЕВЕРЛАСТ"</v>
          </cell>
          <cell r="E185">
            <v>45957.768199999999</v>
          </cell>
          <cell r="F185">
            <v>45839</v>
          </cell>
          <cell r="G185" t="str">
            <v>E</v>
          </cell>
          <cell r="H185" t="str">
            <v>B</v>
          </cell>
          <cell r="I185" t="str">
            <v>B</v>
          </cell>
          <cell r="J185" t="str">
            <v>B</v>
          </cell>
          <cell r="K185" t="str">
            <v>D</v>
          </cell>
          <cell r="L185" t="str">
            <v>A</v>
          </cell>
          <cell r="M185" t="str">
            <v>A</v>
          </cell>
          <cell r="N185" t="str">
            <v>B</v>
          </cell>
          <cell r="O185" t="str">
            <v>A</v>
          </cell>
          <cell r="P185" t="str">
            <v>C</v>
          </cell>
          <cell r="Q185" t="str">
            <v>B</v>
          </cell>
          <cell r="R185" t="str">
            <v>A</v>
          </cell>
          <cell r="X185">
            <v>55.7</v>
          </cell>
        </row>
        <row r="186">
          <cell r="C186">
            <v>32282685</v>
          </cell>
          <cell r="D186" t="str">
            <v>ПП "ОБРІЙ"</v>
          </cell>
          <cell r="E186">
            <v>45695.731200000002</v>
          </cell>
          <cell r="F186">
            <v>45566</v>
          </cell>
          <cell r="G186" t="str">
            <v>E</v>
          </cell>
          <cell r="H186" t="str">
            <v>C</v>
          </cell>
          <cell r="I186" t="str">
            <v>A</v>
          </cell>
          <cell r="J186" t="str">
            <v>C</v>
          </cell>
          <cell r="K186" t="str">
            <v>D</v>
          </cell>
          <cell r="L186" t="str">
            <v>B</v>
          </cell>
          <cell r="M186" t="str">
            <v>D</v>
          </cell>
          <cell r="N186" t="str">
            <v>B</v>
          </cell>
          <cell r="O186" t="str">
            <v>A</v>
          </cell>
          <cell r="P186" t="str">
            <v>A</v>
          </cell>
          <cell r="Q186" t="str">
            <v>B</v>
          </cell>
          <cell r="R186" t="str">
            <v>A</v>
          </cell>
          <cell r="X186">
            <v>43.9</v>
          </cell>
        </row>
        <row r="187">
          <cell r="C187">
            <v>32294897</v>
          </cell>
          <cell r="D187" t="str">
            <v>ТОВ "Фора"</v>
          </cell>
          <cell r="E187">
            <v>45840.463900000002</v>
          </cell>
          <cell r="F187">
            <v>45658</v>
          </cell>
          <cell r="G187" t="str">
            <v>C</v>
          </cell>
          <cell r="H187" t="str">
            <v>D</v>
          </cell>
          <cell r="I187" t="str">
            <v>D</v>
          </cell>
          <cell r="J187" t="str">
            <v>D</v>
          </cell>
          <cell r="K187" t="str">
            <v>C</v>
          </cell>
          <cell r="L187" t="str">
            <v>A</v>
          </cell>
          <cell r="M187" t="str">
            <v>B</v>
          </cell>
          <cell r="N187" t="str">
            <v>A</v>
          </cell>
          <cell r="O187" t="str">
            <v>A</v>
          </cell>
          <cell r="P187" t="str">
            <v>A</v>
          </cell>
          <cell r="Q187" t="str">
            <v>B</v>
          </cell>
          <cell r="R187" t="str">
            <v>A</v>
          </cell>
          <cell r="X187">
            <v>56.4</v>
          </cell>
        </row>
        <row r="188">
          <cell r="C188">
            <v>32294905</v>
          </cell>
          <cell r="D188" t="str">
            <v>ТОВ "Експансія"</v>
          </cell>
          <cell r="E188">
            <v>45840.463900000002</v>
          </cell>
          <cell r="F188">
            <v>45658</v>
          </cell>
          <cell r="G188" t="str">
            <v>C</v>
          </cell>
          <cell r="H188" t="str">
            <v>D</v>
          </cell>
          <cell r="I188" t="str">
            <v>D</v>
          </cell>
          <cell r="J188" t="str">
            <v>D</v>
          </cell>
          <cell r="K188" t="str">
            <v>C</v>
          </cell>
          <cell r="L188" t="str">
            <v>A</v>
          </cell>
          <cell r="M188" t="str">
            <v>B</v>
          </cell>
          <cell r="N188" t="str">
            <v>A</v>
          </cell>
          <cell r="O188" t="str">
            <v>A</v>
          </cell>
          <cell r="P188" t="str">
            <v>A</v>
          </cell>
          <cell r="Q188" t="str">
            <v>B</v>
          </cell>
          <cell r="R188" t="str">
            <v>A</v>
          </cell>
          <cell r="X188">
            <v>56.4</v>
          </cell>
        </row>
        <row r="189">
          <cell r="C189">
            <v>32350299</v>
          </cell>
          <cell r="D189" t="str">
            <v>ТОВ З II "ВОРТЕКС"</v>
          </cell>
          <cell r="E189">
            <v>45835.374100000001</v>
          </cell>
          <cell r="F189">
            <v>45658</v>
          </cell>
          <cell r="G189" t="str">
            <v>C</v>
          </cell>
          <cell r="H189" t="str">
            <v>C</v>
          </cell>
          <cell r="I189" t="str">
            <v>D</v>
          </cell>
          <cell r="J189" t="str">
            <v>A</v>
          </cell>
          <cell r="K189" t="str">
            <v>A</v>
          </cell>
          <cell r="L189" t="str">
            <v>A</v>
          </cell>
          <cell r="M189" t="str">
            <v>A</v>
          </cell>
          <cell r="N189" t="str">
            <v>A</v>
          </cell>
          <cell r="O189" t="str">
            <v>A</v>
          </cell>
          <cell r="P189" t="str">
            <v>C</v>
          </cell>
          <cell r="Q189" t="str">
            <v>B</v>
          </cell>
          <cell r="R189" t="str">
            <v>A</v>
          </cell>
          <cell r="X189">
            <v>56.6</v>
          </cell>
        </row>
        <row r="190">
          <cell r="C190">
            <v>32382975</v>
          </cell>
          <cell r="D190" t="str">
            <v>ТОВ "НІКО АВТОАЛЬЯНС"</v>
          </cell>
          <cell r="E190">
            <v>45720.589599999999</v>
          </cell>
          <cell r="F190">
            <v>45658</v>
          </cell>
          <cell r="G190" t="str">
            <v>E</v>
          </cell>
          <cell r="H190" t="str">
            <v>D</v>
          </cell>
          <cell r="I190" t="str">
            <v>C</v>
          </cell>
          <cell r="J190" t="str">
            <v>C</v>
          </cell>
          <cell r="K190" t="str">
            <v>D</v>
          </cell>
          <cell r="L190" t="str">
            <v>B</v>
          </cell>
          <cell r="M190" t="str">
            <v>A</v>
          </cell>
          <cell r="N190" t="str">
            <v>C</v>
          </cell>
          <cell r="O190" t="str">
            <v>B</v>
          </cell>
          <cell r="P190" t="str">
            <v>C</v>
          </cell>
          <cell r="Q190" t="str">
            <v>B</v>
          </cell>
          <cell r="R190" t="str">
            <v>C</v>
          </cell>
          <cell r="X190">
            <v>29</v>
          </cell>
        </row>
        <row r="191">
          <cell r="C191">
            <v>32461721</v>
          </cell>
          <cell r="D191" t="str">
            <v>ПП "Оліяр"</v>
          </cell>
          <cell r="E191">
            <v>45854.465400000001</v>
          </cell>
          <cell r="F191">
            <v>45748</v>
          </cell>
          <cell r="G191" t="str">
            <v>D</v>
          </cell>
          <cell r="H191" t="str">
            <v>B</v>
          </cell>
          <cell r="I191" t="str">
            <v>B</v>
          </cell>
          <cell r="J191" t="str">
            <v>A</v>
          </cell>
          <cell r="K191" t="str">
            <v>D</v>
          </cell>
          <cell r="L191" t="str">
            <v>A</v>
          </cell>
          <cell r="M191" t="str">
            <v>A</v>
          </cell>
          <cell r="N191" t="str">
            <v>A</v>
          </cell>
          <cell r="O191" t="str">
            <v>A</v>
          </cell>
          <cell r="P191" t="str">
            <v>B</v>
          </cell>
          <cell r="Q191" t="str">
            <v>B</v>
          </cell>
          <cell r="R191" t="str">
            <v>B</v>
          </cell>
          <cell r="X191">
            <v>58.000000000000007</v>
          </cell>
        </row>
        <row r="192">
          <cell r="C192">
            <v>32478033</v>
          </cell>
          <cell r="D192" t="str">
            <v>ПП "ЗАХІДНИЙ БУГ"</v>
          </cell>
          <cell r="E192">
            <v>45945.815999999999</v>
          </cell>
          <cell r="F192">
            <v>45839</v>
          </cell>
          <cell r="G192" t="str">
            <v>D</v>
          </cell>
          <cell r="H192" t="str">
            <v>B</v>
          </cell>
          <cell r="I192" t="str">
            <v>D</v>
          </cell>
          <cell r="J192" t="str">
            <v>C</v>
          </cell>
          <cell r="K192" t="str">
            <v>D</v>
          </cell>
          <cell r="L192" t="str">
            <v>A</v>
          </cell>
          <cell r="M192" t="str">
            <v>B</v>
          </cell>
          <cell r="N192" t="str">
            <v>B</v>
          </cell>
          <cell r="O192" t="str">
            <v>A</v>
          </cell>
          <cell r="P192" t="str">
            <v>B</v>
          </cell>
          <cell r="Q192" t="str">
            <v>B</v>
          </cell>
          <cell r="R192" t="str">
            <v>A</v>
          </cell>
          <cell r="X192">
            <v>50.7</v>
          </cell>
        </row>
        <row r="193">
          <cell r="C193">
            <v>32490244</v>
          </cell>
          <cell r="D193" t="str">
            <v>ТОВ "ЕПІЦЕНТР К"</v>
          </cell>
          <cell r="E193">
            <v>45979.652099999999</v>
          </cell>
          <cell r="F193">
            <v>45658</v>
          </cell>
          <cell r="G193" t="str">
            <v>B</v>
          </cell>
          <cell r="H193" t="str">
            <v>C</v>
          </cell>
          <cell r="I193" t="str">
            <v>B</v>
          </cell>
          <cell r="J193" t="str">
            <v>C</v>
          </cell>
          <cell r="K193" t="str">
            <v>C</v>
          </cell>
          <cell r="L193" t="str">
            <v>A</v>
          </cell>
          <cell r="M193" t="str">
            <v>A</v>
          </cell>
          <cell r="N193" t="str">
            <v>A</v>
          </cell>
          <cell r="O193" t="str">
            <v>A</v>
          </cell>
          <cell r="P193" t="str">
            <v>C</v>
          </cell>
          <cell r="Q193" t="str">
            <v>A</v>
          </cell>
          <cell r="R193" t="str">
            <v>A</v>
          </cell>
          <cell r="X193">
            <v>73.400000000000006</v>
          </cell>
        </row>
        <row r="194">
          <cell r="C194">
            <v>32490637</v>
          </cell>
          <cell r="D194" t="str">
            <v>ТОВ "ДОМЕНІК"</v>
          </cell>
          <cell r="E194">
            <v>45621.708599999998</v>
          </cell>
          <cell r="F194">
            <v>45474</v>
          </cell>
          <cell r="G194" t="str">
            <v>E</v>
          </cell>
          <cell r="H194" t="str">
            <v>A</v>
          </cell>
          <cell r="I194" t="str">
            <v>C</v>
          </cell>
          <cell r="J194" t="str">
            <v>A</v>
          </cell>
          <cell r="K194" t="str">
            <v>D</v>
          </cell>
          <cell r="L194" t="str">
            <v>A</v>
          </cell>
          <cell r="M194" t="str">
            <v>B</v>
          </cell>
          <cell r="N194" t="str">
            <v>B</v>
          </cell>
          <cell r="O194" t="str">
            <v>A</v>
          </cell>
          <cell r="P194" t="str">
            <v>C</v>
          </cell>
          <cell r="Q194" t="str">
            <v>B</v>
          </cell>
          <cell r="R194" t="str">
            <v>A</v>
          </cell>
          <cell r="X194">
            <v>40.9</v>
          </cell>
        </row>
        <row r="195">
          <cell r="C195">
            <v>32508612</v>
          </cell>
          <cell r="D195" t="str">
            <v>ТОВ "БАЛКЕР"</v>
          </cell>
          <cell r="E195">
            <v>45793.567900000002</v>
          </cell>
          <cell r="F195">
            <v>45658</v>
          </cell>
          <cell r="G195" t="str">
            <v>E</v>
          </cell>
          <cell r="H195" t="str">
            <v>B</v>
          </cell>
          <cell r="I195" t="str">
            <v>B</v>
          </cell>
          <cell r="J195" t="str">
            <v>C</v>
          </cell>
          <cell r="K195" t="str">
            <v>C</v>
          </cell>
          <cell r="L195" t="str">
            <v>B</v>
          </cell>
          <cell r="M195" t="str">
            <v>A</v>
          </cell>
          <cell r="N195" t="str">
            <v>B</v>
          </cell>
          <cell r="O195" t="str">
            <v>A</v>
          </cell>
          <cell r="P195" t="str">
            <v>C</v>
          </cell>
          <cell r="Q195" t="str">
            <v>C</v>
          </cell>
          <cell r="R195" t="str">
            <v>C</v>
          </cell>
          <cell r="X195">
            <v>48.7</v>
          </cell>
        </row>
        <row r="196">
          <cell r="C196">
            <v>32568210</v>
          </cell>
          <cell r="D196" t="str">
            <v>ТЗОВ"ВЕЛЕТ АВТО"</v>
          </cell>
          <cell r="E196">
            <v>45705</v>
          </cell>
          <cell r="F196">
            <v>45566</v>
          </cell>
          <cell r="G196" t="str">
            <v>E</v>
          </cell>
          <cell r="H196" t="str">
            <v>B</v>
          </cell>
          <cell r="I196" t="str">
            <v>B</v>
          </cell>
          <cell r="J196" t="str">
            <v>B</v>
          </cell>
          <cell r="K196" t="str">
            <v>D</v>
          </cell>
          <cell r="L196" t="str">
            <v>A</v>
          </cell>
          <cell r="M196" t="str">
            <v>A</v>
          </cell>
          <cell r="N196" t="str">
            <v>B</v>
          </cell>
          <cell r="O196" t="str">
            <v>A</v>
          </cell>
          <cell r="P196" t="str">
            <v>C</v>
          </cell>
          <cell r="Q196" t="str">
            <v>B</v>
          </cell>
          <cell r="R196" t="str">
            <v>A</v>
          </cell>
          <cell r="X196">
            <v>55.7</v>
          </cell>
        </row>
        <row r="197">
          <cell r="C197">
            <v>32572363</v>
          </cell>
          <cell r="D197" t="str">
            <v>ТОВ "Істарома"</v>
          </cell>
          <cell r="E197">
            <v>45827</v>
          </cell>
          <cell r="F197">
            <v>45748</v>
          </cell>
          <cell r="G197" t="str">
            <v>E</v>
          </cell>
          <cell r="H197" t="str">
            <v>C</v>
          </cell>
          <cell r="I197" t="str">
            <v>B</v>
          </cell>
          <cell r="J197" t="str">
            <v>A</v>
          </cell>
          <cell r="K197" t="str">
            <v>D</v>
          </cell>
          <cell r="L197" t="str">
            <v>B</v>
          </cell>
          <cell r="M197" t="str">
            <v>A</v>
          </cell>
          <cell r="N197" t="str">
            <v>B</v>
          </cell>
          <cell r="O197" t="str">
            <v>A</v>
          </cell>
          <cell r="P197" t="str">
            <v>C</v>
          </cell>
          <cell r="Q197" t="str">
            <v>B</v>
          </cell>
          <cell r="R197" t="str">
            <v>A</v>
          </cell>
          <cell r="X197">
            <v>46.499999999999993</v>
          </cell>
        </row>
        <row r="198">
          <cell r="C198">
            <v>32596735</v>
          </cell>
          <cell r="D198" t="str">
            <v>Приватне підприємство "Корпорація Мрій"</v>
          </cell>
          <cell r="E198">
            <v>45604.541799999999</v>
          </cell>
          <cell r="F198">
            <v>45474</v>
          </cell>
          <cell r="G198" t="str">
            <v>E</v>
          </cell>
          <cell r="H198" t="str">
            <v>C</v>
          </cell>
          <cell r="I198" t="str">
            <v>B</v>
          </cell>
          <cell r="J198" t="str">
            <v>B</v>
          </cell>
          <cell r="K198" t="str">
            <v>B</v>
          </cell>
          <cell r="L198" t="str">
            <v>B</v>
          </cell>
          <cell r="M198" t="str">
            <v>A</v>
          </cell>
          <cell r="N198" t="str">
            <v>A</v>
          </cell>
          <cell r="O198" t="str">
            <v>A</v>
          </cell>
          <cell r="P198" t="str">
            <v>B</v>
          </cell>
          <cell r="Q198" t="str">
            <v>B</v>
          </cell>
          <cell r="R198" t="str">
            <v>A</v>
          </cell>
          <cell r="S198"/>
          <cell r="T198"/>
          <cell r="U198"/>
          <cell r="V198"/>
          <cell r="W198"/>
          <cell r="X198">
            <v>58</v>
          </cell>
        </row>
        <row r="199">
          <cell r="C199">
            <v>32631567</v>
          </cell>
          <cell r="D199" t="str">
            <v>ТОВ "ХАВЕСТ-АГРО"</v>
          </cell>
          <cell r="E199">
            <v>45841.654799999997</v>
          </cell>
          <cell r="F199">
            <v>45658</v>
          </cell>
          <cell r="G199" t="str">
            <v>E</v>
          </cell>
          <cell r="H199" t="str">
            <v>B</v>
          </cell>
          <cell r="I199" t="str">
            <v>B</v>
          </cell>
          <cell r="J199" t="str">
            <v>A</v>
          </cell>
          <cell r="K199" t="str">
            <v>D</v>
          </cell>
          <cell r="L199" t="str">
            <v>A</v>
          </cell>
          <cell r="M199" t="str">
            <v>A</v>
          </cell>
          <cell r="N199" t="str">
            <v>B</v>
          </cell>
          <cell r="O199" t="str">
            <v>A</v>
          </cell>
          <cell r="P199" t="str">
            <v>A</v>
          </cell>
          <cell r="Q199" t="str">
            <v>B</v>
          </cell>
          <cell r="R199" t="str">
            <v>B</v>
          </cell>
          <cell r="X199">
            <v>53.5</v>
          </cell>
        </row>
        <row r="200">
          <cell r="C200">
            <v>32655785</v>
          </cell>
          <cell r="D200" t="str">
            <v>ТОВ "ФЛАЙ ІТ"</v>
          </cell>
          <cell r="E200">
            <v>45884.671399999999</v>
          </cell>
          <cell r="F200">
            <v>45658</v>
          </cell>
          <cell r="G200" t="str">
            <v>E</v>
          </cell>
          <cell r="H200" t="str">
            <v>C</v>
          </cell>
          <cell r="I200" t="str">
            <v>A</v>
          </cell>
          <cell r="J200" t="str">
            <v>A</v>
          </cell>
          <cell r="K200" t="str">
            <v>A</v>
          </cell>
          <cell r="L200" t="str">
            <v>A</v>
          </cell>
          <cell r="M200" t="str">
            <v>A</v>
          </cell>
          <cell r="N200" t="str">
            <v>B</v>
          </cell>
          <cell r="O200" t="str">
            <v>A</v>
          </cell>
          <cell r="P200" t="str">
            <v>C</v>
          </cell>
          <cell r="Q200" t="str">
            <v>B</v>
          </cell>
          <cell r="R200" t="str">
            <v>A</v>
          </cell>
          <cell r="X200">
            <v>51.7</v>
          </cell>
        </row>
        <row r="201">
          <cell r="C201">
            <v>32665494</v>
          </cell>
          <cell r="D201" t="str">
            <v>ПрАТ "Західний торгово-промисловий дім"</v>
          </cell>
          <cell r="E201">
            <v>45902.750800000002</v>
          </cell>
          <cell r="F201">
            <v>45658</v>
          </cell>
          <cell r="G201" t="str">
            <v>D</v>
          </cell>
          <cell r="H201" t="str">
            <v>B</v>
          </cell>
          <cell r="I201" t="str">
            <v>B</v>
          </cell>
          <cell r="J201" t="str">
            <v>C</v>
          </cell>
          <cell r="K201" t="str">
            <v>E</v>
          </cell>
          <cell r="L201" t="str">
            <v>B</v>
          </cell>
          <cell r="M201" t="str">
            <v>B</v>
          </cell>
          <cell r="N201" t="str">
            <v>D</v>
          </cell>
          <cell r="O201" t="str">
            <v>B</v>
          </cell>
          <cell r="P201" t="str">
            <v>C</v>
          </cell>
          <cell r="Q201" t="str">
            <v>C</v>
          </cell>
          <cell r="R201" t="str">
            <v>A</v>
          </cell>
          <cell r="X201">
            <v>41.6</v>
          </cell>
        </row>
        <row r="202">
          <cell r="C202">
            <v>32673903</v>
          </cell>
          <cell r="D202" t="str">
            <v>ТОВ "НОВАТОРБУД"</v>
          </cell>
          <cell r="E202">
            <v>45912.559800000003</v>
          </cell>
          <cell r="F202">
            <v>45839</v>
          </cell>
          <cell r="G202" t="str">
            <v>E</v>
          </cell>
          <cell r="H202" t="str">
            <v>A</v>
          </cell>
          <cell r="I202" t="str">
            <v>A</v>
          </cell>
          <cell r="J202" t="str">
            <v>C</v>
          </cell>
          <cell r="K202" t="str">
            <v>D</v>
          </cell>
          <cell r="L202" t="str">
            <v>A</v>
          </cell>
          <cell r="M202" t="str">
            <v>B</v>
          </cell>
          <cell r="N202" t="str">
            <v>B</v>
          </cell>
          <cell r="O202" t="str">
            <v>A</v>
          </cell>
          <cell r="P202" t="str">
            <v>C</v>
          </cell>
          <cell r="Q202" t="str">
            <v>B</v>
          </cell>
          <cell r="R202" t="str">
            <v>A</v>
          </cell>
          <cell r="X202">
            <v>50.1</v>
          </cell>
        </row>
        <row r="203">
          <cell r="C203">
            <v>32693741</v>
          </cell>
          <cell r="D203" t="str">
            <v>ТОВ "МЕТТРАНССЕРВІС"</v>
          </cell>
          <cell r="E203">
            <v>45852.638800000001</v>
          </cell>
          <cell r="F203">
            <v>45748</v>
          </cell>
          <cell r="G203" t="str">
            <v>E</v>
          </cell>
          <cell r="H203" t="str">
            <v>B</v>
          </cell>
          <cell r="I203" t="str">
            <v>B</v>
          </cell>
          <cell r="J203" t="str">
            <v>A</v>
          </cell>
          <cell r="K203" t="str">
            <v>B</v>
          </cell>
          <cell r="L203" t="str">
            <v>A</v>
          </cell>
          <cell r="M203" t="str">
            <v>A</v>
          </cell>
          <cell r="N203" t="str">
            <v>B</v>
          </cell>
          <cell r="O203" t="str">
            <v>A</v>
          </cell>
          <cell r="P203" t="str">
            <v>C</v>
          </cell>
          <cell r="Q203" t="str">
            <v>B</v>
          </cell>
          <cell r="R203" t="str">
            <v>A</v>
          </cell>
          <cell r="X203">
            <v>56.500000000000007</v>
          </cell>
        </row>
        <row r="204">
          <cell r="C204">
            <v>32713212</v>
          </cell>
          <cell r="D204" t="str">
            <v>ДП "ФАРМАТРЕЙД"</v>
          </cell>
          <cell r="E204">
            <v>45849.726699999999</v>
          </cell>
          <cell r="F204">
            <v>45748</v>
          </cell>
          <cell r="G204" t="str">
            <v>E</v>
          </cell>
          <cell r="H204" t="str">
            <v>B</v>
          </cell>
          <cell r="I204" t="str">
            <v>B</v>
          </cell>
          <cell r="J204" t="str">
            <v>D</v>
          </cell>
          <cell r="K204" t="str">
            <v>D</v>
          </cell>
          <cell r="L204" t="str">
            <v>A</v>
          </cell>
          <cell r="M204" t="str">
            <v>A</v>
          </cell>
          <cell r="N204" t="str">
            <v>B</v>
          </cell>
          <cell r="O204" t="str">
            <v>A</v>
          </cell>
          <cell r="P204" t="str">
            <v>C</v>
          </cell>
          <cell r="Q204" t="str">
            <v>B</v>
          </cell>
          <cell r="R204" t="str">
            <v>A</v>
          </cell>
          <cell r="X204">
            <v>60.9</v>
          </cell>
        </row>
        <row r="205">
          <cell r="C205">
            <v>32713406</v>
          </cell>
          <cell r="D205" t="str">
            <v>ТОВ "ПлазмаТек-Транс"</v>
          </cell>
          <cell r="E205">
            <v>45880.755100000002</v>
          </cell>
          <cell r="F205">
            <v>45658</v>
          </cell>
          <cell r="G205" t="str">
            <v>B</v>
          </cell>
          <cell r="H205" t="str">
            <v>B</v>
          </cell>
          <cell r="I205" t="str">
            <v>B</v>
          </cell>
          <cell r="J205" t="str">
            <v>D</v>
          </cell>
          <cell r="K205" t="str">
            <v>D</v>
          </cell>
          <cell r="L205" t="str">
            <v>A</v>
          </cell>
          <cell r="M205" t="str">
            <v>A</v>
          </cell>
          <cell r="N205" t="str">
            <v>C</v>
          </cell>
          <cell r="O205" t="str">
            <v>A</v>
          </cell>
          <cell r="P205" t="str">
            <v>C</v>
          </cell>
          <cell r="Q205" t="str">
            <v>B</v>
          </cell>
          <cell r="R205" t="str">
            <v>B</v>
          </cell>
          <cell r="X205">
            <v>63.800000000000004</v>
          </cell>
        </row>
        <row r="206">
          <cell r="C206">
            <v>32737851</v>
          </cell>
          <cell r="D206" t="str">
            <v>ТОВ "АгроАльянс ЛТД"</v>
          </cell>
          <cell r="E206">
            <v>45736.444600000003</v>
          </cell>
          <cell r="F206">
            <v>45566</v>
          </cell>
          <cell r="G206" t="str">
            <v>D</v>
          </cell>
          <cell r="H206" t="str">
            <v>C</v>
          </cell>
          <cell r="I206" t="str">
            <v>D</v>
          </cell>
          <cell r="J206" t="str">
            <v>D</v>
          </cell>
          <cell r="K206" t="str">
            <v>D</v>
          </cell>
          <cell r="L206" t="str">
            <v>A</v>
          </cell>
          <cell r="M206" t="str">
            <v>C</v>
          </cell>
          <cell r="N206" t="str">
            <v>B</v>
          </cell>
          <cell r="O206" t="str">
            <v>B</v>
          </cell>
          <cell r="P206" t="str">
            <v>C</v>
          </cell>
          <cell r="Q206" t="str">
            <v>C</v>
          </cell>
          <cell r="R206" t="str">
            <v>A</v>
          </cell>
          <cell r="X206">
            <v>43.099999999999987</v>
          </cell>
        </row>
        <row r="207">
          <cell r="C207">
            <v>32750139</v>
          </cell>
          <cell r="D207" t="str">
            <v>КП "МОЄ МІСТО"</v>
          </cell>
          <cell r="E207">
            <v>45743.439599999998</v>
          </cell>
          <cell r="F207">
            <v>45658</v>
          </cell>
          <cell r="G207" t="str">
            <v>E</v>
          </cell>
          <cell r="H207" t="str">
            <v>A</v>
          </cell>
          <cell r="I207" t="str">
            <v>C</v>
          </cell>
          <cell r="J207" t="str">
            <v>A</v>
          </cell>
          <cell r="K207" t="str">
            <v>D</v>
          </cell>
          <cell r="L207" t="str">
            <v>A</v>
          </cell>
          <cell r="M207" t="str">
            <v>A</v>
          </cell>
          <cell r="N207" t="str">
            <v>B</v>
          </cell>
          <cell r="O207" t="str">
            <v>A</v>
          </cell>
          <cell r="P207" t="str">
            <v>C</v>
          </cell>
          <cell r="Q207" t="str">
            <v>B</v>
          </cell>
          <cell r="R207" t="str">
            <v>A</v>
          </cell>
          <cell r="X207">
            <v>47.3</v>
          </cell>
        </row>
        <row r="208">
          <cell r="C208">
            <v>32753674</v>
          </cell>
          <cell r="D208" t="str">
            <v>ТОВ "БК Укрбурсервіс"</v>
          </cell>
          <cell r="E208">
            <v>45880</v>
          </cell>
          <cell r="F208">
            <v>45748</v>
          </cell>
          <cell r="G208" t="str">
            <v>D</v>
          </cell>
          <cell r="H208" t="str">
            <v>B</v>
          </cell>
          <cell r="I208" t="str">
            <v>B</v>
          </cell>
          <cell r="J208" t="str">
            <v>A</v>
          </cell>
          <cell r="K208" t="str">
            <v>D</v>
          </cell>
          <cell r="L208" t="str">
            <v>A</v>
          </cell>
          <cell r="M208" t="str">
            <v>A</v>
          </cell>
          <cell r="N208" t="str">
            <v>B</v>
          </cell>
          <cell r="O208" t="str">
            <v>A</v>
          </cell>
          <cell r="P208" t="str">
            <v>B</v>
          </cell>
          <cell r="Q208" t="str">
            <v>B</v>
          </cell>
          <cell r="R208" t="str">
            <v>A</v>
          </cell>
          <cell r="X208">
            <v>58.300000000000011</v>
          </cell>
        </row>
        <row r="209">
          <cell r="C209">
            <v>32777391</v>
          </cell>
          <cell r="D209" t="str">
            <v>ТОВ " АГРОФІРМА ФОРТУНА "</v>
          </cell>
          <cell r="E209">
            <v>45743.724199999997</v>
          </cell>
          <cell r="F209">
            <v>45658</v>
          </cell>
          <cell r="G209" t="str">
            <v>E</v>
          </cell>
          <cell r="H209" t="str">
            <v>A</v>
          </cell>
          <cell r="I209" t="str">
            <v>B</v>
          </cell>
          <cell r="J209" t="str">
            <v>D</v>
          </cell>
          <cell r="K209" t="str">
            <v>D</v>
          </cell>
          <cell r="L209" t="str">
            <v>B</v>
          </cell>
          <cell r="M209" t="str">
            <v>A</v>
          </cell>
          <cell r="N209" t="str">
            <v>B</v>
          </cell>
          <cell r="O209" t="str">
            <v>A</v>
          </cell>
          <cell r="P209" t="str">
            <v>C</v>
          </cell>
          <cell r="Q209" t="str">
            <v>C</v>
          </cell>
          <cell r="R209" t="str">
            <v>A</v>
          </cell>
          <cell r="X209">
            <v>56.699999999999996</v>
          </cell>
        </row>
        <row r="210">
          <cell r="C210">
            <v>32778966</v>
          </cell>
          <cell r="D210" t="str">
            <v>ТОВ "СУМИБУДІНВЕСТ"ЛТД</v>
          </cell>
          <cell r="E210">
            <v>45686.516199999998</v>
          </cell>
          <cell r="F210">
            <v>45566</v>
          </cell>
          <cell r="G210" t="str">
            <v>E</v>
          </cell>
          <cell r="H210" t="str">
            <v>B</v>
          </cell>
          <cell r="I210" t="str">
            <v>C</v>
          </cell>
          <cell r="J210" t="str">
            <v>A</v>
          </cell>
          <cell r="K210" t="str">
            <v>E</v>
          </cell>
          <cell r="L210" t="str">
            <v>A</v>
          </cell>
          <cell r="M210" t="str">
            <v>A</v>
          </cell>
          <cell r="N210" t="str">
            <v>B</v>
          </cell>
          <cell r="O210" t="str">
            <v>A</v>
          </cell>
          <cell r="P210" t="str">
            <v>C</v>
          </cell>
          <cell r="Q210" t="str">
            <v>C</v>
          </cell>
          <cell r="R210" t="str">
            <v>C</v>
          </cell>
          <cell r="X210">
            <v>35.899999999999991</v>
          </cell>
        </row>
        <row r="211">
          <cell r="C211">
            <v>32799897</v>
          </cell>
          <cell r="D211" t="str">
            <v>ТОВ"КАРАТ ЛТД"</v>
          </cell>
          <cell r="E211">
            <v>45901.486400000002</v>
          </cell>
          <cell r="F211">
            <v>45839</v>
          </cell>
          <cell r="G211" t="str">
            <v>E</v>
          </cell>
          <cell r="H211" t="str">
            <v>B</v>
          </cell>
          <cell r="I211" t="str">
            <v>B</v>
          </cell>
          <cell r="J211" t="str">
            <v>B</v>
          </cell>
          <cell r="K211" t="str">
            <v>C</v>
          </cell>
          <cell r="L211" t="str">
            <v>B</v>
          </cell>
          <cell r="M211" t="str">
            <v>A</v>
          </cell>
          <cell r="N211" t="str">
            <v>B</v>
          </cell>
          <cell r="O211" t="str">
            <v>A</v>
          </cell>
          <cell r="P211" t="str">
            <v>C</v>
          </cell>
          <cell r="Q211" t="str">
            <v>B</v>
          </cell>
          <cell r="R211" t="str">
            <v>A</v>
          </cell>
          <cell r="X211">
            <v>53.7</v>
          </cell>
        </row>
        <row r="212">
          <cell r="C212">
            <v>32800179</v>
          </cell>
          <cell r="D212" t="str">
            <v>ТОВ "АККОРД-ТУР"</v>
          </cell>
          <cell r="E212">
            <v>45965</v>
          </cell>
          <cell r="F212">
            <v>45748</v>
          </cell>
          <cell r="G212" t="str">
            <v>E</v>
          </cell>
          <cell r="H212" t="str">
            <v>B</v>
          </cell>
          <cell r="I212" t="str">
            <v>A</v>
          </cell>
          <cell r="J212" t="str">
            <v>C</v>
          </cell>
          <cell r="K212" t="str">
            <v>B</v>
          </cell>
          <cell r="L212" t="str">
            <v>B</v>
          </cell>
          <cell r="M212" t="str">
            <v>D</v>
          </cell>
          <cell r="N212" t="str">
            <v>B</v>
          </cell>
          <cell r="O212" t="str">
            <v>B</v>
          </cell>
          <cell r="P212" t="str">
            <v>C</v>
          </cell>
          <cell r="Q212" t="str">
            <v>B</v>
          </cell>
          <cell r="R212" t="str">
            <v>A</v>
          </cell>
          <cell r="X212">
            <v>41.3</v>
          </cell>
        </row>
        <row r="213">
          <cell r="C213">
            <v>32828388</v>
          </cell>
          <cell r="D213" t="str">
            <v>ТОВ "Констракшн машинері"</v>
          </cell>
          <cell r="E213">
            <v>45807</v>
          </cell>
          <cell r="F213">
            <v>45748</v>
          </cell>
          <cell r="G213" t="str">
            <v>D</v>
          </cell>
          <cell r="H213" t="str">
            <v>C</v>
          </cell>
          <cell r="I213" t="str">
            <v>B</v>
          </cell>
          <cell r="J213" t="str">
            <v>C</v>
          </cell>
          <cell r="K213" t="str">
            <v>D</v>
          </cell>
          <cell r="L213" t="str">
            <v>A</v>
          </cell>
          <cell r="M213" t="str">
            <v>A</v>
          </cell>
          <cell r="N213" t="str">
            <v>A</v>
          </cell>
          <cell r="O213" t="str">
            <v>A</v>
          </cell>
          <cell r="P213" t="str">
            <v>C</v>
          </cell>
          <cell r="Q213" t="str">
            <v>B</v>
          </cell>
          <cell r="R213" t="str">
            <v>A</v>
          </cell>
          <cell r="X213">
            <v>63.8</v>
          </cell>
        </row>
        <row r="214">
          <cell r="C214">
            <v>32843579</v>
          </cell>
          <cell r="D214" t="str">
            <v>ТОВ "ІНСТИТУТ ТРАНСПОРТНО-ЕНЕРГЕТИЧНИХ СИСТЕМ УКРАЇНИ"</v>
          </cell>
          <cell r="E214">
            <v>45887</v>
          </cell>
          <cell r="F214">
            <v>45839</v>
          </cell>
          <cell r="G214" t="str">
            <v>E</v>
          </cell>
          <cell r="H214" t="str">
            <v>A</v>
          </cell>
          <cell r="I214" t="str">
            <v>B</v>
          </cell>
          <cell r="J214" t="str">
            <v>B</v>
          </cell>
          <cell r="K214" t="str">
            <v>E</v>
          </cell>
          <cell r="L214" t="str">
            <v>B</v>
          </cell>
          <cell r="M214" t="str">
            <v>D</v>
          </cell>
          <cell r="N214" t="str">
            <v>B</v>
          </cell>
          <cell r="O214" t="str">
            <v>A</v>
          </cell>
          <cell r="P214" t="str">
            <v>C</v>
          </cell>
          <cell r="Q214" t="str">
            <v>C</v>
          </cell>
          <cell r="R214" t="str">
            <v>A</v>
          </cell>
          <cell r="X214">
            <v>42.3</v>
          </cell>
        </row>
        <row r="215">
          <cell r="C215">
            <v>32849497</v>
          </cell>
          <cell r="D215" t="str">
            <v>ТОВ "Дистрибуційні мережі"</v>
          </cell>
          <cell r="E215">
            <v>45674.584699999999</v>
          </cell>
          <cell r="F215">
            <v>45566</v>
          </cell>
          <cell r="G215" t="str">
            <v>D</v>
          </cell>
          <cell r="H215" t="str">
            <v>B</v>
          </cell>
          <cell r="I215" t="str">
            <v>B</v>
          </cell>
          <cell r="J215" t="str">
            <v>A</v>
          </cell>
          <cell r="K215" t="str">
            <v>D</v>
          </cell>
          <cell r="L215" t="str">
            <v>B</v>
          </cell>
          <cell r="M215" t="str">
            <v>A</v>
          </cell>
          <cell r="N215" t="str">
            <v>B</v>
          </cell>
          <cell r="O215" t="str">
            <v>B</v>
          </cell>
          <cell r="P215" t="str">
            <v>C</v>
          </cell>
          <cell r="Q215" t="str">
            <v>B</v>
          </cell>
          <cell r="R215" t="str">
            <v>C</v>
          </cell>
          <cell r="X215">
            <v>42.1</v>
          </cell>
        </row>
        <row r="216">
          <cell r="C216">
            <v>32851616</v>
          </cell>
          <cell r="D216" t="str">
            <v>ТОВ "ОНУР КОНСТРУКЦІОН ІНТЕРНЕШНЛ"</v>
          </cell>
          <cell r="E216">
            <v>45954.508699999998</v>
          </cell>
          <cell r="F216">
            <v>45839</v>
          </cell>
          <cell r="G216" t="str">
            <v>C</v>
          </cell>
          <cell r="H216" t="str">
            <v>B</v>
          </cell>
          <cell r="I216" t="str">
            <v>B</v>
          </cell>
          <cell r="J216" t="str">
            <v>B</v>
          </cell>
          <cell r="K216" t="str">
            <v>C</v>
          </cell>
          <cell r="L216" t="str">
            <v>A</v>
          </cell>
          <cell r="M216" t="str">
            <v>A</v>
          </cell>
          <cell r="N216" t="str">
            <v>A</v>
          </cell>
          <cell r="O216" t="str">
            <v>A</v>
          </cell>
          <cell r="P216" t="str">
            <v>D</v>
          </cell>
          <cell r="Q216" t="str">
            <v>B</v>
          </cell>
          <cell r="R216" t="str">
            <v>B</v>
          </cell>
          <cell r="X216">
            <v>60.400000000000006</v>
          </cell>
        </row>
        <row r="217">
          <cell r="C217">
            <v>32855584</v>
          </cell>
          <cell r="D217" t="str">
            <v>ТОВ "Інтерагроінвест"</v>
          </cell>
          <cell r="E217">
            <v>45979.652099999999</v>
          </cell>
          <cell r="F217">
            <v>45658</v>
          </cell>
          <cell r="G217" t="str">
            <v>B</v>
          </cell>
          <cell r="H217" t="str">
            <v>C</v>
          </cell>
          <cell r="I217" t="str">
            <v>B</v>
          </cell>
          <cell r="J217" t="str">
            <v>C</v>
          </cell>
          <cell r="K217" t="str">
            <v>C</v>
          </cell>
          <cell r="L217" t="str">
            <v>A</v>
          </cell>
          <cell r="M217" t="str">
            <v>A</v>
          </cell>
          <cell r="N217" t="str">
            <v>A</v>
          </cell>
          <cell r="O217" t="str">
            <v>A</v>
          </cell>
          <cell r="P217" t="str">
            <v>C</v>
          </cell>
          <cell r="Q217" t="str">
            <v>A</v>
          </cell>
          <cell r="R217" t="str">
            <v>A</v>
          </cell>
          <cell r="X217">
            <v>73.400000000000006</v>
          </cell>
        </row>
        <row r="218">
          <cell r="C218">
            <v>32860442</v>
          </cell>
          <cell r="D218" t="str">
            <v>ПП "Галактика"</v>
          </cell>
          <cell r="E218">
            <v>45695.536200000002</v>
          </cell>
          <cell r="F218">
            <v>45566</v>
          </cell>
          <cell r="G218" t="str">
            <v>E</v>
          </cell>
          <cell r="H218" t="str">
            <v>B</v>
          </cell>
          <cell r="I218" t="str">
            <v>B</v>
          </cell>
          <cell r="J218" t="str">
            <v>C</v>
          </cell>
          <cell r="K218" t="str">
            <v>A</v>
          </cell>
          <cell r="L218" t="str">
            <v>A</v>
          </cell>
          <cell r="M218" t="str">
            <v>A</v>
          </cell>
          <cell r="N218" t="str">
            <v>B</v>
          </cell>
          <cell r="O218" t="str">
            <v>A</v>
          </cell>
          <cell r="P218" t="str">
            <v>C</v>
          </cell>
          <cell r="Q218" t="str">
            <v>B</v>
          </cell>
          <cell r="R218" t="str">
            <v>A</v>
          </cell>
          <cell r="X218">
            <v>63.300000000000004</v>
          </cell>
        </row>
        <row r="219">
          <cell r="C219">
            <v>32893090</v>
          </cell>
          <cell r="D219" t="str">
            <v>ТОВ "ТОРГОВИЙ ДІМ "ЛІНКС"</v>
          </cell>
          <cell r="E219">
            <v>45898</v>
          </cell>
          <cell r="F219">
            <v>45839</v>
          </cell>
          <cell r="G219" t="str">
            <v>E</v>
          </cell>
          <cell r="H219" t="str">
            <v>C</v>
          </cell>
          <cell r="I219" t="str">
            <v>A</v>
          </cell>
          <cell r="J219" t="str">
            <v>B</v>
          </cell>
          <cell r="K219" t="str">
            <v>D</v>
          </cell>
          <cell r="L219" t="str">
            <v>A</v>
          </cell>
          <cell r="M219" t="str">
            <v>A</v>
          </cell>
          <cell r="N219" t="str">
            <v>A</v>
          </cell>
          <cell r="O219" t="str">
            <v>A</v>
          </cell>
          <cell r="P219" t="str">
            <v>C</v>
          </cell>
          <cell r="Q219" t="str">
            <v>B</v>
          </cell>
          <cell r="R219" t="str">
            <v>C</v>
          </cell>
          <cell r="X219">
            <v>47</v>
          </cell>
        </row>
        <row r="220">
          <cell r="C220">
            <v>32895449</v>
          </cell>
          <cell r="D220" t="str">
            <v>ТОВ "ЗОЛОТА НИВА"</v>
          </cell>
          <cell r="E220">
            <v>45965.373500000002</v>
          </cell>
          <cell r="F220">
            <v>45839</v>
          </cell>
          <cell r="G220" t="str">
            <v>D</v>
          </cell>
          <cell r="H220" t="str">
            <v>B</v>
          </cell>
          <cell r="I220" t="str">
            <v>B</v>
          </cell>
          <cell r="J220" t="str">
            <v>B</v>
          </cell>
          <cell r="K220" t="str">
            <v>C</v>
          </cell>
          <cell r="L220" t="str">
            <v>B</v>
          </cell>
          <cell r="M220" t="str">
            <v>A</v>
          </cell>
          <cell r="N220" t="str">
            <v>A</v>
          </cell>
          <cell r="O220" t="str">
            <v>A</v>
          </cell>
          <cell r="P220" t="str">
            <v>C</v>
          </cell>
          <cell r="Q220" t="str">
            <v>C</v>
          </cell>
          <cell r="R220" t="str">
            <v>A</v>
          </cell>
          <cell r="X220">
            <v>58.8</v>
          </cell>
        </row>
        <row r="221">
          <cell r="C221">
            <v>32910943</v>
          </cell>
          <cell r="D221" t="str">
            <v>ТОВ "ТОРГОВИЙ ДІМ "РОЗМА"</v>
          </cell>
          <cell r="E221">
            <v>45630.7209</v>
          </cell>
          <cell r="F221">
            <v>45566</v>
          </cell>
          <cell r="G221" t="str">
            <v>E</v>
          </cell>
          <cell r="H221" t="str">
            <v>C</v>
          </cell>
          <cell r="I221" t="str">
            <v>B</v>
          </cell>
          <cell r="J221" t="str">
            <v>C</v>
          </cell>
          <cell r="K221" t="str">
            <v>D</v>
          </cell>
          <cell r="L221" t="str">
            <v>B</v>
          </cell>
          <cell r="M221" t="str">
            <v>B</v>
          </cell>
          <cell r="N221" t="str">
            <v>B</v>
          </cell>
          <cell r="O221" t="str">
            <v>A</v>
          </cell>
          <cell r="P221" t="str">
            <v>C</v>
          </cell>
          <cell r="Q221" t="str">
            <v>C</v>
          </cell>
          <cell r="R221" t="str">
            <v>B</v>
          </cell>
          <cell r="X221">
            <v>40.29999999999999</v>
          </cell>
        </row>
        <row r="222">
          <cell r="C222">
            <v>32918146</v>
          </cell>
          <cell r="D222" t="str">
            <v>ТОВ "Н-ТРАНС"</v>
          </cell>
          <cell r="E222">
            <v>45720.589599999999</v>
          </cell>
          <cell r="F222">
            <v>45658</v>
          </cell>
          <cell r="G222" t="str">
            <v>E</v>
          </cell>
          <cell r="H222" t="str">
            <v>D</v>
          </cell>
          <cell r="I222" t="str">
            <v>C</v>
          </cell>
          <cell r="J222" t="str">
            <v>C</v>
          </cell>
          <cell r="K222" t="str">
            <v>D</v>
          </cell>
          <cell r="L222" t="str">
            <v>B</v>
          </cell>
          <cell r="M222" t="str">
            <v>A</v>
          </cell>
          <cell r="N222" t="str">
            <v>C</v>
          </cell>
          <cell r="O222" t="str">
            <v>B</v>
          </cell>
          <cell r="P222" t="str">
            <v>C</v>
          </cell>
          <cell r="Q222" t="str">
            <v>B</v>
          </cell>
          <cell r="R222" t="str">
            <v>C</v>
          </cell>
          <cell r="X222">
            <v>29</v>
          </cell>
        </row>
        <row r="223">
          <cell r="C223">
            <v>32961558</v>
          </cell>
          <cell r="D223" t="str">
            <v>ТОВ "ВЕКТОР-С"</v>
          </cell>
          <cell r="E223">
            <v>45785.457399999999</v>
          </cell>
          <cell r="F223">
            <v>45658</v>
          </cell>
          <cell r="G223" t="str">
            <v>E</v>
          </cell>
          <cell r="H223" t="str">
            <v>A</v>
          </cell>
          <cell r="I223" t="str">
            <v>D</v>
          </cell>
          <cell r="J223" t="str">
            <v>A</v>
          </cell>
          <cell r="K223" t="str">
            <v>B</v>
          </cell>
          <cell r="L223" t="str">
            <v>A</v>
          </cell>
          <cell r="M223" t="str">
            <v>A</v>
          </cell>
          <cell r="N223" t="str">
            <v>B</v>
          </cell>
          <cell r="O223" t="str">
            <v>A</v>
          </cell>
          <cell r="P223" t="str">
            <v>B</v>
          </cell>
          <cell r="Q223" t="str">
            <v>B</v>
          </cell>
          <cell r="R223" t="str">
            <v>C</v>
          </cell>
          <cell r="X223">
            <v>47.900000000000006</v>
          </cell>
        </row>
        <row r="224">
          <cell r="C224">
            <v>32998661</v>
          </cell>
          <cell r="D224" t="str">
            <v>ТОВ "МАЛБІ ФУДС"</v>
          </cell>
          <cell r="E224">
            <v>45895.411399999997</v>
          </cell>
          <cell r="F224">
            <v>45748</v>
          </cell>
          <cell r="G224" t="str">
            <v>B</v>
          </cell>
          <cell r="H224" t="str">
            <v>A</v>
          </cell>
          <cell r="I224" t="str">
            <v>B</v>
          </cell>
          <cell r="J224" t="str">
            <v>D</v>
          </cell>
          <cell r="K224" t="str">
            <v>D</v>
          </cell>
          <cell r="L224" t="str">
            <v>B</v>
          </cell>
          <cell r="M224" t="str">
            <v>A</v>
          </cell>
          <cell r="N224" t="str">
            <v>B</v>
          </cell>
          <cell r="O224" t="str">
            <v>A</v>
          </cell>
          <cell r="P224" t="str">
            <v>C</v>
          </cell>
          <cell r="Q224" t="str">
            <v>C</v>
          </cell>
          <cell r="R224" t="str">
            <v>C</v>
          </cell>
          <cell r="X224">
            <v>58.7</v>
          </cell>
        </row>
        <row r="225">
          <cell r="C225">
            <v>33003862</v>
          </cell>
          <cell r="D225" t="str">
            <v>СТОВ "А.Ф. ЗЛАГОДА"</v>
          </cell>
          <cell r="E225">
            <v>45960.984400000001</v>
          </cell>
          <cell r="F225">
            <v>45658</v>
          </cell>
          <cell r="G225" t="str">
            <v>D</v>
          </cell>
          <cell r="H225" t="str">
            <v>B</v>
          </cell>
          <cell r="I225" t="str">
            <v>B</v>
          </cell>
          <cell r="J225" t="str">
            <v>A</v>
          </cell>
          <cell r="K225" t="str">
            <v>C</v>
          </cell>
          <cell r="L225" t="str">
            <v>A</v>
          </cell>
          <cell r="M225" t="str">
            <v>A</v>
          </cell>
          <cell r="N225" t="str">
            <v>A</v>
          </cell>
          <cell r="O225" t="str">
            <v>A</v>
          </cell>
          <cell r="P225" t="str">
            <v>C</v>
          </cell>
          <cell r="Q225" t="str">
            <v>B</v>
          </cell>
          <cell r="R225" t="str">
            <v>A</v>
          </cell>
          <cell r="X225">
            <v>62.6</v>
          </cell>
        </row>
        <row r="226">
          <cell r="C226">
            <v>33007579</v>
          </cell>
          <cell r="D226" t="str">
            <v>ПП "Аграрна компанія 2004"</v>
          </cell>
          <cell r="E226">
            <v>45944</v>
          </cell>
          <cell r="F226">
            <v>45658</v>
          </cell>
          <cell r="G226" t="str">
            <v>D</v>
          </cell>
          <cell r="H226" t="str">
            <v>B</v>
          </cell>
          <cell r="I226" t="str">
            <v>C</v>
          </cell>
          <cell r="J226" t="str">
            <v>C</v>
          </cell>
          <cell r="K226" t="str">
            <v>D</v>
          </cell>
          <cell r="L226" t="str">
            <v>A</v>
          </cell>
          <cell r="M226" t="str">
            <v>A</v>
          </cell>
          <cell r="N226" t="str">
            <v>B</v>
          </cell>
          <cell r="O226" t="str">
            <v>B</v>
          </cell>
          <cell r="P226" t="str">
            <v>C</v>
          </cell>
          <cell r="Q226" t="str">
            <v>B</v>
          </cell>
          <cell r="R226" t="str">
            <v>A</v>
          </cell>
          <cell r="X226">
            <v>50.5</v>
          </cell>
        </row>
        <row r="227">
          <cell r="C227">
            <v>33010822</v>
          </cell>
          <cell r="D227" t="str">
            <v>ТОВ "ОМЕГА"</v>
          </cell>
          <cell r="E227">
            <v>45849.703000000001</v>
          </cell>
          <cell r="F227">
            <v>45748</v>
          </cell>
          <cell r="G227" t="str">
            <v>C</v>
          </cell>
          <cell r="H227" t="str">
            <v>C</v>
          </cell>
          <cell r="I227" t="str">
            <v>B</v>
          </cell>
          <cell r="J227" t="str">
            <v>D</v>
          </cell>
          <cell r="K227" t="str">
            <v>C</v>
          </cell>
          <cell r="L227" t="str">
            <v>A</v>
          </cell>
          <cell r="M227" t="str">
            <v>A</v>
          </cell>
          <cell r="N227" t="str">
            <v>A</v>
          </cell>
          <cell r="O227" t="str">
            <v>A</v>
          </cell>
          <cell r="P227" t="str">
            <v>C</v>
          </cell>
          <cell r="Q227" t="str">
            <v>B</v>
          </cell>
          <cell r="R227" t="str">
            <v>B</v>
          </cell>
          <cell r="X227">
            <v>65.8</v>
          </cell>
        </row>
        <row r="228">
          <cell r="C228">
            <v>33104260</v>
          </cell>
          <cell r="D228" t="str">
            <v>ТОВ "КОМПРЕССОРС ІНТЕРНЕШНЛ"</v>
          </cell>
          <cell r="E228">
            <v>45800.665300000001</v>
          </cell>
          <cell r="F228">
            <v>45748</v>
          </cell>
          <cell r="G228" t="str">
            <v>E</v>
          </cell>
          <cell r="H228" t="str">
            <v>C</v>
          </cell>
          <cell r="I228" t="str">
            <v>B</v>
          </cell>
          <cell r="J228" t="str">
            <v>C</v>
          </cell>
          <cell r="K228" t="str">
            <v>D</v>
          </cell>
          <cell r="L228" t="str">
            <v>A</v>
          </cell>
          <cell r="M228" t="str">
            <v>A</v>
          </cell>
          <cell r="N228" t="str">
            <v>A</v>
          </cell>
          <cell r="O228" t="str">
            <v>A</v>
          </cell>
          <cell r="P228" t="str">
            <v>C</v>
          </cell>
          <cell r="Q228" t="str">
            <v>B</v>
          </cell>
          <cell r="R228" t="str">
            <v>A</v>
          </cell>
          <cell r="X228">
            <v>60.199999999999996</v>
          </cell>
        </row>
        <row r="229">
          <cell r="C229">
            <v>33109845</v>
          </cell>
          <cell r="D229" t="str">
            <v>ТОВ "Дон-Термінал"</v>
          </cell>
          <cell r="E229">
            <v>45583.702400000002</v>
          </cell>
          <cell r="F229">
            <v>45474</v>
          </cell>
          <cell r="G229" t="str">
            <v>D</v>
          </cell>
          <cell r="H229" t="str">
            <v>B</v>
          </cell>
          <cell r="I229" t="str">
            <v>A</v>
          </cell>
          <cell r="J229" t="str">
            <v>B</v>
          </cell>
          <cell r="K229" t="str">
            <v>D</v>
          </cell>
          <cell r="L229" t="str">
            <v>A</v>
          </cell>
          <cell r="M229" t="str">
            <v>A</v>
          </cell>
          <cell r="N229" t="str">
            <v>B</v>
          </cell>
          <cell r="O229" t="str">
            <v>A</v>
          </cell>
          <cell r="P229" t="str">
            <v>C</v>
          </cell>
          <cell r="Q229" t="str">
            <v>B</v>
          </cell>
          <cell r="R229" t="str">
            <v>A</v>
          </cell>
          <cell r="X229">
            <v>54.9</v>
          </cell>
        </row>
        <row r="230">
          <cell r="C230">
            <v>33166730</v>
          </cell>
          <cell r="D230" t="str">
            <v>ТОВ "ДАВИДІВСЬКИЙ ДАР"</v>
          </cell>
          <cell r="E230">
            <v>45693.443700000003</v>
          </cell>
          <cell r="F230">
            <v>45474</v>
          </cell>
          <cell r="G230" t="str">
            <v>E</v>
          </cell>
          <cell r="H230" t="str">
            <v>B</v>
          </cell>
          <cell r="I230" t="str">
            <v>C</v>
          </cell>
          <cell r="J230" t="str">
            <v>C</v>
          </cell>
          <cell r="K230" t="str">
            <v>D</v>
          </cell>
          <cell r="L230" t="str">
            <v>A</v>
          </cell>
          <cell r="M230" t="str">
            <v>A</v>
          </cell>
          <cell r="N230" t="str">
            <v>B</v>
          </cell>
          <cell r="O230" t="str">
            <v>A</v>
          </cell>
          <cell r="P230" t="str">
            <v>B</v>
          </cell>
          <cell r="Q230" t="str">
            <v>B</v>
          </cell>
          <cell r="R230" t="str">
            <v>C</v>
          </cell>
          <cell r="X230">
            <v>46.300000000000004</v>
          </cell>
        </row>
        <row r="231">
          <cell r="C231">
            <v>33168743</v>
          </cell>
          <cell r="D231" t="str">
            <v>ТОВ ПзІІ "ЕДПОЛ"</v>
          </cell>
          <cell r="E231">
            <v>45679.428999999996</v>
          </cell>
          <cell r="F231">
            <v>45566</v>
          </cell>
          <cell r="G231" t="str">
            <v>D</v>
          </cell>
          <cell r="H231" t="str">
            <v>C</v>
          </cell>
          <cell r="I231" t="str">
            <v>D</v>
          </cell>
          <cell r="J231" t="str">
            <v>B</v>
          </cell>
          <cell r="K231" t="str">
            <v>D</v>
          </cell>
          <cell r="L231" t="str">
            <v>B</v>
          </cell>
          <cell r="M231" t="str">
            <v>B</v>
          </cell>
          <cell r="N231" t="str">
            <v>C</v>
          </cell>
          <cell r="O231" t="str">
            <v>A</v>
          </cell>
          <cell r="P231" t="str">
            <v>B</v>
          </cell>
          <cell r="Q231" t="str">
            <v>B</v>
          </cell>
          <cell r="R231" t="str">
            <v>A</v>
          </cell>
          <cell r="X231">
            <v>40</v>
          </cell>
        </row>
        <row r="232">
          <cell r="C232">
            <v>33221885</v>
          </cell>
          <cell r="D232" t="str">
            <v>ТОВ "ТПО "АРІСТА"</v>
          </cell>
          <cell r="E232">
            <v>45631.766799999998</v>
          </cell>
          <cell r="F232">
            <v>45566</v>
          </cell>
          <cell r="G232" t="str">
            <v>E</v>
          </cell>
          <cell r="H232" t="str">
            <v>B</v>
          </cell>
          <cell r="I232" t="str">
            <v>A</v>
          </cell>
          <cell r="J232" t="str">
            <v>D</v>
          </cell>
          <cell r="K232" t="str">
            <v>D</v>
          </cell>
          <cell r="L232" t="str">
            <v>A</v>
          </cell>
          <cell r="M232" t="str">
            <v>A</v>
          </cell>
          <cell r="N232" t="str">
            <v>A</v>
          </cell>
          <cell r="O232" t="str">
            <v>A</v>
          </cell>
          <cell r="P232" t="str">
            <v>A</v>
          </cell>
          <cell r="Q232" t="str">
            <v>B</v>
          </cell>
          <cell r="R232" t="str">
            <v>A</v>
          </cell>
          <cell r="X232">
            <v>64</v>
          </cell>
        </row>
        <row r="233">
          <cell r="C233">
            <v>33305729</v>
          </cell>
          <cell r="D233" t="str">
            <v>ТОВ "КИЙТРАНС-2005"</v>
          </cell>
          <cell r="E233">
            <v>45761</v>
          </cell>
          <cell r="F233">
            <v>45658</v>
          </cell>
          <cell r="G233" t="str">
            <v>E</v>
          </cell>
          <cell r="H233" t="str">
            <v>B</v>
          </cell>
          <cell r="I233" t="str">
            <v>B</v>
          </cell>
          <cell r="J233" t="str">
            <v>A</v>
          </cell>
          <cell r="K233" t="str">
            <v>D</v>
          </cell>
          <cell r="L233" t="str">
            <v>A</v>
          </cell>
          <cell r="M233" t="str">
            <v>A</v>
          </cell>
          <cell r="N233" t="str">
            <v>B</v>
          </cell>
          <cell r="O233" t="str">
            <v>A</v>
          </cell>
          <cell r="P233" t="str">
            <v>C</v>
          </cell>
          <cell r="Q233" t="str">
            <v>B</v>
          </cell>
          <cell r="R233" t="str">
            <v>A</v>
          </cell>
          <cell r="X233">
            <v>52.9</v>
          </cell>
        </row>
        <row r="234">
          <cell r="C234">
            <v>33309435</v>
          </cell>
          <cell r="D234" t="str">
            <v>ТОВ "УПК "КРОК"</v>
          </cell>
          <cell r="E234">
            <v>45764.434699999998</v>
          </cell>
          <cell r="F234">
            <v>45658</v>
          </cell>
          <cell r="G234" t="str">
            <v>E</v>
          </cell>
          <cell r="H234" t="str">
            <v>B</v>
          </cell>
          <cell r="I234" t="str">
            <v>B</v>
          </cell>
          <cell r="J234" t="str">
            <v>A</v>
          </cell>
          <cell r="K234" t="str">
            <v>B</v>
          </cell>
          <cell r="L234" t="str">
            <v>A</v>
          </cell>
          <cell r="M234" t="str">
            <v>A</v>
          </cell>
          <cell r="N234" t="str">
            <v>A</v>
          </cell>
          <cell r="O234" t="str">
            <v>A</v>
          </cell>
          <cell r="P234" t="str">
            <v>C</v>
          </cell>
          <cell r="Q234" t="str">
            <v>A</v>
          </cell>
          <cell r="R234" t="str">
            <v>A</v>
          </cell>
          <cell r="X234">
            <v>62.2</v>
          </cell>
        </row>
        <row r="235">
          <cell r="C235">
            <v>33330969</v>
          </cell>
          <cell r="D235" t="str">
            <v>ТОВ "ОПИТНИЙ ЗАВОД М"</v>
          </cell>
          <cell r="E235">
            <v>45910.518100000001</v>
          </cell>
          <cell r="F235">
            <v>45839</v>
          </cell>
          <cell r="G235" t="str">
            <v>E</v>
          </cell>
          <cell r="H235" t="str">
            <v>B</v>
          </cell>
          <cell r="I235" t="str">
            <v>B</v>
          </cell>
          <cell r="J235" t="str">
            <v>A</v>
          </cell>
          <cell r="K235" t="str">
            <v>D</v>
          </cell>
          <cell r="L235" t="str">
            <v>B</v>
          </cell>
          <cell r="M235" t="str">
            <v>A</v>
          </cell>
          <cell r="N235" t="str">
            <v>C</v>
          </cell>
          <cell r="O235" t="str">
            <v>A</v>
          </cell>
          <cell r="P235" t="str">
            <v>C</v>
          </cell>
          <cell r="Q235" t="str">
            <v>C</v>
          </cell>
          <cell r="R235" t="str">
            <v>A</v>
          </cell>
          <cell r="X235">
            <v>44.8</v>
          </cell>
        </row>
        <row r="236">
          <cell r="C236">
            <v>33360528</v>
          </cell>
          <cell r="D236" t="str">
            <v>ТОВ "НЕОФІТА 2025"</v>
          </cell>
          <cell r="E236">
            <v>45952.5959</v>
          </cell>
          <cell r="F236">
            <v>45658</v>
          </cell>
          <cell r="G236" t="str">
            <v>E</v>
          </cell>
          <cell r="H236" t="str">
            <v>B</v>
          </cell>
          <cell r="I236" t="str">
            <v>B</v>
          </cell>
          <cell r="J236" t="str">
            <v>A</v>
          </cell>
          <cell r="K236" t="str">
            <v>D</v>
          </cell>
          <cell r="L236" t="str">
            <v>A</v>
          </cell>
          <cell r="M236" t="str">
            <v>A</v>
          </cell>
          <cell r="N236" t="str">
            <v>B</v>
          </cell>
          <cell r="O236" t="str">
            <v>A</v>
          </cell>
          <cell r="P236" t="str">
            <v>C</v>
          </cell>
          <cell r="Q236" t="str">
            <v>B</v>
          </cell>
          <cell r="R236" t="str">
            <v>A</v>
          </cell>
          <cell r="X236">
            <v>52.9</v>
          </cell>
        </row>
        <row r="237">
          <cell r="C237">
            <v>33382468</v>
          </cell>
          <cell r="D237" t="str">
            <v>ТОВ "ЄСТ ЦЕНТР"</v>
          </cell>
          <cell r="E237">
            <v>45657.3266</v>
          </cell>
          <cell r="F237">
            <v>45566</v>
          </cell>
          <cell r="G237" t="str">
            <v>E</v>
          </cell>
          <cell r="H237" t="str">
            <v>B</v>
          </cell>
          <cell r="I237" t="str">
            <v>B</v>
          </cell>
          <cell r="J237" t="str">
            <v>A</v>
          </cell>
          <cell r="K237" t="str">
            <v>D</v>
          </cell>
          <cell r="L237" t="str">
            <v>A</v>
          </cell>
          <cell r="M237" t="str">
            <v>A</v>
          </cell>
          <cell r="N237" t="str">
            <v>B</v>
          </cell>
          <cell r="O237" t="str">
            <v>A</v>
          </cell>
          <cell r="P237" t="str">
            <v>C</v>
          </cell>
          <cell r="Q237" t="str">
            <v>B</v>
          </cell>
          <cell r="R237" t="str">
            <v>A</v>
          </cell>
          <cell r="X237">
            <v>52.9</v>
          </cell>
        </row>
        <row r="238">
          <cell r="C238">
            <v>33394612</v>
          </cell>
          <cell r="D238" t="str">
            <v>ТОВ "БЕРДИЧІВСЬКИЙ ХЛІБОЗАВОД"</v>
          </cell>
          <cell r="E238">
            <v>45587.894399999997</v>
          </cell>
          <cell r="F238">
            <v>45474</v>
          </cell>
          <cell r="G238" t="str">
            <v>D</v>
          </cell>
          <cell r="H238" t="str">
            <v>B</v>
          </cell>
          <cell r="I238" t="str">
            <v>C</v>
          </cell>
          <cell r="J238" t="str">
            <v>C</v>
          </cell>
          <cell r="K238" t="str">
            <v>D</v>
          </cell>
          <cell r="L238" t="str">
            <v>B</v>
          </cell>
          <cell r="M238" t="str">
            <v>A</v>
          </cell>
          <cell r="N238" t="str">
            <v>B</v>
          </cell>
          <cell r="O238" t="str">
            <v>A</v>
          </cell>
          <cell r="P238" t="str">
            <v>C</v>
          </cell>
          <cell r="Q238" t="str">
            <v>B</v>
          </cell>
          <cell r="R238" t="str">
            <v>B</v>
          </cell>
          <cell r="X238">
            <v>45.699999999999996</v>
          </cell>
        </row>
        <row r="239">
          <cell r="C239">
            <v>33403571</v>
          </cell>
          <cell r="D239" t="str">
            <v>ТОВ "Рибальство та експедиції"</v>
          </cell>
          <cell r="E239">
            <v>45785.457399999999</v>
          </cell>
          <cell r="F239">
            <v>45658</v>
          </cell>
          <cell r="G239" t="str">
            <v>E</v>
          </cell>
          <cell r="H239" t="str">
            <v>A</v>
          </cell>
          <cell r="I239" t="str">
            <v>D</v>
          </cell>
          <cell r="J239" t="str">
            <v>A</v>
          </cell>
          <cell r="K239" t="str">
            <v>B</v>
          </cell>
          <cell r="L239" t="str">
            <v>A</v>
          </cell>
          <cell r="M239" t="str">
            <v>A</v>
          </cell>
          <cell r="N239" t="str">
            <v>B</v>
          </cell>
          <cell r="O239" t="str">
            <v>A</v>
          </cell>
          <cell r="P239" t="str">
            <v>B</v>
          </cell>
          <cell r="Q239" t="str">
            <v>B</v>
          </cell>
          <cell r="R239" t="str">
            <v>C</v>
          </cell>
          <cell r="X239">
            <v>47.900000000000006</v>
          </cell>
        </row>
        <row r="240">
          <cell r="C240">
            <v>33423315</v>
          </cell>
          <cell r="D240" t="str">
            <v>ТОВ "АГРОДАР-УКРАЇНА ПЛЮС"</v>
          </cell>
          <cell r="E240">
            <v>45779.435700000002</v>
          </cell>
          <cell r="F240">
            <v>45658</v>
          </cell>
          <cell r="G240" t="str">
            <v>E</v>
          </cell>
          <cell r="H240" t="str">
            <v>B</v>
          </cell>
          <cell r="I240" t="str">
            <v>A</v>
          </cell>
          <cell r="J240" t="str">
            <v>B</v>
          </cell>
          <cell r="K240" t="str">
            <v>D</v>
          </cell>
          <cell r="L240" t="str">
            <v>A</v>
          </cell>
          <cell r="M240" t="str">
            <v>C</v>
          </cell>
          <cell r="N240" t="str">
            <v>B</v>
          </cell>
          <cell r="O240" t="str">
            <v>A</v>
          </cell>
          <cell r="P240" t="str">
            <v>B</v>
          </cell>
          <cell r="Q240" t="str">
            <v>B</v>
          </cell>
          <cell r="R240" t="str">
            <v>A</v>
          </cell>
          <cell r="X240">
            <v>45.5</v>
          </cell>
        </row>
        <row r="241">
          <cell r="C241">
            <v>33509465</v>
          </cell>
          <cell r="D241" t="str">
            <v>ТОВ "ТЕКОМ-ЛІЗИНГ"</v>
          </cell>
          <cell r="E241">
            <v>45762.6371</v>
          </cell>
          <cell r="F241">
            <v>45658</v>
          </cell>
          <cell r="G241" t="str">
            <v>E</v>
          </cell>
          <cell r="H241" t="str">
            <v>B</v>
          </cell>
          <cell r="I241" t="str">
            <v>A</v>
          </cell>
          <cell r="J241" t="str">
            <v>C</v>
          </cell>
          <cell r="K241" t="str">
            <v>C</v>
          </cell>
          <cell r="L241" t="str">
            <v>A</v>
          </cell>
          <cell r="M241" t="str">
            <v>B</v>
          </cell>
          <cell r="N241" t="str">
            <v>B</v>
          </cell>
          <cell r="O241" t="str">
            <v>A</v>
          </cell>
          <cell r="P241" t="str">
            <v>C</v>
          </cell>
          <cell r="Q241" t="str">
            <v>A</v>
          </cell>
          <cell r="R241" t="str">
            <v>A</v>
          </cell>
          <cell r="X241">
            <v>52.9</v>
          </cell>
        </row>
        <row r="242">
          <cell r="C242">
            <v>33623350</v>
          </cell>
          <cell r="D242" t="str">
            <v>ТОВ "СХК "ВІННИЦЬКА ПРОМИСЛОВА ГРУПА"</v>
          </cell>
          <cell r="E242">
            <v>45979.652099999999</v>
          </cell>
          <cell r="F242">
            <v>45658</v>
          </cell>
          <cell r="G242" t="str">
            <v>B</v>
          </cell>
          <cell r="H242" t="str">
            <v>C</v>
          </cell>
          <cell r="I242" t="str">
            <v>B</v>
          </cell>
          <cell r="J242" t="str">
            <v>C</v>
          </cell>
          <cell r="K242" t="str">
            <v>C</v>
          </cell>
          <cell r="L242" t="str">
            <v>A</v>
          </cell>
          <cell r="M242" t="str">
            <v>A</v>
          </cell>
          <cell r="N242" t="str">
            <v>A</v>
          </cell>
          <cell r="O242" t="str">
            <v>A</v>
          </cell>
          <cell r="P242" t="str">
            <v>C</v>
          </cell>
          <cell r="Q242" t="str">
            <v>A</v>
          </cell>
          <cell r="R242" t="str">
            <v>A</v>
          </cell>
          <cell r="X242">
            <v>73.400000000000006</v>
          </cell>
        </row>
        <row r="243">
          <cell r="C243">
            <v>33647916</v>
          </cell>
          <cell r="D243" t="str">
            <v>СБОК"ЗОРЯНЕ"</v>
          </cell>
          <cell r="E243">
            <v>45589.606399999997</v>
          </cell>
          <cell r="F243">
            <v>45474</v>
          </cell>
          <cell r="G243" t="str">
            <v>E</v>
          </cell>
          <cell r="H243" t="str">
            <v>A</v>
          </cell>
          <cell r="I243" t="str">
            <v>B</v>
          </cell>
          <cell r="J243" t="str">
            <v>D</v>
          </cell>
          <cell r="K243" t="str">
            <v>D</v>
          </cell>
          <cell r="L243" t="str">
            <v>B</v>
          </cell>
          <cell r="M243" t="str">
            <v>B</v>
          </cell>
          <cell r="N243" t="str">
            <v>A</v>
          </cell>
          <cell r="O243" t="str">
            <v>A</v>
          </cell>
          <cell r="P243" t="str">
            <v>C</v>
          </cell>
          <cell r="Q243" t="str">
            <v>B</v>
          </cell>
          <cell r="R243" t="str">
            <v>B</v>
          </cell>
          <cell r="X243">
            <v>51.8</v>
          </cell>
        </row>
        <row r="244">
          <cell r="C244">
            <v>33690081</v>
          </cell>
          <cell r="D244" t="str">
            <v>ПП "ЛОВЕКС-К"</v>
          </cell>
          <cell r="E244">
            <v>45814.009400000003</v>
          </cell>
          <cell r="F244">
            <v>45748</v>
          </cell>
          <cell r="G244" t="str">
            <v>E</v>
          </cell>
          <cell r="H244" t="str">
            <v>B</v>
          </cell>
          <cell r="I244" t="str">
            <v>A</v>
          </cell>
          <cell r="J244" t="str">
            <v>C</v>
          </cell>
          <cell r="K244" t="str">
            <v>B</v>
          </cell>
          <cell r="L244" t="str">
            <v>A</v>
          </cell>
          <cell r="M244" t="str">
            <v>A</v>
          </cell>
          <cell r="N244" t="str">
            <v>B</v>
          </cell>
          <cell r="O244" t="str">
            <v>A</v>
          </cell>
          <cell r="P244" t="str">
            <v>C</v>
          </cell>
          <cell r="Q244" t="str">
            <v>B</v>
          </cell>
          <cell r="R244" t="str">
            <v>A</v>
          </cell>
          <cell r="X244">
            <v>57.7</v>
          </cell>
        </row>
        <row r="245">
          <cell r="C245">
            <v>33718185</v>
          </cell>
          <cell r="D245" t="str">
            <v>ТОВ "НВФ ДНІПРОПРОЕКТ"</v>
          </cell>
          <cell r="E245">
            <v>45681</v>
          </cell>
          <cell r="F245">
            <v>45566</v>
          </cell>
          <cell r="G245" t="str">
            <v>E</v>
          </cell>
          <cell r="H245" t="str">
            <v>A</v>
          </cell>
          <cell r="I245" t="str">
            <v>B</v>
          </cell>
          <cell r="J245" t="str">
            <v>B</v>
          </cell>
          <cell r="K245" t="str">
            <v>D</v>
          </cell>
          <cell r="L245" t="str">
            <v>A</v>
          </cell>
          <cell r="M245" t="str">
            <v>A</v>
          </cell>
          <cell r="N245" t="str">
            <v>B</v>
          </cell>
          <cell r="O245" t="str">
            <v>A</v>
          </cell>
          <cell r="P245" t="str">
            <v>C</v>
          </cell>
          <cell r="Q245" t="str">
            <v>B</v>
          </cell>
          <cell r="R245" t="str">
            <v>A</v>
          </cell>
          <cell r="X245">
            <v>58.1</v>
          </cell>
        </row>
        <row r="246">
          <cell r="C246">
            <v>33742637</v>
          </cell>
          <cell r="D246" t="str">
            <v>ТОВ "ПК "ПОЖМАШИНА"</v>
          </cell>
          <cell r="E246">
            <v>45825</v>
          </cell>
          <cell r="F246">
            <v>45658</v>
          </cell>
          <cell r="G246" t="str">
            <v>B</v>
          </cell>
          <cell r="H246" t="str">
            <v>B</v>
          </cell>
          <cell r="I246" t="str">
            <v>B</v>
          </cell>
          <cell r="J246" t="str">
            <v>C</v>
          </cell>
          <cell r="K246" t="str">
            <v>D</v>
          </cell>
          <cell r="L246" t="str">
            <v>A</v>
          </cell>
          <cell r="M246" t="str">
            <v>C</v>
          </cell>
          <cell r="N246" t="str">
            <v>A</v>
          </cell>
          <cell r="O246" t="str">
            <v>A</v>
          </cell>
          <cell r="P246" t="str">
            <v>C</v>
          </cell>
          <cell r="Q246" t="str">
            <v>B</v>
          </cell>
          <cell r="R246" t="str">
            <v>A</v>
          </cell>
          <cell r="X246">
            <v>62.2</v>
          </cell>
        </row>
        <row r="247">
          <cell r="C247">
            <v>33775568</v>
          </cell>
          <cell r="D247" t="str">
            <v>ТОВ  "ТЕХНОКАП УА"</v>
          </cell>
          <cell r="E247">
            <v>45623.654399999999</v>
          </cell>
          <cell r="F247">
            <v>45566</v>
          </cell>
          <cell r="G247" t="str">
            <v>E</v>
          </cell>
          <cell r="H247" t="str">
            <v>B</v>
          </cell>
          <cell r="I247" t="str">
            <v>B</v>
          </cell>
          <cell r="J247" t="str">
            <v>B</v>
          </cell>
          <cell r="K247" t="str">
            <v>D</v>
          </cell>
          <cell r="L247" t="str">
            <v>A</v>
          </cell>
          <cell r="M247" t="str">
            <v>A</v>
          </cell>
          <cell r="N247" t="str">
            <v>A</v>
          </cell>
          <cell r="O247" t="str">
            <v>A</v>
          </cell>
          <cell r="P247" t="str">
            <v>C</v>
          </cell>
          <cell r="Q247" t="str">
            <v>B</v>
          </cell>
          <cell r="R247" t="str">
            <v>B</v>
          </cell>
          <cell r="X247">
            <v>55.4</v>
          </cell>
        </row>
        <row r="248">
          <cell r="C248">
            <v>33852673</v>
          </cell>
          <cell r="D248" t="str">
            <v>ТЗОВ "ФАВОРИТ-АГРО"</v>
          </cell>
          <cell r="E248">
            <v>45733</v>
          </cell>
          <cell r="F248">
            <v>45658</v>
          </cell>
          <cell r="G248" t="str">
            <v>E</v>
          </cell>
          <cell r="H248" t="str">
            <v>A</v>
          </cell>
          <cell r="I248" t="str">
            <v>B</v>
          </cell>
          <cell r="J248" t="str">
            <v>B</v>
          </cell>
          <cell r="K248" t="str">
            <v>D</v>
          </cell>
          <cell r="L248" t="str">
            <v>A</v>
          </cell>
          <cell r="M248" t="str">
            <v>A</v>
          </cell>
          <cell r="N248" t="str">
            <v>A</v>
          </cell>
          <cell r="O248" t="str">
            <v>A</v>
          </cell>
          <cell r="P248" t="str">
            <v>C</v>
          </cell>
          <cell r="Q248" t="str">
            <v>B</v>
          </cell>
          <cell r="R248" t="str">
            <v>A</v>
          </cell>
          <cell r="X248">
            <v>61.4</v>
          </cell>
        </row>
        <row r="249">
          <cell r="C249">
            <v>33880538</v>
          </cell>
          <cell r="D249" t="str">
            <v>ТОВ "ДЕ-ЛЮКС"</v>
          </cell>
          <cell r="E249">
            <v>45826.77</v>
          </cell>
          <cell r="F249">
            <v>45658</v>
          </cell>
          <cell r="G249" t="str">
            <v>D</v>
          </cell>
          <cell r="H249" t="str">
            <v>B</v>
          </cell>
          <cell r="I249" t="str">
            <v>B</v>
          </cell>
          <cell r="J249" t="str">
            <v>B</v>
          </cell>
          <cell r="K249" t="str">
            <v>B</v>
          </cell>
          <cell r="L249" t="str">
            <v>B</v>
          </cell>
          <cell r="M249" t="str">
            <v>A</v>
          </cell>
          <cell r="N249" t="str">
            <v>B</v>
          </cell>
          <cell r="O249" t="str">
            <v>A</v>
          </cell>
          <cell r="P249" t="str">
            <v>C</v>
          </cell>
          <cell r="Q249" t="str">
            <v>C</v>
          </cell>
          <cell r="R249" t="str">
            <v>C</v>
          </cell>
          <cell r="X249">
            <v>50.3</v>
          </cell>
        </row>
        <row r="250">
          <cell r="C250">
            <v>33892784</v>
          </cell>
          <cell r="D250" t="str">
            <v>ТОВ "ФАБРИКА БУДІВЕЛЬНИХ СУМІШЕЙ "БУДМАЙСТЕР"</v>
          </cell>
          <cell r="E250">
            <v>45948.830699999999</v>
          </cell>
          <cell r="F250">
            <v>45658</v>
          </cell>
          <cell r="G250" t="str">
            <v>E</v>
          </cell>
          <cell r="H250" t="str">
            <v>B</v>
          </cell>
          <cell r="I250" t="str">
            <v>B</v>
          </cell>
          <cell r="J250" t="str">
            <v>A</v>
          </cell>
          <cell r="K250" t="str">
            <v>D</v>
          </cell>
          <cell r="L250" t="str">
            <v>B</v>
          </cell>
          <cell r="M250" t="str">
            <v>B</v>
          </cell>
          <cell r="N250" t="str">
            <v>B</v>
          </cell>
          <cell r="O250" t="str">
            <v>A</v>
          </cell>
          <cell r="P250" t="str">
            <v>C</v>
          </cell>
          <cell r="Q250" t="str">
            <v>B</v>
          </cell>
          <cell r="R250" t="str">
            <v>A</v>
          </cell>
          <cell r="X250">
            <v>41.7</v>
          </cell>
        </row>
        <row r="251">
          <cell r="C251">
            <v>33894650</v>
          </cell>
          <cell r="D251" t="str">
            <v>ТОВ "ЛІНКС ЛАБОРАТОРІЇ"</v>
          </cell>
          <cell r="E251">
            <v>45898</v>
          </cell>
          <cell r="F251">
            <v>45839</v>
          </cell>
          <cell r="G251" t="str">
            <v>E</v>
          </cell>
          <cell r="H251" t="str">
            <v>C</v>
          </cell>
          <cell r="I251" t="str">
            <v>A</v>
          </cell>
          <cell r="J251" t="str">
            <v>B</v>
          </cell>
          <cell r="K251" t="str">
            <v>D</v>
          </cell>
          <cell r="L251" t="str">
            <v>A</v>
          </cell>
          <cell r="M251" t="str">
            <v>A</v>
          </cell>
          <cell r="N251" t="str">
            <v>A</v>
          </cell>
          <cell r="O251" t="str">
            <v>A</v>
          </cell>
          <cell r="P251" t="str">
            <v>C</v>
          </cell>
          <cell r="Q251" t="str">
            <v>B</v>
          </cell>
          <cell r="R251" t="str">
            <v>C</v>
          </cell>
          <cell r="X251">
            <v>47</v>
          </cell>
        </row>
        <row r="252">
          <cell r="C252">
            <v>33897028</v>
          </cell>
          <cell r="D252" t="str">
            <v>ТОВ "Тек-Транс"</v>
          </cell>
          <cell r="E252">
            <v>45861.418100000003</v>
          </cell>
          <cell r="F252">
            <v>45748</v>
          </cell>
          <cell r="G252" t="str">
            <v>E</v>
          </cell>
          <cell r="H252" t="str">
            <v>B</v>
          </cell>
          <cell r="I252" t="str">
            <v>B</v>
          </cell>
          <cell r="J252" t="str">
            <v>C</v>
          </cell>
          <cell r="K252" t="str">
            <v>D</v>
          </cell>
          <cell r="L252" t="str">
            <v>A</v>
          </cell>
          <cell r="M252" t="str">
            <v>A</v>
          </cell>
          <cell r="N252" t="str">
            <v>B</v>
          </cell>
          <cell r="O252" t="str">
            <v>B</v>
          </cell>
          <cell r="P252" t="str">
            <v>C</v>
          </cell>
          <cell r="Q252" t="str">
            <v>B</v>
          </cell>
          <cell r="R252" t="str">
            <v>C</v>
          </cell>
          <cell r="X252">
            <v>48.900000000000006</v>
          </cell>
        </row>
        <row r="253">
          <cell r="C253">
            <v>33981905</v>
          </cell>
          <cell r="D253" t="str">
            <v>ТОВ "Видавництво Старого Лева"</v>
          </cell>
          <cell r="E253">
            <v>45834.4179</v>
          </cell>
          <cell r="F253">
            <v>45748</v>
          </cell>
          <cell r="G253" t="str">
            <v>D</v>
          </cell>
          <cell r="H253" t="str">
            <v>B</v>
          </cell>
          <cell r="I253" t="str">
            <v>C</v>
          </cell>
          <cell r="J253" t="str">
            <v>A</v>
          </cell>
          <cell r="K253" t="str">
            <v>C</v>
          </cell>
          <cell r="L253" t="str">
            <v>A</v>
          </cell>
          <cell r="M253" t="str">
            <v>A</v>
          </cell>
          <cell r="N253" t="str">
            <v>A</v>
          </cell>
          <cell r="O253" t="str">
            <v>A</v>
          </cell>
          <cell r="P253" t="str">
            <v>C</v>
          </cell>
          <cell r="Q253" t="str">
            <v>B</v>
          </cell>
          <cell r="R253" t="str">
            <v>A</v>
          </cell>
          <cell r="X253">
            <v>54.6</v>
          </cell>
        </row>
        <row r="254">
          <cell r="C254">
            <v>33992917</v>
          </cell>
          <cell r="D254" t="str">
            <v>ТОВ"ТЕРВІКНОПЛАСТ"</v>
          </cell>
          <cell r="E254">
            <v>45645.4303</v>
          </cell>
          <cell r="F254">
            <v>45566</v>
          </cell>
          <cell r="G254" t="str">
            <v>D</v>
          </cell>
          <cell r="H254" t="str">
            <v>B</v>
          </cell>
          <cell r="I254" t="str">
            <v>B</v>
          </cell>
          <cell r="J254" t="str">
            <v>C</v>
          </cell>
          <cell r="K254" t="str">
            <v>E</v>
          </cell>
          <cell r="L254" t="str">
            <v>A</v>
          </cell>
          <cell r="M254" t="str">
            <v>A</v>
          </cell>
          <cell r="N254" t="str">
            <v>A</v>
          </cell>
          <cell r="O254" t="str">
            <v>A</v>
          </cell>
          <cell r="P254" t="str">
            <v>C</v>
          </cell>
          <cell r="Q254" t="str">
            <v>B</v>
          </cell>
          <cell r="R254" t="str">
            <v>A</v>
          </cell>
          <cell r="X254">
            <v>64.2</v>
          </cell>
        </row>
        <row r="255">
          <cell r="C255">
            <v>34048360</v>
          </cell>
          <cell r="D255" t="str">
            <v>ТОВ "ФАРМАСТОР"</v>
          </cell>
          <cell r="E255">
            <v>45674.788399999998</v>
          </cell>
          <cell r="F255">
            <v>45566</v>
          </cell>
          <cell r="G255" t="str">
            <v>B</v>
          </cell>
          <cell r="H255" t="str">
            <v>A</v>
          </cell>
          <cell r="I255" t="str">
            <v>B</v>
          </cell>
          <cell r="J255" t="str">
            <v>B</v>
          </cell>
          <cell r="K255" t="str">
            <v>C</v>
          </cell>
          <cell r="L255" t="str">
            <v>A</v>
          </cell>
          <cell r="M255" t="str">
            <v>A</v>
          </cell>
          <cell r="N255" t="str">
            <v>A</v>
          </cell>
          <cell r="O255" t="str">
            <v>B</v>
          </cell>
          <cell r="P255" t="str">
            <v>C</v>
          </cell>
          <cell r="Q255" t="str">
            <v>B</v>
          </cell>
          <cell r="R255" t="str">
            <v>B</v>
          </cell>
          <cell r="X255">
            <v>65</v>
          </cell>
        </row>
        <row r="256">
          <cell r="C256">
            <v>34063587</v>
          </cell>
          <cell r="D256" t="str">
            <v>ТОВ "АГРО КМР"</v>
          </cell>
          <cell r="E256">
            <v>45665.607799999998</v>
          </cell>
          <cell r="F256">
            <v>45566</v>
          </cell>
          <cell r="G256" t="str">
            <v>E</v>
          </cell>
          <cell r="H256" t="str">
            <v>B</v>
          </cell>
          <cell r="I256" t="str">
            <v>B</v>
          </cell>
          <cell r="J256" t="str">
            <v>B</v>
          </cell>
          <cell r="K256" t="str">
            <v>D</v>
          </cell>
          <cell r="L256" t="str">
            <v>A</v>
          </cell>
          <cell r="M256" t="str">
            <v>B</v>
          </cell>
          <cell r="N256" t="str">
            <v>B</v>
          </cell>
          <cell r="O256" t="str">
            <v>A</v>
          </cell>
          <cell r="P256" t="str">
            <v>C</v>
          </cell>
          <cell r="Q256" t="str">
            <v>B</v>
          </cell>
          <cell r="R256" t="str">
            <v>A</v>
          </cell>
          <cell r="X256">
            <v>49.300000000000004</v>
          </cell>
        </row>
        <row r="257">
          <cell r="C257">
            <v>34124403</v>
          </cell>
          <cell r="D257" t="str">
            <v>ТОВ "НІКОПРОГРЕСБУД"</v>
          </cell>
          <cell r="E257">
            <v>45655.584999999999</v>
          </cell>
          <cell r="F257">
            <v>45474</v>
          </cell>
          <cell r="G257" t="str">
            <v>E</v>
          </cell>
          <cell r="H257" t="str">
            <v>B</v>
          </cell>
          <cell r="I257" t="str">
            <v>B</v>
          </cell>
          <cell r="J257" t="str">
            <v>B</v>
          </cell>
          <cell r="K257" t="str">
            <v>D</v>
          </cell>
          <cell r="L257" t="str">
            <v>B</v>
          </cell>
          <cell r="M257" t="str">
            <v>E</v>
          </cell>
          <cell r="N257" t="str">
            <v>C</v>
          </cell>
          <cell r="O257" t="str">
            <v>A</v>
          </cell>
          <cell r="P257" t="str">
            <v>C</v>
          </cell>
          <cell r="Q257" t="str">
            <v>D</v>
          </cell>
          <cell r="R257" t="str">
            <v>C</v>
          </cell>
          <cell r="X257">
            <v>31.8</v>
          </cell>
        </row>
        <row r="258">
          <cell r="C258">
            <v>34201058</v>
          </cell>
          <cell r="D258" t="str">
            <v>ТОВ "НИВА-Н"</v>
          </cell>
          <cell r="E258">
            <v>45736.444600000003</v>
          </cell>
          <cell r="F258">
            <v>45566</v>
          </cell>
          <cell r="G258" t="str">
            <v>D</v>
          </cell>
          <cell r="H258" t="str">
            <v>C</v>
          </cell>
          <cell r="I258" t="str">
            <v>D</v>
          </cell>
          <cell r="J258" t="str">
            <v>D</v>
          </cell>
          <cell r="K258" t="str">
            <v>D</v>
          </cell>
          <cell r="L258" t="str">
            <v>A</v>
          </cell>
          <cell r="M258" t="str">
            <v>C</v>
          </cell>
          <cell r="N258" t="str">
            <v>B</v>
          </cell>
          <cell r="O258" t="str">
            <v>B</v>
          </cell>
          <cell r="P258" t="str">
            <v>C</v>
          </cell>
          <cell r="Q258" t="str">
            <v>C</v>
          </cell>
          <cell r="R258" t="str">
            <v>A</v>
          </cell>
          <cell r="X258">
            <v>43.099999999999987</v>
          </cell>
        </row>
        <row r="259">
          <cell r="C259">
            <v>34264631</v>
          </cell>
          <cell r="D259" t="str">
            <v>ТОВ "РАЙЗ ПІВНІЧ"</v>
          </cell>
          <cell r="E259">
            <v>45902.750800000002</v>
          </cell>
          <cell r="F259">
            <v>45658</v>
          </cell>
          <cell r="G259" t="str">
            <v>D</v>
          </cell>
          <cell r="H259" t="str">
            <v>B</v>
          </cell>
          <cell r="I259" t="str">
            <v>B</v>
          </cell>
          <cell r="J259" t="str">
            <v>C</v>
          </cell>
          <cell r="K259" t="str">
            <v>E</v>
          </cell>
          <cell r="L259" t="str">
            <v>B</v>
          </cell>
          <cell r="M259" t="str">
            <v>B</v>
          </cell>
          <cell r="N259" t="str">
            <v>D</v>
          </cell>
          <cell r="O259" t="str">
            <v>B</v>
          </cell>
          <cell r="P259" t="str">
            <v>C</v>
          </cell>
          <cell r="Q259" t="str">
            <v>C</v>
          </cell>
          <cell r="R259" t="str">
            <v>A</v>
          </cell>
          <cell r="X259">
            <v>41.6</v>
          </cell>
        </row>
        <row r="260">
          <cell r="C260">
            <v>34288102</v>
          </cell>
          <cell r="D260" t="str">
            <v>ТОВ "ЄВРОБЕТОН"</v>
          </cell>
          <cell r="E260">
            <v>45573.7</v>
          </cell>
          <cell r="F260">
            <v>45474</v>
          </cell>
          <cell r="G260" t="str">
            <v>E</v>
          </cell>
          <cell r="H260" t="str">
            <v>B</v>
          </cell>
          <cell r="I260" t="str">
            <v>B</v>
          </cell>
          <cell r="J260" t="str">
            <v>C</v>
          </cell>
          <cell r="K260" t="str">
            <v>D</v>
          </cell>
          <cell r="L260" t="str">
            <v>B</v>
          </cell>
          <cell r="M260" t="str">
            <v>A</v>
          </cell>
          <cell r="N260" t="str">
            <v>C</v>
          </cell>
          <cell r="O260" t="str">
            <v>A</v>
          </cell>
          <cell r="P260" t="str">
            <v>C</v>
          </cell>
          <cell r="Q260" t="str">
            <v>B</v>
          </cell>
          <cell r="R260" t="str">
            <v>B</v>
          </cell>
          <cell r="X260">
            <v>48.6</v>
          </cell>
        </row>
        <row r="261">
          <cell r="C261">
            <v>34350636</v>
          </cell>
          <cell r="D261" t="str">
            <v>ТОВ "ВАРТІС"</v>
          </cell>
          <cell r="E261">
            <v>45845.4764</v>
          </cell>
          <cell r="F261">
            <v>45748</v>
          </cell>
          <cell r="G261" t="str">
            <v>C</v>
          </cell>
          <cell r="H261" t="str">
            <v>C</v>
          </cell>
          <cell r="I261" t="str">
            <v>A</v>
          </cell>
          <cell r="J261" t="str">
            <v>C</v>
          </cell>
          <cell r="K261" t="str">
            <v>E</v>
          </cell>
          <cell r="L261" t="str">
            <v>B</v>
          </cell>
          <cell r="M261" t="str">
            <v>A</v>
          </cell>
          <cell r="N261" t="str">
            <v>B</v>
          </cell>
          <cell r="O261" t="str">
            <v>A</v>
          </cell>
          <cell r="P261" t="str">
            <v>C</v>
          </cell>
          <cell r="Q261" t="str">
            <v>B</v>
          </cell>
          <cell r="R261" t="str">
            <v>C</v>
          </cell>
          <cell r="X261">
            <v>44.5</v>
          </cell>
        </row>
        <row r="262">
          <cell r="C262">
            <v>34365050</v>
          </cell>
          <cell r="D262" t="str">
            <v>ТОВ "НВО "АВІААГРЕГАТ"</v>
          </cell>
          <cell r="E262">
            <v>45798.522900000004</v>
          </cell>
          <cell r="F262">
            <v>45658</v>
          </cell>
          <cell r="G262" t="str">
            <v>E</v>
          </cell>
          <cell r="H262" t="str">
            <v>B</v>
          </cell>
          <cell r="I262" t="str">
            <v>B</v>
          </cell>
          <cell r="J262" t="str">
            <v>C</v>
          </cell>
          <cell r="K262" t="str">
            <v>A</v>
          </cell>
          <cell r="L262" t="str">
            <v>B</v>
          </cell>
          <cell r="M262" t="str">
            <v>C</v>
          </cell>
          <cell r="N262" t="str">
            <v>B</v>
          </cell>
          <cell r="O262" t="str">
            <v>A</v>
          </cell>
          <cell r="P262" t="str">
            <v>C</v>
          </cell>
          <cell r="Q262" t="str">
            <v>C</v>
          </cell>
          <cell r="R262" t="str">
            <v>B</v>
          </cell>
          <cell r="X262">
            <v>45.499999999999993</v>
          </cell>
        </row>
        <row r="263">
          <cell r="C263">
            <v>34392042</v>
          </cell>
          <cell r="D263" t="str">
            <v>ТОВ "ОВІС ТРЕЙД"</v>
          </cell>
          <cell r="E263">
            <v>45833.661099999998</v>
          </cell>
          <cell r="F263">
            <v>45748</v>
          </cell>
          <cell r="G263" t="str">
            <v>E</v>
          </cell>
          <cell r="H263" t="str">
            <v>B</v>
          </cell>
          <cell r="I263" t="str">
            <v>A</v>
          </cell>
          <cell r="J263" t="str">
            <v>C</v>
          </cell>
          <cell r="K263" t="str">
            <v>A</v>
          </cell>
          <cell r="L263" t="str">
            <v>B</v>
          </cell>
          <cell r="M263" t="str">
            <v>B</v>
          </cell>
          <cell r="N263" t="str">
            <v>B</v>
          </cell>
          <cell r="O263" t="str">
            <v>B</v>
          </cell>
          <cell r="P263" t="str">
            <v>C</v>
          </cell>
          <cell r="Q263" t="str">
            <v>B</v>
          </cell>
          <cell r="R263" t="str">
            <v>B</v>
          </cell>
          <cell r="X263">
            <v>40.5</v>
          </cell>
        </row>
        <row r="264">
          <cell r="C264">
            <v>34412482</v>
          </cell>
          <cell r="D264" t="str">
            <v>ПП "ТАД"</v>
          </cell>
          <cell r="E264">
            <v>45896.405500000001</v>
          </cell>
          <cell r="F264">
            <v>45839</v>
          </cell>
          <cell r="G264" t="str">
            <v>D</v>
          </cell>
          <cell r="H264" t="str">
            <v>C</v>
          </cell>
          <cell r="I264" t="str">
            <v>D</v>
          </cell>
          <cell r="J264" t="str">
            <v>A</v>
          </cell>
          <cell r="K264" t="str">
            <v>B</v>
          </cell>
          <cell r="L264" t="str">
            <v>A</v>
          </cell>
          <cell r="M264" t="str">
            <v>A</v>
          </cell>
          <cell r="N264" t="str">
            <v>A</v>
          </cell>
          <cell r="O264" t="str">
            <v>A</v>
          </cell>
          <cell r="P264" t="str">
            <v>A</v>
          </cell>
          <cell r="Q264" t="str">
            <v>B</v>
          </cell>
          <cell r="R264" t="str">
            <v>B</v>
          </cell>
          <cell r="X264">
            <v>55.599999999999994</v>
          </cell>
        </row>
        <row r="265">
          <cell r="C265">
            <v>34507118</v>
          </cell>
          <cell r="D265" t="str">
            <v>ТОВ "ТАТРА-ЮГ"</v>
          </cell>
          <cell r="E265">
            <v>45990.688699999999</v>
          </cell>
          <cell r="F265">
            <v>45931</v>
          </cell>
          <cell r="G265" t="str">
            <v>C</v>
          </cell>
          <cell r="H265" t="str">
            <v>C</v>
          </cell>
          <cell r="I265" t="str">
            <v>B</v>
          </cell>
          <cell r="J265" t="str">
            <v>A</v>
          </cell>
          <cell r="K265" t="str">
            <v>D</v>
          </cell>
          <cell r="L265" t="str">
            <v>A</v>
          </cell>
          <cell r="M265" t="str">
            <v>A</v>
          </cell>
          <cell r="N265" t="str">
            <v>A</v>
          </cell>
          <cell r="O265" t="str">
            <v>A</v>
          </cell>
          <cell r="P265" t="str">
            <v>B</v>
          </cell>
          <cell r="Q265" t="str">
            <v>B</v>
          </cell>
          <cell r="R265" t="str">
            <v>A</v>
          </cell>
          <cell r="X265">
            <v>60.400000000000006</v>
          </cell>
        </row>
        <row r="266">
          <cell r="C266">
            <v>34511978</v>
          </cell>
          <cell r="D266" t="str">
            <v>ТОВ "АК АРТ-БУД"</v>
          </cell>
          <cell r="E266">
            <v>45854.425300000003</v>
          </cell>
          <cell r="F266">
            <v>45748</v>
          </cell>
          <cell r="G266" t="str">
            <v>E</v>
          </cell>
          <cell r="H266" t="str">
            <v>B</v>
          </cell>
          <cell r="I266" t="str">
            <v>A</v>
          </cell>
          <cell r="J266" t="str">
            <v>D</v>
          </cell>
          <cell r="K266" t="str">
            <v>D</v>
          </cell>
          <cell r="L266" t="str">
            <v>A</v>
          </cell>
          <cell r="M266" t="str">
            <v>A</v>
          </cell>
          <cell r="N266" t="str">
            <v>B</v>
          </cell>
          <cell r="O266" t="str">
            <v>A</v>
          </cell>
          <cell r="P266" t="str">
            <v>C</v>
          </cell>
          <cell r="Q266" t="str">
            <v>B</v>
          </cell>
          <cell r="R266" t="str">
            <v>B</v>
          </cell>
          <cell r="X266">
            <v>52.900000000000006</v>
          </cell>
        </row>
        <row r="267">
          <cell r="C267">
            <v>34550446</v>
          </cell>
          <cell r="D267" t="str">
            <v>ДП "ІЛЛІЧ-АГРО ДОНБАС"</v>
          </cell>
          <cell r="E267">
            <v>45972</v>
          </cell>
          <cell r="F267">
            <v>45839</v>
          </cell>
          <cell r="G267" t="str">
            <v>E</v>
          </cell>
          <cell r="H267" t="str">
            <v>D</v>
          </cell>
          <cell r="I267" t="str">
            <v>B</v>
          </cell>
          <cell r="J267" t="str">
            <v>D</v>
          </cell>
          <cell r="K267" t="str">
            <v>C</v>
          </cell>
          <cell r="L267" t="str">
            <v>A</v>
          </cell>
          <cell r="M267" t="str">
            <v>C</v>
          </cell>
          <cell r="N267" t="str">
            <v>A</v>
          </cell>
          <cell r="O267" t="str">
            <v>A</v>
          </cell>
          <cell r="P267" t="str">
            <v>C</v>
          </cell>
          <cell r="Q267" t="str">
            <v>B</v>
          </cell>
          <cell r="R267" t="str">
            <v>C</v>
          </cell>
          <cell r="X267">
            <v>47.8</v>
          </cell>
        </row>
        <row r="268">
          <cell r="C268">
            <v>34558382</v>
          </cell>
          <cell r="D268" t="str">
            <v>ТОВ "ТОРГОВИЙ ДІМ ТЕХКОМПЛЕКТ"</v>
          </cell>
          <cell r="E268">
            <v>45804</v>
          </cell>
          <cell r="F268">
            <v>45658</v>
          </cell>
          <cell r="G268" t="str">
            <v>D</v>
          </cell>
          <cell r="H268" t="str">
            <v>B</v>
          </cell>
          <cell r="I268" t="str">
            <v>B</v>
          </cell>
          <cell r="J268" t="str">
            <v>A</v>
          </cell>
          <cell r="K268" t="str">
            <v>B</v>
          </cell>
          <cell r="L268" t="str">
            <v>A</v>
          </cell>
          <cell r="M268" t="str">
            <v>A</v>
          </cell>
          <cell r="N268" t="str">
            <v>B</v>
          </cell>
          <cell r="O268" t="str">
            <v>A</v>
          </cell>
          <cell r="P268" t="str">
            <v>B</v>
          </cell>
          <cell r="Q268" t="str">
            <v>B</v>
          </cell>
          <cell r="R268" t="str">
            <v>B</v>
          </cell>
          <cell r="X268">
            <v>58.300000000000004</v>
          </cell>
        </row>
        <row r="269">
          <cell r="C269">
            <v>34625668</v>
          </cell>
          <cell r="D269" t="str">
            <v>ТОВ "ДОМІНІК 777"</v>
          </cell>
          <cell r="E269">
            <v>45938.906499999997</v>
          </cell>
          <cell r="F269">
            <v>45748</v>
          </cell>
          <cell r="G269" t="str">
            <v>C</v>
          </cell>
          <cell r="H269" t="str">
            <v>B</v>
          </cell>
          <cell r="I269" t="str">
            <v>B</v>
          </cell>
          <cell r="J269" t="str">
            <v>D</v>
          </cell>
          <cell r="K269" t="str">
            <v>B</v>
          </cell>
          <cell r="L269" t="str">
            <v>B</v>
          </cell>
          <cell r="M269" t="str">
            <v>B</v>
          </cell>
          <cell r="N269" t="str">
            <v>A</v>
          </cell>
          <cell r="O269" t="str">
            <v>A</v>
          </cell>
          <cell r="P269" t="str">
            <v>C</v>
          </cell>
          <cell r="Q269" t="str">
            <v>B</v>
          </cell>
          <cell r="R269" t="str">
            <v>B</v>
          </cell>
          <cell r="X269">
            <v>57</v>
          </cell>
        </row>
        <row r="270">
          <cell r="C270">
            <v>34644874</v>
          </cell>
          <cell r="D270" t="str">
            <v>ТОВ "НАВІГАТОР КОМПЛЕКТ"</v>
          </cell>
          <cell r="E270">
            <v>45917</v>
          </cell>
          <cell r="F270">
            <v>45839</v>
          </cell>
          <cell r="G270" t="str">
            <v>E</v>
          </cell>
          <cell r="H270" t="str">
            <v>B</v>
          </cell>
          <cell r="I270" t="str">
            <v>B</v>
          </cell>
          <cell r="J270" t="str">
            <v>A</v>
          </cell>
          <cell r="K270" t="str">
            <v>D</v>
          </cell>
          <cell r="L270" t="str">
            <v>B</v>
          </cell>
          <cell r="M270" t="str">
            <v>A</v>
          </cell>
          <cell r="N270" t="str">
            <v>B</v>
          </cell>
          <cell r="O270" t="str">
            <v>B</v>
          </cell>
          <cell r="P270" t="str">
            <v>C</v>
          </cell>
          <cell r="Q270" t="str">
            <v>B</v>
          </cell>
          <cell r="R270" t="str">
            <v>A</v>
          </cell>
          <cell r="X270">
            <v>44.5</v>
          </cell>
        </row>
        <row r="271">
          <cell r="C271">
            <v>34689831</v>
          </cell>
          <cell r="D271" t="str">
            <v>ТОВ "ГЯДТ АГРО"</v>
          </cell>
          <cell r="E271">
            <v>45693.443700000003</v>
          </cell>
          <cell r="F271">
            <v>45474</v>
          </cell>
          <cell r="G271" t="str">
            <v>E</v>
          </cell>
          <cell r="H271" t="str">
            <v>B</v>
          </cell>
          <cell r="I271" t="str">
            <v>C</v>
          </cell>
          <cell r="J271" t="str">
            <v>C</v>
          </cell>
          <cell r="K271" t="str">
            <v>D</v>
          </cell>
          <cell r="L271" t="str">
            <v>A</v>
          </cell>
          <cell r="M271" t="str">
            <v>A</v>
          </cell>
          <cell r="N271" t="str">
            <v>B</v>
          </cell>
          <cell r="O271" t="str">
            <v>A</v>
          </cell>
          <cell r="P271" t="str">
            <v>B</v>
          </cell>
          <cell r="Q271" t="str">
            <v>B</v>
          </cell>
          <cell r="R271" t="str">
            <v>C</v>
          </cell>
          <cell r="X271">
            <v>46.300000000000004</v>
          </cell>
        </row>
        <row r="272">
          <cell r="C272">
            <v>34713900</v>
          </cell>
          <cell r="D272" t="str">
            <v>ПрАТ "КОМПАС ДЕВЕЛОПМЕНТ"</v>
          </cell>
          <cell r="E272">
            <v>45561.644099999998</v>
          </cell>
          <cell r="F272">
            <v>45474</v>
          </cell>
          <cell r="G272" t="str">
            <v>E</v>
          </cell>
          <cell r="H272" t="str">
            <v>C</v>
          </cell>
          <cell r="I272" t="str">
            <v>B</v>
          </cell>
          <cell r="J272" t="str">
            <v>A</v>
          </cell>
          <cell r="K272" t="str">
            <v>D</v>
          </cell>
          <cell r="L272" t="str">
            <v>B</v>
          </cell>
          <cell r="M272" t="str">
            <v>A</v>
          </cell>
          <cell r="N272" t="str">
            <v>A</v>
          </cell>
          <cell r="O272" t="str">
            <v>A</v>
          </cell>
          <cell r="P272" t="str">
            <v>A</v>
          </cell>
          <cell r="Q272" t="str">
            <v>B</v>
          </cell>
          <cell r="R272" t="str">
            <v>A</v>
          </cell>
          <cell r="X272">
            <v>54</v>
          </cell>
        </row>
        <row r="273">
          <cell r="C273">
            <v>34727688</v>
          </cell>
          <cell r="D273" t="str">
            <v>ТОВ "СЛ ДИСТРИБЬЮШН"</v>
          </cell>
          <cell r="E273">
            <v>45674.584699999999</v>
          </cell>
          <cell r="F273">
            <v>45566</v>
          </cell>
          <cell r="G273" t="str">
            <v>D</v>
          </cell>
          <cell r="H273" t="str">
            <v>B</v>
          </cell>
          <cell r="I273" t="str">
            <v>B</v>
          </cell>
          <cell r="J273" t="str">
            <v>A</v>
          </cell>
          <cell r="K273" t="str">
            <v>D</v>
          </cell>
          <cell r="L273" t="str">
            <v>B</v>
          </cell>
          <cell r="M273" t="str">
            <v>A</v>
          </cell>
          <cell r="N273" t="str">
            <v>B</v>
          </cell>
          <cell r="O273" t="str">
            <v>B</v>
          </cell>
          <cell r="P273" t="str">
            <v>C</v>
          </cell>
          <cell r="Q273" t="str">
            <v>B</v>
          </cell>
          <cell r="R273" t="str">
            <v>C</v>
          </cell>
          <cell r="X273">
            <v>42.1</v>
          </cell>
        </row>
        <row r="274">
          <cell r="C274">
            <v>34810697</v>
          </cell>
          <cell r="D274" t="str">
            <v>ТОВ "Торговий дім "Дівес"</v>
          </cell>
          <cell r="E274">
            <v>45722.548900000002</v>
          </cell>
          <cell r="F274">
            <v>45566</v>
          </cell>
          <cell r="G274" t="str">
            <v>E</v>
          </cell>
          <cell r="H274" t="str">
            <v>B</v>
          </cell>
          <cell r="I274" t="str">
            <v>B</v>
          </cell>
          <cell r="J274" t="str">
            <v>D</v>
          </cell>
          <cell r="K274" t="str">
            <v>D</v>
          </cell>
          <cell r="L274" t="str">
            <v>B</v>
          </cell>
          <cell r="M274" t="str">
            <v>C</v>
          </cell>
          <cell r="N274" t="str">
            <v>A</v>
          </cell>
          <cell r="O274" t="str">
            <v>A</v>
          </cell>
          <cell r="P274" t="str">
            <v>C</v>
          </cell>
          <cell r="Q274" t="str">
            <v>B</v>
          </cell>
          <cell r="R274" t="str">
            <v>A</v>
          </cell>
          <cell r="X274">
            <v>51.8</v>
          </cell>
        </row>
        <row r="275">
          <cell r="C275">
            <v>34869777</v>
          </cell>
          <cell r="D275" t="str">
            <v>ТОВ " АГРОФІРМА П'ЯТИХАТСЬКА "</v>
          </cell>
          <cell r="E275">
            <v>45743.724199999997</v>
          </cell>
          <cell r="F275">
            <v>45658</v>
          </cell>
          <cell r="G275" t="str">
            <v>E</v>
          </cell>
          <cell r="H275" t="str">
            <v>A</v>
          </cell>
          <cell r="I275" t="str">
            <v>B</v>
          </cell>
          <cell r="J275" t="str">
            <v>D</v>
          </cell>
          <cell r="K275" t="str">
            <v>D</v>
          </cell>
          <cell r="L275" t="str">
            <v>B</v>
          </cell>
          <cell r="M275" t="str">
            <v>A</v>
          </cell>
          <cell r="N275" t="str">
            <v>B</v>
          </cell>
          <cell r="O275" t="str">
            <v>A</v>
          </cell>
          <cell r="P275" t="str">
            <v>C</v>
          </cell>
          <cell r="Q275" t="str">
            <v>C</v>
          </cell>
          <cell r="R275" t="str">
            <v>A</v>
          </cell>
          <cell r="X275">
            <v>56.699999999999996</v>
          </cell>
        </row>
        <row r="276">
          <cell r="C276">
            <v>34878603</v>
          </cell>
          <cell r="D276" t="str">
            <v>ФГ "НАТОН"</v>
          </cell>
          <cell r="E276">
            <v>45705.498099999997</v>
          </cell>
          <cell r="F276">
            <v>45566</v>
          </cell>
          <cell r="G276" t="str">
            <v>E</v>
          </cell>
          <cell r="H276" t="str">
            <v>C</v>
          </cell>
          <cell r="I276" t="str">
            <v>B</v>
          </cell>
          <cell r="J276" t="str">
            <v>C</v>
          </cell>
          <cell r="K276" t="str">
            <v>D</v>
          </cell>
          <cell r="L276" t="str">
            <v>B</v>
          </cell>
          <cell r="M276" t="str">
            <v>B</v>
          </cell>
          <cell r="N276" t="str">
            <v>C</v>
          </cell>
          <cell r="O276" t="str">
            <v>A</v>
          </cell>
          <cell r="P276" t="str">
            <v>C</v>
          </cell>
          <cell r="Q276" t="str">
            <v>C</v>
          </cell>
          <cell r="R276" t="str">
            <v>C</v>
          </cell>
          <cell r="X276">
            <v>36.399999999999991</v>
          </cell>
        </row>
        <row r="277">
          <cell r="C277">
            <v>34925417</v>
          </cell>
          <cell r="D277" t="str">
            <v>ТОВ "ТК КАРАТ"</v>
          </cell>
          <cell r="E277">
            <v>45901.486400000002</v>
          </cell>
          <cell r="F277">
            <v>45839</v>
          </cell>
          <cell r="G277" t="str">
            <v>E</v>
          </cell>
          <cell r="H277" t="str">
            <v>B</v>
          </cell>
          <cell r="I277" t="str">
            <v>B</v>
          </cell>
          <cell r="J277" t="str">
            <v>B</v>
          </cell>
          <cell r="K277" t="str">
            <v>C</v>
          </cell>
          <cell r="L277" t="str">
            <v>B</v>
          </cell>
          <cell r="M277" t="str">
            <v>A</v>
          </cell>
          <cell r="N277" t="str">
            <v>B</v>
          </cell>
          <cell r="O277" t="str">
            <v>A</v>
          </cell>
          <cell r="P277" t="str">
            <v>C</v>
          </cell>
          <cell r="Q277" t="str">
            <v>B</v>
          </cell>
          <cell r="R277" t="str">
            <v>A</v>
          </cell>
          <cell r="X277">
            <v>53.7</v>
          </cell>
        </row>
        <row r="278">
          <cell r="C278">
            <v>34986223</v>
          </cell>
          <cell r="D278" t="str">
            <v>ТОВ "АЗИМУТ-ТРЕЙД"</v>
          </cell>
          <cell r="E278">
            <v>45519.709300000002</v>
          </cell>
          <cell r="F278">
            <v>45474</v>
          </cell>
          <cell r="G278" t="str">
            <v>E</v>
          </cell>
          <cell r="H278" t="str">
            <v>A</v>
          </cell>
          <cell r="I278" t="str">
            <v>B</v>
          </cell>
          <cell r="J278" t="str">
            <v>B</v>
          </cell>
          <cell r="K278" t="str">
            <v>B</v>
          </cell>
          <cell r="L278" t="str">
            <v>A</v>
          </cell>
          <cell r="M278" t="str">
            <v>A</v>
          </cell>
          <cell r="N278" t="str">
            <v>B</v>
          </cell>
          <cell r="O278" t="str">
            <v>A</v>
          </cell>
          <cell r="P278" t="str">
            <v>C</v>
          </cell>
          <cell r="Q278" t="str">
            <v>B</v>
          </cell>
          <cell r="R278" t="str">
            <v>A</v>
          </cell>
          <cell r="X278">
            <v>61.7</v>
          </cell>
        </row>
        <row r="279">
          <cell r="C279">
            <v>34989842</v>
          </cell>
          <cell r="D279" t="str">
            <v>ТОВ  "СОЮЗ МАРКЕТ"</v>
          </cell>
          <cell r="E279">
            <v>45657.491099999999</v>
          </cell>
          <cell r="F279">
            <v>45566</v>
          </cell>
          <cell r="G279" t="str">
            <v>E</v>
          </cell>
          <cell r="H279" t="str">
            <v>A</v>
          </cell>
          <cell r="I279" t="str">
            <v>B</v>
          </cell>
          <cell r="J279" t="str">
            <v>A</v>
          </cell>
          <cell r="K279" t="str">
            <v>D</v>
          </cell>
          <cell r="L279" t="str">
            <v>A</v>
          </cell>
          <cell r="M279" t="str">
            <v>A</v>
          </cell>
          <cell r="N279" t="str">
            <v>B</v>
          </cell>
          <cell r="O279" t="str">
            <v>B</v>
          </cell>
          <cell r="P279" t="str">
            <v>A</v>
          </cell>
          <cell r="Q279" t="str">
            <v>B</v>
          </cell>
          <cell r="R279" t="str">
            <v>A</v>
          </cell>
          <cell r="X279">
            <v>55.900000000000006</v>
          </cell>
        </row>
        <row r="280">
          <cell r="C280">
            <v>34996776</v>
          </cell>
          <cell r="D280" t="str">
            <v>ТОВ "ГІДРОСЕНД"</v>
          </cell>
          <cell r="E280">
            <v>45866.767399999997</v>
          </cell>
          <cell r="F280">
            <v>45748</v>
          </cell>
          <cell r="G280" t="str">
            <v>D</v>
          </cell>
          <cell r="H280" t="str">
            <v>B</v>
          </cell>
          <cell r="I280" t="str">
            <v>B</v>
          </cell>
          <cell r="J280" t="str">
            <v>B</v>
          </cell>
          <cell r="K280" t="str">
            <v>D</v>
          </cell>
          <cell r="L280" t="str">
            <v>A</v>
          </cell>
          <cell r="M280" t="str">
            <v>A</v>
          </cell>
          <cell r="N280" t="str">
            <v>B</v>
          </cell>
          <cell r="O280" t="str">
            <v>B</v>
          </cell>
          <cell r="P280" t="str">
            <v>B</v>
          </cell>
          <cell r="Q280" t="str">
            <v>B</v>
          </cell>
          <cell r="R280" t="str">
            <v>A</v>
          </cell>
          <cell r="X280">
            <v>57.500000000000007</v>
          </cell>
        </row>
        <row r="281">
          <cell r="C281">
            <v>35007717</v>
          </cell>
          <cell r="D281" t="str">
            <v>ТОВ  "ЗАММЛЕР УКРАЇНА"</v>
          </cell>
          <cell r="E281">
            <v>45782.438000000002</v>
          </cell>
          <cell r="F281">
            <v>45658</v>
          </cell>
          <cell r="G281" t="str">
            <v>E</v>
          </cell>
          <cell r="H281" t="str">
            <v>B</v>
          </cell>
          <cell r="I281" t="str">
            <v>A</v>
          </cell>
          <cell r="J281" t="str">
            <v>A</v>
          </cell>
          <cell r="K281" t="str">
            <v>C</v>
          </cell>
          <cell r="L281" t="str">
            <v>A</v>
          </cell>
          <cell r="M281" t="str">
            <v>A</v>
          </cell>
          <cell r="N281" t="str">
            <v>B</v>
          </cell>
          <cell r="O281" t="str">
            <v>A</v>
          </cell>
          <cell r="P281" t="str">
            <v>C</v>
          </cell>
          <cell r="Q281" t="str">
            <v>B</v>
          </cell>
          <cell r="R281" t="str">
            <v>A</v>
          </cell>
          <cell r="X281">
            <v>51.300000000000004</v>
          </cell>
        </row>
        <row r="282">
          <cell r="C282">
            <v>35013851</v>
          </cell>
          <cell r="D282" t="str">
            <v>ТОВ "НКЗ"</v>
          </cell>
          <cell r="E282">
            <v>45840.463900000002</v>
          </cell>
          <cell r="F282">
            <v>45658</v>
          </cell>
          <cell r="G282" t="str">
            <v>C</v>
          </cell>
          <cell r="H282" t="str">
            <v>D</v>
          </cell>
          <cell r="I282" t="str">
            <v>D</v>
          </cell>
          <cell r="J282" t="str">
            <v>D</v>
          </cell>
          <cell r="K282" t="str">
            <v>C</v>
          </cell>
          <cell r="L282" t="str">
            <v>A</v>
          </cell>
          <cell r="M282" t="str">
            <v>B</v>
          </cell>
          <cell r="N282" t="str">
            <v>A</v>
          </cell>
          <cell r="O282" t="str">
            <v>A</v>
          </cell>
          <cell r="P282" t="str">
            <v>A</v>
          </cell>
          <cell r="Q282" t="str">
            <v>B</v>
          </cell>
          <cell r="R282" t="str">
            <v>A</v>
          </cell>
          <cell r="X282">
            <v>56.4</v>
          </cell>
        </row>
        <row r="283">
          <cell r="C283">
            <v>35013914</v>
          </cell>
          <cell r="D283" t="str">
            <v>ТОВ"ЗОЛОТИЙ ЛАН-Н"</v>
          </cell>
          <cell r="E283">
            <v>45902.750800000002</v>
          </cell>
          <cell r="F283">
            <v>45658</v>
          </cell>
          <cell r="G283" t="str">
            <v>D</v>
          </cell>
          <cell r="H283" t="str">
            <v>B</v>
          </cell>
          <cell r="I283" t="str">
            <v>B</v>
          </cell>
          <cell r="J283" t="str">
            <v>C</v>
          </cell>
          <cell r="K283" t="str">
            <v>E</v>
          </cell>
          <cell r="L283" t="str">
            <v>B</v>
          </cell>
          <cell r="M283" t="str">
            <v>B</v>
          </cell>
          <cell r="N283" t="str">
            <v>D</v>
          </cell>
          <cell r="O283" t="str">
            <v>B</v>
          </cell>
          <cell r="P283" t="str">
            <v>C</v>
          </cell>
          <cell r="Q283" t="str">
            <v>C</v>
          </cell>
          <cell r="R283" t="str">
            <v>A</v>
          </cell>
          <cell r="X283">
            <v>41.6</v>
          </cell>
        </row>
        <row r="284">
          <cell r="C284">
            <v>35027361</v>
          </cell>
          <cell r="D284" t="str">
            <v>ТОВ "ОРІЛЬКАЛАТІНВЕСТ"</v>
          </cell>
          <cell r="E284">
            <v>45832.652300000002</v>
          </cell>
          <cell r="F284">
            <v>45658</v>
          </cell>
          <cell r="G284" t="str">
            <v>E</v>
          </cell>
          <cell r="H284" t="str">
            <v>A</v>
          </cell>
          <cell r="I284" t="str">
            <v>B</v>
          </cell>
          <cell r="J284" t="str">
            <v>B</v>
          </cell>
          <cell r="K284" t="str">
            <v>D</v>
          </cell>
          <cell r="L284" t="str">
            <v>B</v>
          </cell>
          <cell r="M284" t="str">
            <v>A</v>
          </cell>
          <cell r="N284" t="str">
            <v>B</v>
          </cell>
          <cell r="O284" t="str">
            <v>A</v>
          </cell>
          <cell r="P284" t="str">
            <v>C</v>
          </cell>
          <cell r="Q284" t="str">
            <v>C</v>
          </cell>
          <cell r="R284" t="str">
            <v>A</v>
          </cell>
          <cell r="X284">
            <v>51.5</v>
          </cell>
        </row>
        <row r="285">
          <cell r="C285">
            <v>35097580</v>
          </cell>
          <cell r="D285" t="str">
            <v>ТОВ "Спецагропроект"</v>
          </cell>
          <cell r="E285">
            <v>45902.750800000002</v>
          </cell>
          <cell r="F285">
            <v>45658</v>
          </cell>
          <cell r="G285" t="str">
            <v>D</v>
          </cell>
          <cell r="H285" t="str">
            <v>B</v>
          </cell>
          <cell r="I285" t="str">
            <v>B</v>
          </cell>
          <cell r="J285" t="str">
            <v>C</v>
          </cell>
          <cell r="K285" t="str">
            <v>E</v>
          </cell>
          <cell r="L285" t="str">
            <v>B</v>
          </cell>
          <cell r="M285" t="str">
            <v>B</v>
          </cell>
          <cell r="N285" t="str">
            <v>D</v>
          </cell>
          <cell r="O285" t="str">
            <v>B</v>
          </cell>
          <cell r="P285" t="str">
            <v>C</v>
          </cell>
          <cell r="Q285" t="str">
            <v>C</v>
          </cell>
          <cell r="R285" t="str">
            <v>A</v>
          </cell>
          <cell r="X285">
            <v>41.6</v>
          </cell>
        </row>
        <row r="286">
          <cell r="C286">
            <v>35124850</v>
          </cell>
          <cell r="D286" t="str">
            <v>ТОВ "ПУХІВСЬКИЙ ВЕНТИЛЯЦІЙНИЙ ЗАВОД"</v>
          </cell>
          <cell r="E286">
            <v>45559.758699999998</v>
          </cell>
          <cell r="F286">
            <v>45474</v>
          </cell>
          <cell r="G286" t="str">
            <v>E</v>
          </cell>
          <cell r="H286" t="str">
            <v>C</v>
          </cell>
          <cell r="I286" t="str">
            <v>B</v>
          </cell>
          <cell r="J286" t="str">
            <v>A</v>
          </cell>
          <cell r="K286" t="str">
            <v>D</v>
          </cell>
          <cell r="L286" t="str">
            <v>B</v>
          </cell>
          <cell r="M286" t="str">
            <v>A</v>
          </cell>
          <cell r="N286" t="str">
            <v>A</v>
          </cell>
          <cell r="O286" t="str">
            <v>A</v>
          </cell>
          <cell r="P286" t="str">
            <v>A</v>
          </cell>
          <cell r="Q286" t="str">
            <v>B</v>
          </cell>
          <cell r="R286" t="str">
            <v>A</v>
          </cell>
          <cell r="X286">
            <v>54</v>
          </cell>
        </row>
        <row r="287">
          <cell r="C287">
            <v>35173399</v>
          </cell>
          <cell r="D287" t="str">
            <v>ТОВ "АГРАРНА ПЕРСПЕКТИВА"</v>
          </cell>
          <cell r="E287">
            <v>45902.750800000002</v>
          </cell>
          <cell r="F287">
            <v>45658</v>
          </cell>
          <cell r="G287" t="str">
            <v>D</v>
          </cell>
          <cell r="H287" t="str">
            <v>B</v>
          </cell>
          <cell r="I287" t="str">
            <v>B</v>
          </cell>
          <cell r="J287" t="str">
            <v>C</v>
          </cell>
          <cell r="K287" t="str">
            <v>E</v>
          </cell>
          <cell r="L287" t="str">
            <v>B</v>
          </cell>
          <cell r="M287" t="str">
            <v>B</v>
          </cell>
          <cell r="N287" t="str">
            <v>D</v>
          </cell>
          <cell r="O287" t="str">
            <v>B</v>
          </cell>
          <cell r="P287" t="str">
            <v>C</v>
          </cell>
          <cell r="Q287" t="str">
            <v>C</v>
          </cell>
          <cell r="R287" t="str">
            <v>A</v>
          </cell>
          <cell r="X287">
            <v>41.6</v>
          </cell>
        </row>
        <row r="288">
          <cell r="C288">
            <v>35191360</v>
          </cell>
          <cell r="D288" t="str">
            <v>ТОВ"ОЛІЙНИЙ ДІМ"</v>
          </cell>
          <cell r="E288">
            <v>45938.511700000003</v>
          </cell>
          <cell r="F288">
            <v>45839</v>
          </cell>
          <cell r="G288" t="str">
            <v>D</v>
          </cell>
          <cell r="H288" t="str">
            <v>B</v>
          </cell>
          <cell r="I288" t="str">
            <v>D</v>
          </cell>
          <cell r="J288" t="str">
            <v>A</v>
          </cell>
          <cell r="K288" t="str">
            <v>A</v>
          </cell>
          <cell r="L288" t="str">
            <v>A</v>
          </cell>
          <cell r="M288" t="str">
            <v>A</v>
          </cell>
          <cell r="N288" t="str">
            <v>A</v>
          </cell>
          <cell r="O288" t="str">
            <v>A</v>
          </cell>
          <cell r="P288" t="str">
            <v>B</v>
          </cell>
          <cell r="Q288" t="str">
            <v>B</v>
          </cell>
          <cell r="R288" t="str">
            <v>A</v>
          </cell>
          <cell r="X288">
            <v>59.6</v>
          </cell>
        </row>
        <row r="289">
          <cell r="C289">
            <v>35221672</v>
          </cell>
          <cell r="D289" t="str">
            <v>ТОВ "ПРИЛУКИ-ГАРАНТБУД"</v>
          </cell>
          <cell r="E289">
            <v>45674.402800000003</v>
          </cell>
          <cell r="F289">
            <v>45566</v>
          </cell>
          <cell r="G289" t="str">
            <v>E</v>
          </cell>
          <cell r="H289" t="str">
            <v>B</v>
          </cell>
          <cell r="I289" t="str">
            <v>B</v>
          </cell>
          <cell r="J289" t="str">
            <v>B</v>
          </cell>
          <cell r="K289" t="str">
            <v>B</v>
          </cell>
          <cell r="L289" t="str">
            <v>A</v>
          </cell>
          <cell r="M289" t="str">
            <v>B</v>
          </cell>
          <cell r="N289" t="str">
            <v>B</v>
          </cell>
          <cell r="O289" t="str">
            <v>A</v>
          </cell>
          <cell r="P289" t="str">
            <v>C</v>
          </cell>
          <cell r="Q289" t="str">
            <v>B</v>
          </cell>
          <cell r="R289" t="str">
            <v>A</v>
          </cell>
          <cell r="X289">
            <v>52.900000000000006</v>
          </cell>
        </row>
        <row r="290">
          <cell r="C290">
            <v>35244815</v>
          </cell>
          <cell r="D290" t="str">
            <v>ТОВ"СОЛЛІ ПЛЮС"</v>
          </cell>
          <cell r="E290">
            <v>45861.418100000003</v>
          </cell>
          <cell r="F290">
            <v>45748</v>
          </cell>
          <cell r="G290" t="str">
            <v>E</v>
          </cell>
          <cell r="H290" t="str">
            <v>B</v>
          </cell>
          <cell r="I290" t="str">
            <v>B</v>
          </cell>
          <cell r="J290" t="str">
            <v>C</v>
          </cell>
          <cell r="K290" t="str">
            <v>D</v>
          </cell>
          <cell r="L290" t="str">
            <v>A</v>
          </cell>
          <cell r="M290" t="str">
            <v>A</v>
          </cell>
          <cell r="N290" t="str">
            <v>B</v>
          </cell>
          <cell r="O290" t="str">
            <v>B</v>
          </cell>
          <cell r="P290" t="str">
            <v>C</v>
          </cell>
          <cell r="Q290" t="str">
            <v>B</v>
          </cell>
          <cell r="R290" t="str">
            <v>C</v>
          </cell>
          <cell r="X290">
            <v>48.900000000000006</v>
          </cell>
        </row>
        <row r="291">
          <cell r="C291">
            <v>35289259</v>
          </cell>
          <cell r="D291" t="str">
            <v>ПП "НОВГОРОД-СІВЕРСЬКІ АГРАРНІ ІНВЕСТИЦІЇ"</v>
          </cell>
          <cell r="E291">
            <v>45785.643300000003</v>
          </cell>
          <cell r="F291">
            <v>45658</v>
          </cell>
          <cell r="G291" t="str">
            <v>E</v>
          </cell>
          <cell r="H291" t="str">
            <v>C</v>
          </cell>
          <cell r="I291" t="str">
            <v>A</v>
          </cell>
          <cell r="J291" t="str">
            <v>B</v>
          </cell>
          <cell r="K291" t="str">
            <v>D</v>
          </cell>
          <cell r="L291" t="str">
            <v>B</v>
          </cell>
          <cell r="M291" t="str">
            <v>D</v>
          </cell>
          <cell r="N291" t="str">
            <v>B</v>
          </cell>
          <cell r="O291" t="str">
            <v>A</v>
          </cell>
          <cell r="P291" t="str">
            <v>C</v>
          </cell>
          <cell r="Q291" t="str">
            <v>C</v>
          </cell>
          <cell r="R291" t="str">
            <v>A</v>
          </cell>
          <cell r="X291">
            <v>35.1</v>
          </cell>
        </row>
        <row r="292">
          <cell r="C292">
            <v>35289290</v>
          </cell>
          <cell r="D292" t="str">
            <v>ТОВ "НОВГОРОД-СІВЕРСЬКИЙ ЕЛЕВАТОР"</v>
          </cell>
          <cell r="E292">
            <v>45785.643300000003</v>
          </cell>
          <cell r="F292">
            <v>45658</v>
          </cell>
          <cell r="G292" t="str">
            <v>E</v>
          </cell>
          <cell r="H292" t="str">
            <v>C</v>
          </cell>
          <cell r="I292" t="str">
            <v>A</v>
          </cell>
          <cell r="J292" t="str">
            <v>B</v>
          </cell>
          <cell r="K292" t="str">
            <v>D</v>
          </cell>
          <cell r="L292" t="str">
            <v>B</v>
          </cell>
          <cell r="M292" t="str">
            <v>D</v>
          </cell>
          <cell r="N292" t="str">
            <v>B</v>
          </cell>
          <cell r="O292" t="str">
            <v>A</v>
          </cell>
          <cell r="P292" t="str">
            <v>C</v>
          </cell>
          <cell r="Q292" t="str">
            <v>C</v>
          </cell>
          <cell r="R292" t="str">
            <v>A</v>
          </cell>
          <cell r="X292">
            <v>35.1</v>
          </cell>
        </row>
        <row r="293">
          <cell r="C293">
            <v>35429229</v>
          </cell>
          <cell r="D293" t="str">
            <v>ТОВ "УАПГ"</v>
          </cell>
          <cell r="E293">
            <v>45833.920700000002</v>
          </cell>
          <cell r="F293">
            <v>45748</v>
          </cell>
          <cell r="G293" t="str">
            <v>E</v>
          </cell>
          <cell r="H293" t="str">
            <v>B</v>
          </cell>
          <cell r="I293" t="str">
            <v>B</v>
          </cell>
          <cell r="J293" t="str">
            <v>A</v>
          </cell>
          <cell r="K293" t="str">
            <v>D</v>
          </cell>
          <cell r="L293" t="str">
            <v>A</v>
          </cell>
          <cell r="M293" t="str">
            <v>A</v>
          </cell>
          <cell r="N293" t="str">
            <v>A</v>
          </cell>
          <cell r="O293" t="str">
            <v>A</v>
          </cell>
          <cell r="P293" t="str">
            <v>C</v>
          </cell>
          <cell r="Q293" t="str">
            <v>B</v>
          </cell>
          <cell r="R293" t="str">
            <v>C</v>
          </cell>
          <cell r="X293">
            <v>50.199999999999996</v>
          </cell>
        </row>
        <row r="294">
          <cell r="C294">
            <v>35481824</v>
          </cell>
          <cell r="D294" t="str">
            <v>ТОВ "КПК-ІНВЕСТ"</v>
          </cell>
          <cell r="E294">
            <v>45505.437700000002</v>
          </cell>
          <cell r="F294">
            <v>45474</v>
          </cell>
          <cell r="G294" t="str">
            <v>E</v>
          </cell>
          <cell r="H294" t="str">
            <v>A</v>
          </cell>
          <cell r="I294" t="str">
            <v>A</v>
          </cell>
          <cell r="J294" t="str">
            <v>B</v>
          </cell>
          <cell r="K294" t="str">
            <v>B</v>
          </cell>
          <cell r="L294" t="str">
            <v>A</v>
          </cell>
          <cell r="M294" t="str">
            <v>B</v>
          </cell>
          <cell r="N294" t="str">
            <v>A</v>
          </cell>
          <cell r="O294" t="str">
            <v>A</v>
          </cell>
          <cell r="P294" t="str">
            <v>C</v>
          </cell>
          <cell r="Q294" t="str">
            <v>B</v>
          </cell>
          <cell r="R294" t="str">
            <v>A</v>
          </cell>
          <cell r="X294">
            <v>54.199999999999996</v>
          </cell>
        </row>
        <row r="295">
          <cell r="C295">
            <v>35528563</v>
          </cell>
          <cell r="D295" t="str">
            <v>ТОВ "УЗИН-АГРОІНВЕСТ"</v>
          </cell>
          <cell r="E295">
            <v>45852.546499999997</v>
          </cell>
          <cell r="F295">
            <v>45658</v>
          </cell>
          <cell r="G295" t="str">
            <v>E</v>
          </cell>
          <cell r="H295" t="str">
            <v>B</v>
          </cell>
          <cell r="I295" t="str">
            <v>B</v>
          </cell>
          <cell r="J295" t="str">
            <v>B</v>
          </cell>
          <cell r="K295" t="str">
            <v>D</v>
          </cell>
          <cell r="L295" t="str">
            <v>A</v>
          </cell>
          <cell r="M295" t="str">
            <v>C</v>
          </cell>
          <cell r="N295" t="str">
            <v>B</v>
          </cell>
          <cell r="O295" t="str">
            <v>B</v>
          </cell>
          <cell r="P295" t="str">
            <v>C</v>
          </cell>
          <cell r="Q295" t="str">
            <v>B</v>
          </cell>
          <cell r="R295" t="str">
            <v>A</v>
          </cell>
          <cell r="X295">
            <v>44.5</v>
          </cell>
        </row>
        <row r="296">
          <cell r="C296">
            <v>35622956</v>
          </cell>
          <cell r="D296" t="str">
            <v>ТОВ "ХПП ДОБРОНАДІЇВСЬКЕ"</v>
          </cell>
          <cell r="E296">
            <v>45736.444600000003</v>
          </cell>
          <cell r="F296">
            <v>45566</v>
          </cell>
          <cell r="G296" t="str">
            <v>D</v>
          </cell>
          <cell r="H296" t="str">
            <v>C</v>
          </cell>
          <cell r="I296" t="str">
            <v>D</v>
          </cell>
          <cell r="J296" t="str">
            <v>D</v>
          </cell>
          <cell r="K296" t="str">
            <v>D</v>
          </cell>
          <cell r="L296" t="str">
            <v>A</v>
          </cell>
          <cell r="M296" t="str">
            <v>C</v>
          </cell>
          <cell r="N296" t="str">
            <v>B</v>
          </cell>
          <cell r="O296" t="str">
            <v>B</v>
          </cell>
          <cell r="P296" t="str">
            <v>C</v>
          </cell>
          <cell r="Q296" t="str">
            <v>C</v>
          </cell>
          <cell r="R296" t="str">
            <v>A</v>
          </cell>
          <cell r="X296">
            <v>43.099999999999987</v>
          </cell>
        </row>
        <row r="297">
          <cell r="C297">
            <v>35626950</v>
          </cell>
          <cell r="D297" t="str">
            <v>ТОВ "ФОРВАРД-СВ"</v>
          </cell>
          <cell r="E297">
            <v>45674.584699999999</v>
          </cell>
          <cell r="F297">
            <v>45566</v>
          </cell>
          <cell r="G297" t="str">
            <v>D</v>
          </cell>
          <cell r="H297" t="str">
            <v>B</v>
          </cell>
          <cell r="I297" t="str">
            <v>B</v>
          </cell>
          <cell r="J297" t="str">
            <v>A</v>
          </cell>
          <cell r="K297" t="str">
            <v>D</v>
          </cell>
          <cell r="L297" t="str">
            <v>B</v>
          </cell>
          <cell r="M297" t="str">
            <v>A</v>
          </cell>
          <cell r="N297" t="str">
            <v>B</v>
          </cell>
          <cell r="O297" t="str">
            <v>B</v>
          </cell>
          <cell r="P297" t="str">
            <v>C</v>
          </cell>
          <cell r="Q297" t="str">
            <v>B</v>
          </cell>
          <cell r="R297" t="str">
            <v>C</v>
          </cell>
          <cell r="X297">
            <v>42.1</v>
          </cell>
        </row>
        <row r="298">
          <cell r="C298">
            <v>35641104</v>
          </cell>
          <cell r="D298" t="str">
            <v>ПП "Італ Кераміка"</v>
          </cell>
          <cell r="E298">
            <v>45966.515399999997</v>
          </cell>
          <cell r="F298">
            <v>45931</v>
          </cell>
          <cell r="G298" t="str">
            <v>E</v>
          </cell>
          <cell r="H298" t="str">
            <v>B</v>
          </cell>
          <cell r="I298" t="str">
            <v>B</v>
          </cell>
          <cell r="J298" t="str">
            <v>B</v>
          </cell>
          <cell r="K298" t="str">
            <v>D</v>
          </cell>
          <cell r="L298" t="str">
            <v>B</v>
          </cell>
          <cell r="M298" t="str">
            <v>A</v>
          </cell>
          <cell r="N298" t="str">
            <v>B</v>
          </cell>
          <cell r="O298" t="str">
            <v>A</v>
          </cell>
          <cell r="P298" t="str">
            <v>C</v>
          </cell>
          <cell r="Q298" t="str">
            <v>C</v>
          </cell>
          <cell r="R298" t="str">
            <v>A</v>
          </cell>
          <cell r="X298">
            <v>49.099999999999994</v>
          </cell>
        </row>
        <row r="299">
          <cell r="C299">
            <v>35708603</v>
          </cell>
          <cell r="D299" t="str">
            <v>ТОВ "КРИСТАЛ МОТОРС"</v>
          </cell>
          <cell r="E299">
            <v>45831.7091</v>
          </cell>
          <cell r="F299">
            <v>45748</v>
          </cell>
          <cell r="G299" t="str">
            <v>D</v>
          </cell>
          <cell r="H299" t="str">
            <v>B</v>
          </cell>
          <cell r="I299" t="str">
            <v>B</v>
          </cell>
          <cell r="J299" t="str">
            <v>B</v>
          </cell>
          <cell r="K299" t="str">
            <v>D</v>
          </cell>
          <cell r="L299" t="str">
            <v>B</v>
          </cell>
          <cell r="M299" t="str">
            <v>A</v>
          </cell>
          <cell r="N299" t="str">
            <v>A</v>
          </cell>
          <cell r="O299" t="str">
            <v>A</v>
          </cell>
          <cell r="P299" t="str">
            <v>C</v>
          </cell>
          <cell r="Q299" t="str">
            <v>B</v>
          </cell>
          <cell r="R299" t="str">
            <v>B</v>
          </cell>
          <cell r="X299">
            <v>54.2</v>
          </cell>
        </row>
        <row r="300">
          <cell r="C300">
            <v>35747836</v>
          </cell>
          <cell r="D300" t="str">
            <v>ПП "МЕЛІОР"</v>
          </cell>
          <cell r="E300">
            <v>45722.548900000002</v>
          </cell>
          <cell r="F300">
            <v>45566</v>
          </cell>
          <cell r="G300" t="str">
            <v>E</v>
          </cell>
          <cell r="H300" t="str">
            <v>B</v>
          </cell>
          <cell r="I300" t="str">
            <v>B</v>
          </cell>
          <cell r="J300" t="str">
            <v>D</v>
          </cell>
          <cell r="K300" t="str">
            <v>D</v>
          </cell>
          <cell r="L300" t="str">
            <v>B</v>
          </cell>
          <cell r="M300" t="str">
            <v>C</v>
          </cell>
          <cell r="N300" t="str">
            <v>A</v>
          </cell>
          <cell r="O300" t="str">
            <v>A</v>
          </cell>
          <cell r="P300" t="str">
            <v>C</v>
          </cell>
          <cell r="Q300" t="str">
            <v>B</v>
          </cell>
          <cell r="R300" t="str">
            <v>A</v>
          </cell>
          <cell r="X300">
            <v>51.8</v>
          </cell>
        </row>
        <row r="301">
          <cell r="C301">
            <v>35753677</v>
          </cell>
          <cell r="D301" t="str">
            <v>ТОВ "ОЛІМП-МОТОРС"</v>
          </cell>
          <cell r="E301">
            <v>45831.7091</v>
          </cell>
          <cell r="F301">
            <v>45748</v>
          </cell>
          <cell r="G301" t="str">
            <v>D</v>
          </cell>
          <cell r="H301" t="str">
            <v>B</v>
          </cell>
          <cell r="I301" t="str">
            <v>B</v>
          </cell>
          <cell r="J301" t="str">
            <v>B</v>
          </cell>
          <cell r="K301" t="str">
            <v>D</v>
          </cell>
          <cell r="L301" t="str">
            <v>B</v>
          </cell>
          <cell r="M301" t="str">
            <v>A</v>
          </cell>
          <cell r="N301" t="str">
            <v>A</v>
          </cell>
          <cell r="O301" t="str">
            <v>A</v>
          </cell>
          <cell r="P301" t="str">
            <v>C</v>
          </cell>
          <cell r="Q301" t="str">
            <v>B</v>
          </cell>
          <cell r="R301" t="str">
            <v>B</v>
          </cell>
          <cell r="X301">
            <v>54.2</v>
          </cell>
        </row>
        <row r="302">
          <cell r="C302">
            <v>35775727</v>
          </cell>
          <cell r="D302" t="str">
            <v>ТзОВ "АВТО СТАНДАРД УКРАЇНА"</v>
          </cell>
          <cell r="E302">
            <v>45904.399400000002</v>
          </cell>
          <cell r="F302">
            <v>45839</v>
          </cell>
          <cell r="G302" t="str">
            <v>E</v>
          </cell>
          <cell r="H302" t="str">
            <v>B</v>
          </cell>
          <cell r="I302" t="str">
            <v>A</v>
          </cell>
          <cell r="J302" t="str">
            <v>C</v>
          </cell>
          <cell r="K302" t="str">
            <v>D</v>
          </cell>
          <cell r="L302" t="str">
            <v>A</v>
          </cell>
          <cell r="M302" t="str">
            <v>A</v>
          </cell>
          <cell r="N302" t="str">
            <v>A</v>
          </cell>
          <cell r="O302" t="str">
            <v>A</v>
          </cell>
          <cell r="P302" t="str">
            <v>C</v>
          </cell>
          <cell r="Q302" t="str">
            <v>B</v>
          </cell>
          <cell r="R302" t="str">
            <v>B</v>
          </cell>
          <cell r="X302">
            <v>53.8</v>
          </cell>
        </row>
        <row r="303">
          <cell r="C303">
            <v>35814671</v>
          </cell>
          <cell r="D303" t="str">
            <v>ТОВ "СТРАТІЇВСЬКИЙ АГРОРЕСУРС"</v>
          </cell>
          <cell r="E303">
            <v>45621</v>
          </cell>
          <cell r="F303">
            <v>45566</v>
          </cell>
          <cell r="G303" t="str">
            <v>E</v>
          </cell>
          <cell r="H303" t="str">
            <v>B</v>
          </cell>
          <cell r="I303" t="str">
            <v>B</v>
          </cell>
          <cell r="J303" t="str">
            <v>B</v>
          </cell>
          <cell r="K303" t="str">
            <v>D</v>
          </cell>
          <cell r="L303" t="str">
            <v>B</v>
          </cell>
          <cell r="M303" t="str">
            <v>B</v>
          </cell>
          <cell r="N303" t="str">
            <v>A</v>
          </cell>
          <cell r="O303" t="str">
            <v>A</v>
          </cell>
          <cell r="P303" t="str">
            <v>C</v>
          </cell>
          <cell r="Q303" t="str">
            <v>B</v>
          </cell>
          <cell r="R303" t="str">
            <v>A</v>
          </cell>
          <cell r="X303">
            <v>47.800000000000004</v>
          </cell>
        </row>
        <row r="304">
          <cell r="C304">
            <v>35818770</v>
          </cell>
          <cell r="D304" t="str">
            <v>ТОВ "ТРАНССЕРВІС 2008"</v>
          </cell>
          <cell r="E304">
            <v>45817.486799999999</v>
          </cell>
          <cell r="F304">
            <v>45658</v>
          </cell>
          <cell r="G304" t="str">
            <v>E</v>
          </cell>
          <cell r="H304" t="str">
            <v>B</v>
          </cell>
          <cell r="I304" t="str">
            <v>A</v>
          </cell>
          <cell r="J304" t="str">
            <v>A</v>
          </cell>
          <cell r="K304" t="str">
            <v>D</v>
          </cell>
          <cell r="L304" t="str">
            <v>B</v>
          </cell>
          <cell r="M304" t="str">
            <v>A</v>
          </cell>
          <cell r="N304" t="str">
            <v>C</v>
          </cell>
          <cell r="O304" t="str">
            <v>A</v>
          </cell>
          <cell r="P304" t="str">
            <v>B</v>
          </cell>
          <cell r="Q304" t="str">
            <v>B</v>
          </cell>
          <cell r="R304" t="str">
            <v>A</v>
          </cell>
          <cell r="X304">
            <v>44</v>
          </cell>
        </row>
        <row r="305">
          <cell r="C305">
            <v>35838074</v>
          </cell>
          <cell r="D305" t="str">
            <v>ТОВ "БОАТЛАБ"</v>
          </cell>
          <cell r="E305">
            <v>45761.744500000001</v>
          </cell>
          <cell r="F305">
            <v>45566</v>
          </cell>
          <cell r="G305" t="str">
            <v>E</v>
          </cell>
          <cell r="H305" t="str">
            <v>B</v>
          </cell>
          <cell r="I305" t="str">
            <v>B</v>
          </cell>
          <cell r="J305" t="str">
            <v>A</v>
          </cell>
          <cell r="K305" t="str">
            <v>D</v>
          </cell>
          <cell r="L305" t="str">
            <v>A</v>
          </cell>
          <cell r="M305" t="str">
            <v>A</v>
          </cell>
          <cell r="N305" t="str">
            <v>B</v>
          </cell>
          <cell r="O305" t="str">
            <v>A</v>
          </cell>
          <cell r="P305" t="str">
            <v>C</v>
          </cell>
          <cell r="Q305" t="str">
            <v>B</v>
          </cell>
          <cell r="R305" t="str">
            <v>C</v>
          </cell>
          <cell r="X305">
            <v>46.9</v>
          </cell>
        </row>
        <row r="306">
          <cell r="C306">
            <v>35863179</v>
          </cell>
          <cell r="D306" t="str">
            <v>ТОВ "АЙСБЕРГ-ФІШ"</v>
          </cell>
          <cell r="E306">
            <v>45555.732900000003</v>
          </cell>
          <cell r="F306">
            <v>45474</v>
          </cell>
          <cell r="G306" t="str">
            <v>D</v>
          </cell>
          <cell r="H306" t="str">
            <v>C</v>
          </cell>
          <cell r="I306" t="str">
            <v>B</v>
          </cell>
          <cell r="J306" t="str">
            <v>A</v>
          </cell>
          <cell r="K306" t="str">
            <v>B</v>
          </cell>
          <cell r="L306" t="str">
            <v>B</v>
          </cell>
          <cell r="M306" t="str">
            <v>A</v>
          </cell>
          <cell r="N306" t="str">
            <v>A</v>
          </cell>
          <cell r="O306" t="str">
            <v>A</v>
          </cell>
          <cell r="P306" t="str">
            <v>C</v>
          </cell>
          <cell r="Q306" t="str">
            <v>B</v>
          </cell>
          <cell r="R306" t="str">
            <v>C</v>
          </cell>
          <cell r="X306">
            <v>50.999999999999993</v>
          </cell>
        </row>
        <row r="307">
          <cell r="C307">
            <v>35880173</v>
          </cell>
          <cell r="D307" t="str">
            <v>ТОВ "АВТО ГРУП +"</v>
          </cell>
          <cell r="E307">
            <v>45777.672400000003</v>
          </cell>
          <cell r="F307">
            <v>45658</v>
          </cell>
          <cell r="G307" t="str">
            <v>E</v>
          </cell>
          <cell r="H307" t="str">
            <v>A</v>
          </cell>
          <cell r="I307" t="str">
            <v>C</v>
          </cell>
          <cell r="J307" t="str">
            <v>C</v>
          </cell>
          <cell r="K307" t="str">
            <v>A</v>
          </cell>
          <cell r="L307" t="str">
            <v>A</v>
          </cell>
          <cell r="M307" t="str">
            <v>A</v>
          </cell>
          <cell r="N307" t="str">
            <v>A</v>
          </cell>
          <cell r="O307" t="str">
            <v>A</v>
          </cell>
          <cell r="P307" t="str">
            <v>C</v>
          </cell>
          <cell r="Q307" t="str">
            <v>B</v>
          </cell>
          <cell r="R307" t="str">
            <v>A</v>
          </cell>
          <cell r="X307">
            <v>61</v>
          </cell>
        </row>
        <row r="308">
          <cell r="C308">
            <v>35892262</v>
          </cell>
          <cell r="D308" t="str">
            <v>ТОВ "МД Альянс Груп"</v>
          </cell>
          <cell r="E308">
            <v>45947.633999999998</v>
          </cell>
          <cell r="F308">
            <v>45839</v>
          </cell>
          <cell r="G308" t="str">
            <v>C</v>
          </cell>
          <cell r="H308" t="str">
            <v>C</v>
          </cell>
          <cell r="I308" t="str">
            <v>A</v>
          </cell>
          <cell r="J308" t="str">
            <v>B</v>
          </cell>
          <cell r="K308" t="str">
            <v>B</v>
          </cell>
          <cell r="L308" t="str">
            <v>B</v>
          </cell>
          <cell r="M308" t="str">
            <v>A</v>
          </cell>
          <cell r="N308" t="str">
            <v>A</v>
          </cell>
          <cell r="O308" t="str">
            <v>A</v>
          </cell>
          <cell r="P308" t="str">
            <v>B</v>
          </cell>
          <cell r="Q308" t="str">
            <v>C</v>
          </cell>
          <cell r="R308" t="str">
            <v>C</v>
          </cell>
          <cell r="X308">
            <v>49.8</v>
          </cell>
        </row>
        <row r="309">
          <cell r="C309">
            <v>35945555</v>
          </cell>
          <cell r="D309" t="str">
            <v>ТОВ "ТАС-ЛОГІСТІК"</v>
          </cell>
          <cell r="E309">
            <v>45828.429900000003</v>
          </cell>
          <cell r="F309">
            <v>45748</v>
          </cell>
          <cell r="G309" t="str">
            <v>D</v>
          </cell>
          <cell r="H309" t="str">
            <v>C</v>
          </cell>
          <cell r="I309" t="str">
            <v>B</v>
          </cell>
          <cell r="J309" t="str">
            <v>C</v>
          </cell>
          <cell r="K309" t="str">
            <v>D</v>
          </cell>
          <cell r="L309" t="str">
            <v>A</v>
          </cell>
          <cell r="M309" t="str">
            <v>B</v>
          </cell>
          <cell r="N309" t="str">
            <v>A</v>
          </cell>
          <cell r="O309" t="str">
            <v>A</v>
          </cell>
          <cell r="P309" t="str">
            <v>C</v>
          </cell>
          <cell r="Q309" t="str">
            <v>B</v>
          </cell>
          <cell r="R309" t="str">
            <v>B</v>
          </cell>
          <cell r="X309">
            <v>53.8</v>
          </cell>
        </row>
        <row r="310">
          <cell r="C310">
            <v>35989246</v>
          </cell>
          <cell r="D310" t="str">
            <v>ТОВ "СМАРТ ЛОДЖИСТІК"</v>
          </cell>
          <cell r="E310">
            <v>45902.5196</v>
          </cell>
          <cell r="F310">
            <v>45839</v>
          </cell>
          <cell r="G310" t="str">
            <v>E</v>
          </cell>
          <cell r="H310" t="str">
            <v>B</v>
          </cell>
          <cell r="I310" t="str">
            <v>B</v>
          </cell>
          <cell r="J310" t="str">
            <v>A</v>
          </cell>
          <cell r="K310" t="str">
            <v>D</v>
          </cell>
          <cell r="L310" t="str">
            <v>A</v>
          </cell>
          <cell r="M310" t="str">
            <v>A</v>
          </cell>
          <cell r="N310" t="str">
            <v>B</v>
          </cell>
          <cell r="O310" t="str">
            <v>A</v>
          </cell>
          <cell r="P310" t="str">
            <v>C</v>
          </cell>
          <cell r="Q310" t="str">
            <v>B</v>
          </cell>
          <cell r="R310" t="str">
            <v>A</v>
          </cell>
          <cell r="X310">
            <v>52.9</v>
          </cell>
        </row>
        <row r="311">
          <cell r="C311">
            <v>35991758</v>
          </cell>
          <cell r="D311" t="str">
            <v>ДП "БАЗІС АВТО"</v>
          </cell>
          <cell r="E311">
            <v>45777.672400000003</v>
          </cell>
          <cell r="F311">
            <v>45658</v>
          </cell>
          <cell r="G311" t="str">
            <v>E</v>
          </cell>
          <cell r="H311" t="str">
            <v>A</v>
          </cell>
          <cell r="I311" t="str">
            <v>C</v>
          </cell>
          <cell r="J311" t="str">
            <v>C</v>
          </cell>
          <cell r="K311" t="str">
            <v>A</v>
          </cell>
          <cell r="L311" t="str">
            <v>A</v>
          </cell>
          <cell r="M311" t="str">
            <v>A</v>
          </cell>
          <cell r="N311" t="str">
            <v>A</v>
          </cell>
          <cell r="O311" t="str">
            <v>A</v>
          </cell>
          <cell r="P311" t="str">
            <v>C</v>
          </cell>
          <cell r="Q311" t="str">
            <v>B</v>
          </cell>
          <cell r="R311" t="str">
            <v>A</v>
          </cell>
          <cell r="X311">
            <v>61</v>
          </cell>
        </row>
        <row r="312">
          <cell r="C312">
            <v>36020648</v>
          </cell>
          <cell r="D312" t="str">
            <v>ТОВ "ПК "ДНІПРОВСЬКИЙ"</v>
          </cell>
          <cell r="E312">
            <v>45709.5121</v>
          </cell>
          <cell r="F312">
            <v>45566</v>
          </cell>
          <cell r="G312" t="str">
            <v>D</v>
          </cell>
          <cell r="H312" t="str">
            <v>C</v>
          </cell>
          <cell r="I312" t="str">
            <v>B</v>
          </cell>
          <cell r="J312" t="str">
            <v>D</v>
          </cell>
          <cell r="K312" t="str">
            <v>B</v>
          </cell>
          <cell r="L312" t="str">
            <v>A</v>
          </cell>
          <cell r="M312" t="str">
            <v>A</v>
          </cell>
          <cell r="N312" t="str">
            <v>A</v>
          </cell>
          <cell r="O312" t="str">
            <v>A</v>
          </cell>
          <cell r="P312" t="str">
            <v>C</v>
          </cell>
          <cell r="Q312" t="str">
            <v>B</v>
          </cell>
          <cell r="R312" t="str">
            <v>A</v>
          </cell>
          <cell r="X312">
            <v>69.800000000000011</v>
          </cell>
        </row>
        <row r="313">
          <cell r="C313">
            <v>36023441</v>
          </cell>
          <cell r="D313" t="str">
            <v>ПП "ВК Технополь"</v>
          </cell>
          <cell r="E313">
            <v>45949.937700000002</v>
          </cell>
          <cell r="F313">
            <v>45658</v>
          </cell>
          <cell r="G313" t="str">
            <v>D</v>
          </cell>
          <cell r="H313" t="str">
            <v>B</v>
          </cell>
          <cell r="I313" t="str">
            <v>B</v>
          </cell>
          <cell r="J313" t="str">
            <v>B</v>
          </cell>
          <cell r="K313" t="str">
            <v>B</v>
          </cell>
          <cell r="L313" t="str">
            <v>A</v>
          </cell>
          <cell r="M313" t="str">
            <v>A</v>
          </cell>
          <cell r="N313" t="str">
            <v>B</v>
          </cell>
          <cell r="O313" t="str">
            <v>A</v>
          </cell>
          <cell r="P313" t="str">
            <v>A</v>
          </cell>
          <cell r="Q313" t="str">
            <v>B</v>
          </cell>
          <cell r="R313" t="str">
            <v>A</v>
          </cell>
          <cell r="X313">
            <v>67.100000000000009</v>
          </cell>
        </row>
        <row r="314">
          <cell r="C314">
            <v>36032807</v>
          </cell>
          <cell r="D314" t="str">
            <v>ТОВ "АРТСІТІ"</v>
          </cell>
          <cell r="E314">
            <v>45785.753100000002</v>
          </cell>
          <cell r="F314">
            <v>45658</v>
          </cell>
          <cell r="G314" t="str">
            <v>E</v>
          </cell>
          <cell r="H314" t="str">
            <v>B</v>
          </cell>
          <cell r="I314" t="str">
            <v>B</v>
          </cell>
          <cell r="J314" t="str">
            <v>A</v>
          </cell>
          <cell r="K314" t="str">
            <v>D</v>
          </cell>
          <cell r="L314" t="str">
            <v>B</v>
          </cell>
          <cell r="M314" t="str">
            <v>A</v>
          </cell>
          <cell r="N314" t="str">
            <v>C</v>
          </cell>
          <cell r="O314" t="str">
            <v>A</v>
          </cell>
          <cell r="P314" t="str">
            <v>C</v>
          </cell>
          <cell r="Q314" t="str">
            <v>B</v>
          </cell>
          <cell r="R314" t="str">
            <v>C</v>
          </cell>
          <cell r="X314">
            <v>40.6</v>
          </cell>
        </row>
        <row r="315">
          <cell r="C315">
            <v>36053445</v>
          </cell>
          <cell r="D315" t="str">
            <v>ТОВ "ДНІПРОВСЬКИЙ ТРУБНИЙ ЗАВОД"</v>
          </cell>
          <cell r="E315">
            <v>45737.717100000002</v>
          </cell>
          <cell r="F315">
            <v>45658</v>
          </cell>
          <cell r="G315" t="str">
            <v>E</v>
          </cell>
          <cell r="H315" t="str">
            <v>B</v>
          </cell>
          <cell r="I315" t="str">
            <v>B</v>
          </cell>
          <cell r="J315" t="str">
            <v>A</v>
          </cell>
          <cell r="K315" t="str">
            <v>D</v>
          </cell>
          <cell r="L315" t="str">
            <v>A</v>
          </cell>
          <cell r="M315" t="str">
            <v>A</v>
          </cell>
          <cell r="N315" t="str">
            <v>B</v>
          </cell>
          <cell r="O315" t="str">
            <v>A</v>
          </cell>
          <cell r="P315" t="str">
            <v>C</v>
          </cell>
          <cell r="Q315" t="str">
            <v>B</v>
          </cell>
          <cell r="R315" t="str">
            <v>A</v>
          </cell>
          <cell r="X315">
            <v>52.9</v>
          </cell>
        </row>
        <row r="316">
          <cell r="C316">
            <v>36056861</v>
          </cell>
          <cell r="D316" t="str">
            <v>ТОВ "Термо-Буд"</v>
          </cell>
          <cell r="E316">
            <v>45946.703399999999</v>
          </cell>
          <cell r="F316">
            <v>45839</v>
          </cell>
          <cell r="G316" t="str">
            <v>D</v>
          </cell>
          <cell r="H316" t="str">
            <v>B</v>
          </cell>
          <cell r="I316" t="str">
            <v>D</v>
          </cell>
          <cell r="J316" t="str">
            <v>B</v>
          </cell>
          <cell r="K316" t="str">
            <v>A</v>
          </cell>
          <cell r="L316" t="str">
            <v>B</v>
          </cell>
          <cell r="M316" t="str">
            <v>B</v>
          </cell>
          <cell r="N316" t="str">
            <v>A</v>
          </cell>
          <cell r="O316" t="str">
            <v>A</v>
          </cell>
          <cell r="P316" t="str">
            <v>C</v>
          </cell>
          <cell r="Q316" t="str">
            <v>B</v>
          </cell>
          <cell r="R316" t="str">
            <v>A</v>
          </cell>
          <cell r="X316">
            <v>49.4</v>
          </cell>
        </row>
        <row r="317">
          <cell r="C317">
            <v>36072478</v>
          </cell>
          <cell r="D317" t="str">
            <v>ТОВ "СТАР-КАР"</v>
          </cell>
          <cell r="E317">
            <v>45831.7091</v>
          </cell>
          <cell r="F317">
            <v>45748</v>
          </cell>
          <cell r="G317" t="str">
            <v>D</v>
          </cell>
          <cell r="H317" t="str">
            <v>B</v>
          </cell>
          <cell r="I317" t="str">
            <v>B</v>
          </cell>
          <cell r="J317" t="str">
            <v>B</v>
          </cell>
          <cell r="K317" t="str">
            <v>D</v>
          </cell>
          <cell r="L317" t="str">
            <v>B</v>
          </cell>
          <cell r="M317" t="str">
            <v>A</v>
          </cell>
          <cell r="N317" t="str">
            <v>A</v>
          </cell>
          <cell r="O317" t="str">
            <v>A</v>
          </cell>
          <cell r="P317" t="str">
            <v>C</v>
          </cell>
          <cell r="Q317" t="str">
            <v>B</v>
          </cell>
          <cell r="R317" t="str">
            <v>B</v>
          </cell>
          <cell r="X317">
            <v>54.2</v>
          </cell>
        </row>
        <row r="318">
          <cell r="C318">
            <v>36131192</v>
          </cell>
          <cell r="D318" t="str">
            <v>ТОВ "АГРОФІРМА "ІВАНІВКА АГ"</v>
          </cell>
          <cell r="E318">
            <v>45700.422400000003</v>
          </cell>
          <cell r="F318">
            <v>45566</v>
          </cell>
          <cell r="G318" t="str">
            <v>E</v>
          </cell>
          <cell r="H318" t="str">
            <v>C</v>
          </cell>
          <cell r="I318" t="str">
            <v>B</v>
          </cell>
          <cell r="J318" t="str">
            <v>C</v>
          </cell>
          <cell r="K318" t="str">
            <v>E</v>
          </cell>
          <cell r="L318" t="str">
            <v>A</v>
          </cell>
          <cell r="M318" t="str">
            <v>C</v>
          </cell>
          <cell r="N318" t="str">
            <v>B</v>
          </cell>
          <cell r="O318" t="str">
            <v>B</v>
          </cell>
          <cell r="P318" t="str">
            <v>C</v>
          </cell>
          <cell r="Q318" t="str">
            <v>B</v>
          </cell>
          <cell r="R318" t="str">
            <v>C</v>
          </cell>
          <cell r="X318">
            <v>38.5</v>
          </cell>
        </row>
        <row r="319">
          <cell r="C319">
            <v>36136929</v>
          </cell>
          <cell r="D319" t="str">
            <v>ТОВ "ФОРКС"</v>
          </cell>
          <cell r="E319">
            <v>45807.778400000003</v>
          </cell>
          <cell r="F319">
            <v>45748</v>
          </cell>
          <cell r="G319" t="str">
            <v>D</v>
          </cell>
          <cell r="H319" t="str">
            <v>C</v>
          </cell>
          <cell r="I319" t="str">
            <v>B</v>
          </cell>
          <cell r="J319" t="str">
            <v>B</v>
          </cell>
          <cell r="K319" t="str">
            <v>D</v>
          </cell>
          <cell r="L319" t="str">
            <v>A</v>
          </cell>
          <cell r="M319" t="str">
            <v>A</v>
          </cell>
          <cell r="N319" t="str">
            <v>A</v>
          </cell>
          <cell r="O319" t="str">
            <v>A</v>
          </cell>
          <cell r="P319" t="str">
            <v>C</v>
          </cell>
          <cell r="Q319" t="str">
            <v>B</v>
          </cell>
          <cell r="R319" t="str">
            <v>A</v>
          </cell>
          <cell r="X319">
            <v>60.999999999999993</v>
          </cell>
        </row>
        <row r="320">
          <cell r="C320">
            <v>36153189</v>
          </cell>
          <cell r="D320" t="str">
            <v>ТЗОВ "РАДЕХІВСЬКИЙ ЦУКОР"</v>
          </cell>
          <cell r="E320">
            <v>45763.401100000003</v>
          </cell>
          <cell r="F320">
            <v>45658</v>
          </cell>
          <cell r="G320" t="str">
            <v>C</v>
          </cell>
          <cell r="H320" t="str">
            <v>C</v>
          </cell>
          <cell r="I320" t="str">
            <v>D</v>
          </cell>
          <cell r="J320" t="str">
            <v>C</v>
          </cell>
          <cell r="K320" t="str">
            <v>B</v>
          </cell>
          <cell r="L320" t="str">
            <v>A</v>
          </cell>
          <cell r="M320" t="str">
            <v>A</v>
          </cell>
          <cell r="N320" t="str">
            <v>B</v>
          </cell>
          <cell r="O320" t="str">
            <v>A</v>
          </cell>
          <cell r="P320" t="str">
            <v>C</v>
          </cell>
          <cell r="Q320" t="str">
            <v>B</v>
          </cell>
          <cell r="R320" t="str">
            <v>A</v>
          </cell>
          <cell r="X320">
            <v>57.7</v>
          </cell>
        </row>
        <row r="321">
          <cell r="C321">
            <v>36188813</v>
          </cell>
          <cell r="D321" t="str">
            <v>ПП "ЛІБОС"</v>
          </cell>
          <cell r="E321">
            <v>45700.422400000003</v>
          </cell>
          <cell r="F321">
            <v>45566</v>
          </cell>
          <cell r="G321" t="str">
            <v>E</v>
          </cell>
          <cell r="H321" t="str">
            <v>C</v>
          </cell>
          <cell r="I321" t="str">
            <v>B</v>
          </cell>
          <cell r="J321" t="str">
            <v>C</v>
          </cell>
          <cell r="K321" t="str">
            <v>E</v>
          </cell>
          <cell r="L321" t="str">
            <v>A</v>
          </cell>
          <cell r="M321" t="str">
            <v>C</v>
          </cell>
          <cell r="N321" t="str">
            <v>B</v>
          </cell>
          <cell r="O321" t="str">
            <v>B</v>
          </cell>
          <cell r="P321" t="str">
            <v>C</v>
          </cell>
          <cell r="Q321" t="str">
            <v>B</v>
          </cell>
          <cell r="R321" t="str">
            <v>C</v>
          </cell>
          <cell r="X321">
            <v>38.5</v>
          </cell>
        </row>
        <row r="322">
          <cell r="C322">
            <v>36191005</v>
          </cell>
          <cell r="D322" t="str">
            <v>ТОВ "ШБУ"</v>
          </cell>
          <cell r="E322">
            <v>45796</v>
          </cell>
          <cell r="F322">
            <v>45658</v>
          </cell>
          <cell r="G322" t="str">
            <v>E</v>
          </cell>
          <cell r="H322" t="str">
            <v>B</v>
          </cell>
          <cell r="I322" t="str">
            <v>B</v>
          </cell>
          <cell r="J322" t="str">
            <v>B</v>
          </cell>
          <cell r="K322" t="str">
            <v>D</v>
          </cell>
          <cell r="L322" t="str">
            <v>A</v>
          </cell>
          <cell r="M322" t="str">
            <v>A</v>
          </cell>
          <cell r="N322" t="str">
            <v>B</v>
          </cell>
          <cell r="O322" t="str">
            <v>A</v>
          </cell>
          <cell r="P322" t="str">
            <v>C</v>
          </cell>
          <cell r="Q322" t="str">
            <v>B</v>
          </cell>
          <cell r="R322" t="str">
            <v>A</v>
          </cell>
          <cell r="X322">
            <v>55.7</v>
          </cell>
        </row>
        <row r="323">
          <cell r="C323">
            <v>36210530</v>
          </cell>
          <cell r="D323" t="str">
            <v>ПП "АС МАЛОЛИСОВЕЦЬКА"</v>
          </cell>
          <cell r="E323">
            <v>45852.546499999997</v>
          </cell>
          <cell r="F323">
            <v>45658</v>
          </cell>
          <cell r="G323" t="str">
            <v>E</v>
          </cell>
          <cell r="H323" t="str">
            <v>B</v>
          </cell>
          <cell r="I323" t="str">
            <v>B</v>
          </cell>
          <cell r="J323" t="str">
            <v>B</v>
          </cell>
          <cell r="K323" t="str">
            <v>D</v>
          </cell>
          <cell r="L323" t="str">
            <v>A</v>
          </cell>
          <cell r="M323" t="str">
            <v>C</v>
          </cell>
          <cell r="N323" t="str">
            <v>B</v>
          </cell>
          <cell r="O323" t="str">
            <v>B</v>
          </cell>
          <cell r="P323" t="str">
            <v>C</v>
          </cell>
          <cell r="Q323" t="str">
            <v>B</v>
          </cell>
          <cell r="R323" t="str">
            <v>A</v>
          </cell>
          <cell r="X323">
            <v>44.5</v>
          </cell>
        </row>
        <row r="324">
          <cell r="C324">
            <v>36248687</v>
          </cell>
          <cell r="D324" t="str">
            <v>ПП "ОККО КОНТРАКТ"</v>
          </cell>
          <cell r="E324">
            <v>45653.631099999999</v>
          </cell>
          <cell r="F324">
            <v>45474</v>
          </cell>
          <cell r="G324" t="str">
            <v>C</v>
          </cell>
          <cell r="H324" t="str">
            <v>C</v>
          </cell>
          <cell r="I324" t="str">
            <v>B</v>
          </cell>
          <cell r="J324" t="str">
            <v>C</v>
          </cell>
          <cell r="K324" t="str">
            <v>D</v>
          </cell>
          <cell r="L324" t="str">
            <v>A</v>
          </cell>
          <cell r="M324" t="str">
            <v>A</v>
          </cell>
          <cell r="N324" t="str">
            <v>A</v>
          </cell>
          <cell r="O324" t="str">
            <v>B</v>
          </cell>
          <cell r="P324" t="str">
            <v>C</v>
          </cell>
          <cell r="Q324" t="str">
            <v>B</v>
          </cell>
          <cell r="R324" t="str">
            <v>A</v>
          </cell>
          <cell r="X324">
            <v>60.599999999999994</v>
          </cell>
        </row>
        <row r="325">
          <cell r="C325">
            <v>36281800</v>
          </cell>
          <cell r="D325" t="str">
            <v>ТОВ "ЕЙ СІ ДЖІ ЮКРЕЙН"</v>
          </cell>
          <cell r="E325">
            <v>45848.534299999999</v>
          </cell>
          <cell r="F325">
            <v>45658</v>
          </cell>
          <cell r="G325" t="str">
            <v>E</v>
          </cell>
          <cell r="H325" t="str">
            <v>C</v>
          </cell>
          <cell r="I325" t="str">
            <v>C</v>
          </cell>
          <cell r="J325" t="str">
            <v>A</v>
          </cell>
          <cell r="K325" t="str">
            <v>D</v>
          </cell>
          <cell r="L325" t="str">
            <v>B</v>
          </cell>
          <cell r="M325" t="str">
            <v>A</v>
          </cell>
          <cell r="N325" t="str">
            <v>B</v>
          </cell>
          <cell r="O325" t="str">
            <v>B</v>
          </cell>
          <cell r="P325" t="str">
            <v>A</v>
          </cell>
          <cell r="Q325" t="str">
            <v>C</v>
          </cell>
          <cell r="R325" t="str">
            <v>C</v>
          </cell>
          <cell r="X325">
            <v>31.299999999999997</v>
          </cell>
        </row>
        <row r="326">
          <cell r="C326">
            <v>36299535</v>
          </cell>
          <cell r="D326" t="str">
            <v>ТОВ "ХРИСТИНІВСЬКЕ ХПП"</v>
          </cell>
          <cell r="E326">
            <v>45817.703399999999</v>
          </cell>
          <cell r="F326">
            <v>45658</v>
          </cell>
          <cell r="G326" t="str">
            <v>E</v>
          </cell>
          <cell r="H326" t="str">
            <v>C</v>
          </cell>
          <cell r="I326" t="str">
            <v>B</v>
          </cell>
          <cell r="J326" t="str">
            <v>C</v>
          </cell>
          <cell r="K326" t="str">
            <v>C</v>
          </cell>
          <cell r="L326" t="str">
            <v>A</v>
          </cell>
          <cell r="M326" t="str">
            <v>A</v>
          </cell>
          <cell r="N326" t="str">
            <v>B</v>
          </cell>
          <cell r="O326" t="str">
            <v>A</v>
          </cell>
          <cell r="P326" t="str">
            <v>C</v>
          </cell>
          <cell r="Q326" t="str">
            <v>B</v>
          </cell>
          <cell r="R326" t="str">
            <v>B</v>
          </cell>
          <cell r="X326">
            <v>56.1</v>
          </cell>
        </row>
        <row r="327">
          <cell r="C327">
            <v>36301748</v>
          </cell>
          <cell r="D327" t="str">
            <v>ТОВ "МЕГА МЕНЕДЖМЕНТ ПРОЕКТ"</v>
          </cell>
          <cell r="E327">
            <v>45693.443700000003</v>
          </cell>
          <cell r="F327">
            <v>45474</v>
          </cell>
          <cell r="G327" t="str">
            <v>E</v>
          </cell>
          <cell r="H327" t="str">
            <v>B</v>
          </cell>
          <cell r="I327" t="str">
            <v>C</v>
          </cell>
          <cell r="J327" t="str">
            <v>C</v>
          </cell>
          <cell r="K327" t="str">
            <v>D</v>
          </cell>
          <cell r="L327" t="str">
            <v>A</v>
          </cell>
          <cell r="M327" t="str">
            <v>A</v>
          </cell>
          <cell r="N327" t="str">
            <v>B</v>
          </cell>
          <cell r="O327" t="str">
            <v>A</v>
          </cell>
          <cell r="P327" t="str">
            <v>B</v>
          </cell>
          <cell r="Q327" t="str">
            <v>B</v>
          </cell>
          <cell r="R327" t="str">
            <v>C</v>
          </cell>
          <cell r="S327"/>
          <cell r="T327"/>
          <cell r="U327"/>
          <cell r="V327"/>
          <cell r="W327"/>
          <cell r="X327">
            <v>46.300000000000004</v>
          </cell>
        </row>
        <row r="328">
          <cell r="C328">
            <v>36309878</v>
          </cell>
          <cell r="D328" t="str">
            <v>ТОВ "ТД АВТОЦЕНТР ПОДІЛЛЯ"</v>
          </cell>
          <cell r="E328">
            <v>45926.4833</v>
          </cell>
          <cell r="F328">
            <v>45839</v>
          </cell>
          <cell r="G328" t="str">
            <v>D</v>
          </cell>
          <cell r="H328" t="str">
            <v>A</v>
          </cell>
          <cell r="I328" t="str">
            <v>C</v>
          </cell>
          <cell r="J328" t="str">
            <v>B</v>
          </cell>
          <cell r="K328" t="str">
            <v>C</v>
          </cell>
          <cell r="L328" t="str">
            <v>A</v>
          </cell>
          <cell r="M328" t="str">
            <v>A</v>
          </cell>
          <cell r="N328" t="str">
            <v>B</v>
          </cell>
          <cell r="O328" t="str">
            <v>A</v>
          </cell>
          <cell r="P328" t="str">
            <v>A</v>
          </cell>
          <cell r="Q328" t="str">
            <v>B</v>
          </cell>
          <cell r="R328" t="str">
            <v>A</v>
          </cell>
          <cell r="X328">
            <v>60.7</v>
          </cell>
        </row>
        <row r="329">
          <cell r="C329">
            <v>36309904</v>
          </cell>
          <cell r="D329" t="str">
            <v>ТОВ "АВТОМИР-ВІННИЦЯ"</v>
          </cell>
          <cell r="E329">
            <v>45926.4833</v>
          </cell>
          <cell r="F329">
            <v>45839</v>
          </cell>
          <cell r="G329" t="str">
            <v>D</v>
          </cell>
          <cell r="H329" t="str">
            <v>A</v>
          </cell>
          <cell r="I329" t="str">
            <v>C</v>
          </cell>
          <cell r="J329" t="str">
            <v>B</v>
          </cell>
          <cell r="K329" t="str">
            <v>C</v>
          </cell>
          <cell r="L329" t="str">
            <v>A</v>
          </cell>
          <cell r="M329" t="str">
            <v>A</v>
          </cell>
          <cell r="N329" t="str">
            <v>B</v>
          </cell>
          <cell r="O329" t="str">
            <v>A</v>
          </cell>
          <cell r="P329" t="str">
            <v>A</v>
          </cell>
          <cell r="Q329" t="str">
            <v>B</v>
          </cell>
          <cell r="R329" t="str">
            <v>A</v>
          </cell>
          <cell r="X329">
            <v>60.7</v>
          </cell>
        </row>
        <row r="330">
          <cell r="C330">
            <v>36317648</v>
          </cell>
          <cell r="D330" t="str">
            <v>ТОВ "ТД "АВТОСВІТ МИКОЛАЇВ"</v>
          </cell>
          <cell r="E330">
            <v>45931</v>
          </cell>
          <cell r="F330">
            <v>45839</v>
          </cell>
          <cell r="G330" t="str">
            <v>E</v>
          </cell>
          <cell r="H330" t="str">
            <v>C</v>
          </cell>
          <cell r="I330" t="str">
            <v>B</v>
          </cell>
          <cell r="J330" t="str">
            <v>A</v>
          </cell>
          <cell r="K330" t="str">
            <v>F</v>
          </cell>
          <cell r="L330" t="str">
            <v>B</v>
          </cell>
          <cell r="M330" t="str">
            <v>A</v>
          </cell>
          <cell r="N330" t="str">
            <v>B</v>
          </cell>
          <cell r="O330" t="str">
            <v>A</v>
          </cell>
          <cell r="P330" t="str">
            <v>C</v>
          </cell>
          <cell r="Q330" t="str">
            <v>B</v>
          </cell>
          <cell r="R330" t="str">
            <v>A</v>
          </cell>
          <cell r="X330">
            <v>43.3</v>
          </cell>
        </row>
        <row r="331">
          <cell r="C331">
            <v>36333544</v>
          </cell>
          <cell r="D331" t="str">
            <v>ТОВ "УКРПРОДСНЕКГРУП"</v>
          </cell>
          <cell r="E331">
            <v>45768.490299999998</v>
          </cell>
          <cell r="F331">
            <v>45658</v>
          </cell>
          <cell r="G331" t="str">
            <v>E</v>
          </cell>
          <cell r="H331" t="str">
            <v>C</v>
          </cell>
          <cell r="I331" t="str">
            <v>C</v>
          </cell>
          <cell r="J331" t="str">
            <v>B</v>
          </cell>
          <cell r="K331" t="str">
            <v>D</v>
          </cell>
          <cell r="L331" t="str">
            <v>B</v>
          </cell>
          <cell r="M331" t="str">
            <v>A</v>
          </cell>
          <cell r="N331" t="str">
            <v>B</v>
          </cell>
          <cell r="O331" t="str">
            <v>A</v>
          </cell>
          <cell r="P331" t="str">
            <v>C</v>
          </cell>
          <cell r="Q331" t="str">
            <v>C</v>
          </cell>
          <cell r="R331" t="str">
            <v>A</v>
          </cell>
          <cell r="X331">
            <v>39.5</v>
          </cell>
        </row>
        <row r="332">
          <cell r="C332">
            <v>36345921</v>
          </cell>
          <cell r="D332" t="str">
            <v>ТОВ "САЛЕКС АБСОЛЮТ"</v>
          </cell>
          <cell r="E332">
            <v>45777.455000000002</v>
          </cell>
          <cell r="F332">
            <v>45658</v>
          </cell>
          <cell r="G332" t="str">
            <v>E</v>
          </cell>
          <cell r="H332" t="str">
            <v>B</v>
          </cell>
          <cell r="I332" t="str">
            <v>B</v>
          </cell>
          <cell r="J332" t="str">
            <v>C</v>
          </cell>
          <cell r="K332" t="str">
            <v>D</v>
          </cell>
          <cell r="L332" t="str">
            <v>B</v>
          </cell>
          <cell r="M332" t="str">
            <v>B</v>
          </cell>
          <cell r="N332" t="str">
            <v>A</v>
          </cell>
          <cell r="O332" t="str">
            <v>A</v>
          </cell>
          <cell r="P332" t="str">
            <v>C</v>
          </cell>
          <cell r="Q332" t="str">
            <v>C</v>
          </cell>
          <cell r="R332" t="str">
            <v>A</v>
          </cell>
          <cell r="X332">
            <v>48.8</v>
          </cell>
        </row>
        <row r="333">
          <cell r="C333">
            <v>36349402</v>
          </cell>
          <cell r="D333" t="str">
            <v>ПП "ЛЮКС-ОЙЛ"</v>
          </cell>
          <cell r="E333">
            <v>45621.897499999999</v>
          </cell>
          <cell r="F333">
            <v>45474</v>
          </cell>
          <cell r="G333" t="str">
            <v>E</v>
          </cell>
          <cell r="H333" t="str">
            <v>B</v>
          </cell>
          <cell r="I333" t="str">
            <v>B</v>
          </cell>
          <cell r="J333" t="str">
            <v>A</v>
          </cell>
          <cell r="K333" t="str">
            <v>D</v>
          </cell>
          <cell r="L333" t="str">
            <v>A</v>
          </cell>
          <cell r="M333" t="str">
            <v>A</v>
          </cell>
          <cell r="N333" t="str">
            <v>B</v>
          </cell>
          <cell r="O333" t="str">
            <v>A</v>
          </cell>
          <cell r="P333" t="str">
            <v>C</v>
          </cell>
          <cell r="Q333" t="str">
            <v>B</v>
          </cell>
          <cell r="R333" t="str">
            <v>A</v>
          </cell>
          <cell r="X333">
            <v>52.9</v>
          </cell>
        </row>
        <row r="334">
          <cell r="C334">
            <v>36410581</v>
          </cell>
          <cell r="D334" t="str">
            <v>ТОВ "ЛІДЕР СНЕК"</v>
          </cell>
          <cell r="E334">
            <v>45639.655400000003</v>
          </cell>
          <cell r="F334">
            <v>45566</v>
          </cell>
          <cell r="G334" t="str">
            <v>E</v>
          </cell>
          <cell r="H334" t="str">
            <v>B</v>
          </cell>
          <cell r="I334" t="str">
            <v>B</v>
          </cell>
          <cell r="J334" t="str">
            <v>C</v>
          </cell>
          <cell r="K334" t="str">
            <v>D</v>
          </cell>
          <cell r="L334" t="str">
            <v>B</v>
          </cell>
          <cell r="M334" t="str">
            <v>B</v>
          </cell>
          <cell r="N334" t="str">
            <v>B</v>
          </cell>
          <cell r="O334" t="str">
            <v>A</v>
          </cell>
          <cell r="P334" t="str">
            <v>B</v>
          </cell>
          <cell r="Q334" t="str">
            <v>C</v>
          </cell>
          <cell r="R334" t="str">
            <v>A</v>
          </cell>
          <cell r="X334">
            <v>47.300000000000004</v>
          </cell>
        </row>
        <row r="335">
          <cell r="C335">
            <v>36415474</v>
          </cell>
          <cell r="D335" t="str">
            <v>ТОВ "МЕГАТРЕЙД ІТ"</v>
          </cell>
          <cell r="E335">
            <v>45852</v>
          </cell>
          <cell r="F335">
            <v>45748</v>
          </cell>
          <cell r="G335" t="str">
            <v>E</v>
          </cell>
          <cell r="H335" t="str">
            <v>B</v>
          </cell>
          <cell r="I335" t="str">
            <v>C</v>
          </cell>
          <cell r="J335" t="str">
            <v>A</v>
          </cell>
          <cell r="K335" t="str">
            <v>C</v>
          </cell>
          <cell r="L335" t="str">
            <v>B</v>
          </cell>
          <cell r="M335" t="str">
            <v>A</v>
          </cell>
          <cell r="N335" t="str">
            <v>B</v>
          </cell>
          <cell r="O335" t="str">
            <v>A</v>
          </cell>
          <cell r="P335" t="str">
            <v>C</v>
          </cell>
          <cell r="Q335" t="str">
            <v>B</v>
          </cell>
          <cell r="R335" t="str">
            <v>A</v>
          </cell>
          <cell r="X335">
            <v>42.9</v>
          </cell>
        </row>
        <row r="336">
          <cell r="C336">
            <v>36424505</v>
          </cell>
          <cell r="D336" t="str">
            <v>ТОВ "ДОБРОДІЯ ТРЕЙД"</v>
          </cell>
          <cell r="E336">
            <v>45700.422400000003</v>
          </cell>
          <cell r="F336">
            <v>45566</v>
          </cell>
          <cell r="G336" t="str">
            <v>E</v>
          </cell>
          <cell r="H336" t="str">
            <v>C</v>
          </cell>
          <cell r="I336" t="str">
            <v>B</v>
          </cell>
          <cell r="J336" t="str">
            <v>C</v>
          </cell>
          <cell r="K336" t="str">
            <v>E</v>
          </cell>
          <cell r="L336" t="str">
            <v>A</v>
          </cell>
          <cell r="M336" t="str">
            <v>C</v>
          </cell>
          <cell r="N336" t="str">
            <v>B</v>
          </cell>
          <cell r="O336" t="str">
            <v>B</v>
          </cell>
          <cell r="P336" t="str">
            <v>C</v>
          </cell>
          <cell r="Q336" t="str">
            <v>B</v>
          </cell>
          <cell r="R336" t="str">
            <v>C</v>
          </cell>
          <cell r="X336">
            <v>38.5</v>
          </cell>
        </row>
        <row r="337">
          <cell r="C337">
            <v>36436442</v>
          </cell>
          <cell r="D337" t="str">
            <v>ТОВ  "КРАЇНА ІГРАШОК"</v>
          </cell>
          <cell r="E337">
            <v>45574.4329</v>
          </cell>
          <cell r="F337">
            <v>45474</v>
          </cell>
          <cell r="G337" t="str">
            <v>E</v>
          </cell>
          <cell r="H337" t="str">
            <v>C</v>
          </cell>
          <cell r="I337" t="str">
            <v>B</v>
          </cell>
          <cell r="J337" t="str">
            <v>A</v>
          </cell>
          <cell r="K337" t="str">
            <v>D</v>
          </cell>
          <cell r="L337" t="str">
            <v>B</v>
          </cell>
          <cell r="M337" t="str">
            <v>A</v>
          </cell>
          <cell r="N337" t="str">
            <v>B</v>
          </cell>
          <cell r="O337" t="str">
            <v>A</v>
          </cell>
          <cell r="P337" t="str">
            <v>B</v>
          </cell>
          <cell r="Q337" t="str">
            <v>C</v>
          </cell>
          <cell r="R337" t="str">
            <v>A</v>
          </cell>
          <cell r="X337">
            <v>46.499999999999993</v>
          </cell>
        </row>
        <row r="338">
          <cell r="C338">
            <v>36441934</v>
          </cell>
          <cell r="D338" t="str">
            <v>ТОВ "АВ МЕТАЛ ГРУП"</v>
          </cell>
          <cell r="E338">
            <v>45904.712899999999</v>
          </cell>
          <cell r="F338">
            <v>45839</v>
          </cell>
          <cell r="G338" t="str">
            <v>C</v>
          </cell>
          <cell r="H338" t="str">
            <v>C</v>
          </cell>
          <cell r="I338" t="str">
            <v>B</v>
          </cell>
          <cell r="J338" t="str">
            <v>D</v>
          </cell>
          <cell r="K338" t="str">
            <v>C</v>
          </cell>
          <cell r="L338" t="str">
            <v>B</v>
          </cell>
          <cell r="M338" t="str">
            <v>A</v>
          </cell>
          <cell r="N338" t="str">
            <v>A</v>
          </cell>
          <cell r="O338" t="str">
            <v>A</v>
          </cell>
          <cell r="P338" t="str">
            <v>A</v>
          </cell>
          <cell r="Q338" t="str">
            <v>C</v>
          </cell>
          <cell r="R338" t="str">
            <v>C</v>
          </cell>
          <cell r="X338">
            <v>61</v>
          </cell>
        </row>
        <row r="339">
          <cell r="C339">
            <v>36450032</v>
          </cell>
          <cell r="D339" t="str">
            <v>ПП "Аптека Аронія"</v>
          </cell>
          <cell r="E339">
            <v>45674.788399999998</v>
          </cell>
          <cell r="F339">
            <v>45566</v>
          </cell>
          <cell r="G339" t="str">
            <v>B</v>
          </cell>
          <cell r="H339" t="str">
            <v>A</v>
          </cell>
          <cell r="I339" t="str">
            <v>B</v>
          </cell>
          <cell r="J339" t="str">
            <v>B</v>
          </cell>
          <cell r="K339" t="str">
            <v>C</v>
          </cell>
          <cell r="L339" t="str">
            <v>A</v>
          </cell>
          <cell r="M339" t="str">
            <v>A</v>
          </cell>
          <cell r="N339" t="str">
            <v>A</v>
          </cell>
          <cell r="O339" t="str">
            <v>B</v>
          </cell>
          <cell r="P339" t="str">
            <v>C</v>
          </cell>
          <cell r="Q339" t="str">
            <v>B</v>
          </cell>
          <cell r="R339" t="str">
            <v>B</v>
          </cell>
          <cell r="X339">
            <v>65</v>
          </cell>
        </row>
        <row r="340">
          <cell r="C340">
            <v>36469368</v>
          </cell>
          <cell r="D340" t="str">
            <v>ТОВ "ПРОМ-ТЕХНО ГРУПА"</v>
          </cell>
          <cell r="E340">
            <v>45848.717100000002</v>
          </cell>
          <cell r="F340">
            <v>45658</v>
          </cell>
          <cell r="G340" t="str">
            <v>D</v>
          </cell>
          <cell r="H340" t="str">
            <v>C</v>
          </cell>
          <cell r="I340" t="str">
            <v>D</v>
          </cell>
          <cell r="J340" t="str">
            <v>A</v>
          </cell>
          <cell r="K340" t="str">
            <v>B</v>
          </cell>
          <cell r="L340" t="str">
            <v>A</v>
          </cell>
          <cell r="M340" t="str">
            <v>A</v>
          </cell>
          <cell r="N340" t="str">
            <v>B</v>
          </cell>
          <cell r="O340" t="str">
            <v>A</v>
          </cell>
          <cell r="P340" t="str">
            <v>B</v>
          </cell>
          <cell r="Q340" t="str">
            <v>B</v>
          </cell>
          <cell r="R340" t="str">
            <v>A</v>
          </cell>
          <cell r="X340">
            <v>53.5</v>
          </cell>
        </row>
        <row r="341">
          <cell r="C341">
            <v>36537542</v>
          </cell>
          <cell r="D341" t="str">
            <v>ТОВ "БОГОДУХІВСЬКИЙ МОЛЗАВОД"</v>
          </cell>
          <cell r="E341">
            <v>45785.707600000002</v>
          </cell>
          <cell r="F341">
            <v>45658</v>
          </cell>
          <cell r="G341" t="str">
            <v>E</v>
          </cell>
          <cell r="H341" t="str">
            <v>A</v>
          </cell>
          <cell r="I341" t="str">
            <v>B</v>
          </cell>
          <cell r="J341" t="str">
            <v>B</v>
          </cell>
          <cell r="K341" t="str">
            <v>D</v>
          </cell>
          <cell r="L341" t="str">
            <v>B</v>
          </cell>
          <cell r="M341" t="str">
            <v>A</v>
          </cell>
          <cell r="N341" t="str">
            <v>B</v>
          </cell>
          <cell r="O341" t="str">
            <v>A</v>
          </cell>
          <cell r="P341" t="str">
            <v>A</v>
          </cell>
          <cell r="Q341" t="str">
            <v>C</v>
          </cell>
          <cell r="R341" t="str">
            <v>A</v>
          </cell>
          <cell r="X341">
            <v>55.7</v>
          </cell>
        </row>
        <row r="342">
          <cell r="C342">
            <v>36656813</v>
          </cell>
          <cell r="D342" t="str">
            <v>ТОВ "КБ "БУРЕВІЙ"</v>
          </cell>
          <cell r="E342">
            <v>45842.492899999997</v>
          </cell>
          <cell r="F342">
            <v>45658</v>
          </cell>
          <cell r="G342" t="str">
            <v>E</v>
          </cell>
          <cell r="H342" t="str">
            <v>B</v>
          </cell>
          <cell r="I342" t="str">
            <v>B</v>
          </cell>
          <cell r="J342" t="str">
            <v>A</v>
          </cell>
          <cell r="K342" t="str">
            <v>B</v>
          </cell>
          <cell r="L342" t="str">
            <v>B</v>
          </cell>
          <cell r="M342" t="str">
            <v>A</v>
          </cell>
          <cell r="N342" t="str">
            <v>A</v>
          </cell>
          <cell r="O342" t="str">
            <v>A</v>
          </cell>
          <cell r="P342" t="str">
            <v>B</v>
          </cell>
          <cell r="Q342" t="str">
            <v>B</v>
          </cell>
          <cell r="R342" t="str">
            <v>A</v>
          </cell>
          <cell r="X342">
            <v>56.800000000000004</v>
          </cell>
        </row>
        <row r="343">
          <cell r="C343">
            <v>36693169</v>
          </cell>
          <cell r="D343" t="str">
            <v>ТОВ "ТЕССЛАГРУП"</v>
          </cell>
          <cell r="E343">
            <v>45925.433199999999</v>
          </cell>
          <cell r="F343">
            <v>45658</v>
          </cell>
          <cell r="G343" t="str">
            <v>D</v>
          </cell>
          <cell r="H343" t="str">
            <v>B</v>
          </cell>
          <cell r="I343" t="str">
            <v>B</v>
          </cell>
          <cell r="J343" t="str">
            <v>B</v>
          </cell>
          <cell r="K343" t="str">
            <v>D</v>
          </cell>
          <cell r="L343" t="str">
            <v>A</v>
          </cell>
          <cell r="M343" t="str">
            <v>A</v>
          </cell>
          <cell r="N343" t="str">
            <v>A</v>
          </cell>
          <cell r="O343" t="str">
            <v>A</v>
          </cell>
          <cell r="P343" t="str">
            <v>C</v>
          </cell>
          <cell r="Q343" t="str">
            <v>A</v>
          </cell>
          <cell r="R343" t="str">
            <v>A</v>
          </cell>
          <cell r="X343">
            <v>65</v>
          </cell>
        </row>
        <row r="344">
          <cell r="C344">
            <v>36697006</v>
          </cell>
          <cell r="D344" t="str">
            <v>ТОВ "ЗМВ"</v>
          </cell>
          <cell r="E344">
            <v>45967.674599999998</v>
          </cell>
          <cell r="F344">
            <v>45839</v>
          </cell>
          <cell r="G344" t="str">
            <v>E</v>
          </cell>
          <cell r="H344" t="str">
            <v>C</v>
          </cell>
          <cell r="I344" t="str">
            <v>B</v>
          </cell>
          <cell r="J344" t="str">
            <v>B</v>
          </cell>
          <cell r="K344" t="str">
            <v>D</v>
          </cell>
          <cell r="L344" t="str">
            <v>A</v>
          </cell>
          <cell r="M344" t="str">
            <v>B</v>
          </cell>
          <cell r="N344" t="str">
            <v>B</v>
          </cell>
          <cell r="O344" t="str">
            <v>B</v>
          </cell>
          <cell r="P344" t="str">
            <v>B</v>
          </cell>
          <cell r="Q344" t="str">
            <v>B</v>
          </cell>
          <cell r="R344" t="str">
            <v>B</v>
          </cell>
          <cell r="X344">
            <v>42.300000000000004</v>
          </cell>
        </row>
        <row r="345">
          <cell r="C345">
            <v>36712516</v>
          </cell>
          <cell r="D345" t="str">
            <v>ТОВ "ІНВЕСТИЦІЙНА КОМПАНІЯ МВМ"</v>
          </cell>
          <cell r="E345">
            <v>45604.541799999999</v>
          </cell>
          <cell r="F345">
            <v>45474</v>
          </cell>
          <cell r="G345" t="str">
            <v>E</v>
          </cell>
          <cell r="H345" t="str">
            <v>C</v>
          </cell>
          <cell r="I345" t="str">
            <v>B</v>
          </cell>
          <cell r="J345" t="str">
            <v>B</v>
          </cell>
          <cell r="K345" t="str">
            <v>B</v>
          </cell>
          <cell r="L345" t="str">
            <v>B</v>
          </cell>
          <cell r="M345" t="str">
            <v>A</v>
          </cell>
          <cell r="N345" t="str">
            <v>A</v>
          </cell>
          <cell r="O345" t="str">
            <v>A</v>
          </cell>
          <cell r="P345" t="str">
            <v>B</v>
          </cell>
          <cell r="Q345" t="str">
            <v>B</v>
          </cell>
          <cell r="R345" t="str">
            <v>A</v>
          </cell>
          <cell r="X345">
            <v>58</v>
          </cell>
        </row>
        <row r="346">
          <cell r="C346">
            <v>36716311</v>
          </cell>
          <cell r="D346" t="str">
            <v>ТОВ "ВВТ ГРУП"</v>
          </cell>
          <cell r="E346">
            <v>45631.4689</v>
          </cell>
          <cell r="F346">
            <v>45474</v>
          </cell>
          <cell r="G346" t="str">
            <v>E</v>
          </cell>
          <cell r="H346" t="str">
            <v>B</v>
          </cell>
          <cell r="I346" t="str">
            <v>B</v>
          </cell>
          <cell r="J346" t="str">
            <v>C</v>
          </cell>
          <cell r="K346" t="str">
            <v>D</v>
          </cell>
          <cell r="L346" t="str">
            <v>B</v>
          </cell>
          <cell r="M346" t="str">
            <v>B</v>
          </cell>
          <cell r="N346" t="str">
            <v>B</v>
          </cell>
          <cell r="O346" t="str">
            <v>A</v>
          </cell>
          <cell r="P346" t="str">
            <v>C</v>
          </cell>
          <cell r="Q346" t="str">
            <v>C</v>
          </cell>
          <cell r="R346" t="str">
            <v>A</v>
          </cell>
          <cell r="X346">
            <v>45.5</v>
          </cell>
        </row>
        <row r="347">
          <cell r="C347">
            <v>36788318</v>
          </cell>
          <cell r="D347" t="str">
            <v>ТОВ "ТАС СЗ КОДИМСЬКИЙ"</v>
          </cell>
          <cell r="E347">
            <v>45855.744400000003</v>
          </cell>
          <cell r="F347">
            <v>45748</v>
          </cell>
          <cell r="G347" t="str">
            <v>C</v>
          </cell>
          <cell r="H347" t="str">
            <v>B</v>
          </cell>
          <cell r="I347" t="str">
            <v>B</v>
          </cell>
          <cell r="J347" t="str">
            <v>C</v>
          </cell>
          <cell r="K347" t="str">
            <v>C</v>
          </cell>
          <cell r="L347" t="str">
            <v>B</v>
          </cell>
          <cell r="M347" t="str">
            <v>A</v>
          </cell>
          <cell r="N347" t="str">
            <v>A</v>
          </cell>
          <cell r="O347" t="str">
            <v>A</v>
          </cell>
          <cell r="P347" t="str">
            <v>A</v>
          </cell>
          <cell r="Q347" t="str">
            <v>A</v>
          </cell>
          <cell r="R347" t="str">
            <v>B</v>
          </cell>
          <cell r="X347">
            <v>66.800000000000011</v>
          </cell>
        </row>
        <row r="348">
          <cell r="C348">
            <v>36792193</v>
          </cell>
          <cell r="D348" t="str">
            <v>ТОВ "ТГ "ПРОМТЕХСЕРВІС"</v>
          </cell>
          <cell r="E348">
            <v>45924.5556</v>
          </cell>
          <cell r="F348">
            <v>45839</v>
          </cell>
          <cell r="G348" t="str">
            <v>E</v>
          </cell>
          <cell r="H348" t="str">
            <v>B</v>
          </cell>
          <cell r="I348" t="str">
            <v>B</v>
          </cell>
          <cell r="J348" t="str">
            <v>A</v>
          </cell>
          <cell r="K348" t="str">
            <v>C</v>
          </cell>
          <cell r="L348" t="str">
            <v>A</v>
          </cell>
          <cell r="M348" t="str">
            <v>A</v>
          </cell>
          <cell r="N348" t="str">
            <v>B</v>
          </cell>
          <cell r="O348" t="str">
            <v>A</v>
          </cell>
          <cell r="P348" t="str">
            <v>A</v>
          </cell>
          <cell r="Q348" t="str">
            <v>B</v>
          </cell>
          <cell r="R348" t="str">
            <v>A</v>
          </cell>
          <cell r="X348">
            <v>59.900000000000006</v>
          </cell>
        </row>
        <row r="349">
          <cell r="C349">
            <v>36817762</v>
          </cell>
          <cell r="D349" t="str">
            <v>ТОВ "ПРОМОДО"</v>
          </cell>
          <cell r="E349">
            <v>45750.728900000002</v>
          </cell>
          <cell r="F349">
            <v>45566</v>
          </cell>
          <cell r="G349" t="str">
            <v>E</v>
          </cell>
          <cell r="H349" t="str">
            <v>B</v>
          </cell>
          <cell r="I349" t="str">
            <v>B</v>
          </cell>
          <cell r="J349" t="str">
            <v>A</v>
          </cell>
          <cell r="K349" t="str">
            <v>C</v>
          </cell>
          <cell r="L349" t="str">
            <v>A</v>
          </cell>
          <cell r="M349" t="str">
            <v>A</v>
          </cell>
          <cell r="N349" t="str">
            <v>B</v>
          </cell>
          <cell r="O349" t="str">
            <v>A</v>
          </cell>
          <cell r="P349" t="str">
            <v>C</v>
          </cell>
          <cell r="Q349" t="str">
            <v>B</v>
          </cell>
          <cell r="R349" t="str">
            <v>A</v>
          </cell>
          <cell r="X349">
            <v>55.7</v>
          </cell>
        </row>
        <row r="350">
          <cell r="C350">
            <v>36830584</v>
          </cell>
          <cell r="D350" t="str">
            <v>ПП "ТОРГОВИЙ ДІМ "ЄВРОМОТОРС"</v>
          </cell>
          <cell r="E350">
            <v>45831.7091</v>
          </cell>
          <cell r="F350">
            <v>45748</v>
          </cell>
          <cell r="G350" t="str">
            <v>D</v>
          </cell>
          <cell r="H350" t="str">
            <v>B</v>
          </cell>
          <cell r="I350" t="str">
            <v>B</v>
          </cell>
          <cell r="J350" t="str">
            <v>B</v>
          </cell>
          <cell r="K350" t="str">
            <v>D</v>
          </cell>
          <cell r="L350" t="str">
            <v>B</v>
          </cell>
          <cell r="M350" t="str">
            <v>A</v>
          </cell>
          <cell r="N350" t="str">
            <v>A</v>
          </cell>
          <cell r="O350" t="str">
            <v>A</v>
          </cell>
          <cell r="P350" t="str">
            <v>C</v>
          </cell>
          <cell r="Q350" t="str">
            <v>B</v>
          </cell>
          <cell r="R350" t="str">
            <v>B</v>
          </cell>
          <cell r="X350">
            <v>54.2</v>
          </cell>
        </row>
        <row r="351">
          <cell r="C351">
            <v>36866563</v>
          </cell>
          <cell r="D351" t="str">
            <v>ТОВ "СОКАР ЕНЕРДЖІ УКРАЇНА"</v>
          </cell>
          <cell r="E351">
            <v>45772.500399999997</v>
          </cell>
          <cell r="F351">
            <v>45658</v>
          </cell>
          <cell r="G351" t="str">
            <v>D</v>
          </cell>
          <cell r="H351" t="str">
            <v>D</v>
          </cell>
          <cell r="I351" t="str">
            <v>C</v>
          </cell>
          <cell r="J351" t="str">
            <v>C</v>
          </cell>
          <cell r="K351" t="str">
            <v>E</v>
          </cell>
          <cell r="L351" t="str">
            <v>B</v>
          </cell>
          <cell r="M351" t="str">
            <v>A</v>
          </cell>
          <cell r="N351" t="str">
            <v>B</v>
          </cell>
          <cell r="O351" t="str">
            <v>A</v>
          </cell>
          <cell r="P351" t="str">
            <v>D</v>
          </cell>
          <cell r="Q351" t="str">
            <v>B</v>
          </cell>
          <cell r="R351" t="str">
            <v>B</v>
          </cell>
          <cell r="X351">
            <v>37.1</v>
          </cell>
        </row>
        <row r="352">
          <cell r="C352">
            <v>36867724</v>
          </cell>
          <cell r="D352" t="str">
            <v>ТОВ "ТЕРРАФУД"</v>
          </cell>
          <cell r="E352">
            <v>45827.719799999999</v>
          </cell>
          <cell r="F352">
            <v>45658</v>
          </cell>
          <cell r="G352" t="str">
            <v>D</v>
          </cell>
          <cell r="H352" t="str">
            <v>B</v>
          </cell>
          <cell r="I352" t="str">
            <v>B</v>
          </cell>
          <cell r="J352" t="str">
            <v>A</v>
          </cell>
          <cell r="K352" t="str">
            <v>D</v>
          </cell>
          <cell r="L352" t="str">
            <v>B</v>
          </cell>
          <cell r="M352" t="str">
            <v>A</v>
          </cell>
          <cell r="N352" t="str">
            <v>D</v>
          </cell>
          <cell r="O352" t="str">
            <v>B</v>
          </cell>
          <cell r="P352" t="str">
            <v>C</v>
          </cell>
          <cell r="Q352" t="str">
            <v>B</v>
          </cell>
          <cell r="R352" t="str">
            <v>A</v>
          </cell>
          <cell r="X352">
            <v>45.4</v>
          </cell>
        </row>
        <row r="353">
          <cell r="C353">
            <v>36962487</v>
          </cell>
          <cell r="D353" t="str">
            <v>ТОВ "КОМФІ ТРЕЙД"</v>
          </cell>
          <cell r="E353">
            <v>45904.595200000003</v>
          </cell>
          <cell r="F353">
            <v>45839</v>
          </cell>
          <cell r="G353" t="str">
            <v>C</v>
          </cell>
          <cell r="H353" t="str">
            <v>B</v>
          </cell>
          <cell r="I353" t="str">
            <v>B</v>
          </cell>
          <cell r="J353" t="str">
            <v>B</v>
          </cell>
          <cell r="K353" t="str">
            <v>D</v>
          </cell>
          <cell r="L353" t="str">
            <v>A</v>
          </cell>
          <cell r="M353" t="str">
            <v>A</v>
          </cell>
          <cell r="N353" t="str">
            <v>A</v>
          </cell>
          <cell r="O353" t="str">
            <v>A</v>
          </cell>
          <cell r="P353" t="str">
            <v>A</v>
          </cell>
          <cell r="Q353" t="str">
            <v>B</v>
          </cell>
          <cell r="R353" t="str">
            <v>A</v>
          </cell>
          <cell r="X353">
            <v>67.2</v>
          </cell>
        </row>
        <row r="354">
          <cell r="C354">
            <v>36962995</v>
          </cell>
          <cell r="D354" t="str">
            <v>ТОВ "АЛЬТЕР ГРУПП"</v>
          </cell>
          <cell r="E354">
            <v>45721.486499999999</v>
          </cell>
          <cell r="F354">
            <v>45658</v>
          </cell>
          <cell r="G354" t="str">
            <v>E</v>
          </cell>
          <cell r="H354" t="str">
            <v>B</v>
          </cell>
          <cell r="I354" t="str">
            <v>B</v>
          </cell>
          <cell r="J354" t="str">
            <v>C</v>
          </cell>
          <cell r="K354" t="str">
            <v>D</v>
          </cell>
          <cell r="L354" t="str">
            <v>B</v>
          </cell>
          <cell r="M354" t="str">
            <v>A</v>
          </cell>
          <cell r="N354" t="str">
            <v>B</v>
          </cell>
          <cell r="O354" t="str">
            <v>A</v>
          </cell>
          <cell r="P354" t="str">
            <v>C</v>
          </cell>
          <cell r="Q354" t="str">
            <v>C</v>
          </cell>
          <cell r="R354" t="str">
            <v>A</v>
          </cell>
          <cell r="X354">
            <v>51.9</v>
          </cell>
        </row>
        <row r="355">
          <cell r="C355">
            <v>37007132</v>
          </cell>
          <cell r="D355" t="str">
            <v>ТОВ "БК "МЕТКОМ ІНВЕСТ"</v>
          </cell>
          <cell r="E355">
            <v>45945.514600000002</v>
          </cell>
          <cell r="F355">
            <v>45839</v>
          </cell>
          <cell r="G355" t="str">
            <v>E</v>
          </cell>
          <cell r="H355" t="str">
            <v>B</v>
          </cell>
          <cell r="I355" t="str">
            <v>B</v>
          </cell>
          <cell r="J355" t="str">
            <v>A</v>
          </cell>
          <cell r="K355" t="str">
            <v>C</v>
          </cell>
          <cell r="L355" t="str">
            <v>A</v>
          </cell>
          <cell r="M355" t="str">
            <v>A</v>
          </cell>
          <cell r="N355" t="str">
            <v>B</v>
          </cell>
          <cell r="O355" t="str">
            <v>A</v>
          </cell>
          <cell r="P355" t="str">
            <v>C</v>
          </cell>
          <cell r="Q355" t="str">
            <v>B</v>
          </cell>
          <cell r="R355" t="str">
            <v>B</v>
          </cell>
          <cell r="X355">
            <v>52.1</v>
          </cell>
        </row>
        <row r="356">
          <cell r="C356">
            <v>37022936</v>
          </cell>
          <cell r="D356" t="str">
            <v>ТОВ "ЗАХІД АГРОБІЗНЕС"</v>
          </cell>
          <cell r="E356">
            <v>45965.534</v>
          </cell>
          <cell r="F356">
            <v>45839</v>
          </cell>
          <cell r="G356" t="str">
            <v>E</v>
          </cell>
          <cell r="H356" t="str">
            <v>B</v>
          </cell>
          <cell r="I356" t="str">
            <v>A</v>
          </cell>
          <cell r="J356" t="str">
            <v>B</v>
          </cell>
          <cell r="K356" t="str">
            <v>D</v>
          </cell>
          <cell r="L356" t="str">
            <v>A</v>
          </cell>
          <cell r="M356" t="str">
            <v>A</v>
          </cell>
          <cell r="N356" t="str">
            <v>A</v>
          </cell>
          <cell r="O356" t="str">
            <v>A</v>
          </cell>
          <cell r="P356" t="str">
            <v>C</v>
          </cell>
          <cell r="Q356" t="str">
            <v>B</v>
          </cell>
          <cell r="R356" t="str">
            <v>B</v>
          </cell>
          <cell r="X356">
            <v>51</v>
          </cell>
        </row>
        <row r="357">
          <cell r="C357">
            <v>37064892</v>
          </cell>
          <cell r="D357" t="str">
            <v>ТОВ "РУДОМАЙН"</v>
          </cell>
          <cell r="E357">
            <v>45887.605499999998</v>
          </cell>
          <cell r="F357">
            <v>45839</v>
          </cell>
          <cell r="G357" t="str">
            <v>E</v>
          </cell>
          <cell r="H357" t="str">
            <v>B</v>
          </cell>
          <cell r="I357" t="str">
            <v>C</v>
          </cell>
          <cell r="J357" t="str">
            <v>A</v>
          </cell>
          <cell r="K357" t="str">
            <v>E</v>
          </cell>
          <cell r="L357" t="str">
            <v>B</v>
          </cell>
          <cell r="M357" t="str">
            <v>A</v>
          </cell>
          <cell r="N357" t="str">
            <v>C</v>
          </cell>
          <cell r="O357" t="str">
            <v>A</v>
          </cell>
          <cell r="P357" t="str">
            <v>C</v>
          </cell>
          <cell r="Q357" t="str">
            <v>B</v>
          </cell>
          <cell r="R357" t="str">
            <v>A</v>
          </cell>
          <cell r="X357">
            <v>37.4</v>
          </cell>
        </row>
        <row r="358">
          <cell r="C358">
            <v>37083810</v>
          </cell>
          <cell r="D358" t="str">
            <v>ТОВ "ЕНСЕЛКО АГРО"</v>
          </cell>
          <cell r="E358">
            <v>45967.529900000001</v>
          </cell>
          <cell r="F358">
            <v>45839</v>
          </cell>
          <cell r="G358" t="str">
            <v>D</v>
          </cell>
          <cell r="H358" t="str">
            <v>B</v>
          </cell>
          <cell r="I358" t="str">
            <v>B</v>
          </cell>
          <cell r="J358" t="str">
            <v>A</v>
          </cell>
          <cell r="K358" t="str">
            <v>D</v>
          </cell>
          <cell r="L358" t="str">
            <v>A</v>
          </cell>
          <cell r="M358" t="str">
            <v>A</v>
          </cell>
          <cell r="N358" t="str">
            <v>A</v>
          </cell>
          <cell r="O358" t="str">
            <v>A</v>
          </cell>
          <cell r="P358" t="str">
            <v>B</v>
          </cell>
          <cell r="Q358" t="str">
            <v>B</v>
          </cell>
          <cell r="R358" t="str">
            <v>A</v>
          </cell>
          <cell r="X358">
            <v>61.600000000000009</v>
          </cell>
        </row>
        <row r="359">
          <cell r="C359">
            <v>37089864</v>
          </cell>
          <cell r="D359" t="str">
            <v>ТОВ "НОРМА ТРЕЙД ГРУП"</v>
          </cell>
          <cell r="E359">
            <v>45588</v>
          </cell>
          <cell r="F359">
            <v>45474</v>
          </cell>
          <cell r="G359" t="str">
            <v>E</v>
          </cell>
          <cell r="H359" t="str">
            <v>B</v>
          </cell>
          <cell r="I359" t="str">
            <v>B</v>
          </cell>
          <cell r="J359" t="str">
            <v>A</v>
          </cell>
          <cell r="K359" t="str">
            <v>C</v>
          </cell>
          <cell r="L359" t="str">
            <v>B</v>
          </cell>
          <cell r="M359" t="str">
            <v>A</v>
          </cell>
          <cell r="N359" t="str">
            <v>B</v>
          </cell>
          <cell r="O359" t="str">
            <v>A</v>
          </cell>
          <cell r="P359" t="str">
            <v>D</v>
          </cell>
          <cell r="Q359" t="str">
            <v>B</v>
          </cell>
          <cell r="R359" t="str">
            <v>A</v>
          </cell>
          <cell r="X359">
            <v>49.1</v>
          </cell>
        </row>
        <row r="360">
          <cell r="C360">
            <v>37112925</v>
          </cell>
          <cell r="D360" t="str">
            <v>ТОВ " АПФ "РОДНИК ПЛЮС"</v>
          </cell>
          <cell r="E360">
            <v>45840.463900000002</v>
          </cell>
          <cell r="F360">
            <v>45658</v>
          </cell>
          <cell r="G360" t="str">
            <v>C</v>
          </cell>
          <cell r="H360" t="str">
            <v>D</v>
          </cell>
          <cell r="I360" t="str">
            <v>D</v>
          </cell>
          <cell r="J360" t="str">
            <v>D</v>
          </cell>
          <cell r="K360" t="str">
            <v>C</v>
          </cell>
          <cell r="L360" t="str">
            <v>A</v>
          </cell>
          <cell r="M360" t="str">
            <v>B</v>
          </cell>
          <cell r="N360" t="str">
            <v>A</v>
          </cell>
          <cell r="O360" t="str">
            <v>A</v>
          </cell>
          <cell r="P360" t="str">
            <v>A</v>
          </cell>
          <cell r="Q360" t="str">
            <v>B</v>
          </cell>
          <cell r="R360" t="str">
            <v>A</v>
          </cell>
          <cell r="X360">
            <v>56.4</v>
          </cell>
        </row>
        <row r="361">
          <cell r="C361">
            <v>37117252</v>
          </cell>
          <cell r="D361" t="str">
            <v>ТОВ "ОН-ЛАЙН СЕРВІС"</v>
          </cell>
          <cell r="E361">
            <v>45769.696000000004</v>
          </cell>
          <cell r="F361">
            <v>45658</v>
          </cell>
          <cell r="G361" t="str">
            <v>C</v>
          </cell>
          <cell r="H361" t="str">
            <v>C</v>
          </cell>
          <cell r="I361" t="str">
            <v>A</v>
          </cell>
          <cell r="J361" t="str">
            <v>B</v>
          </cell>
          <cell r="K361" t="str">
            <v>D</v>
          </cell>
          <cell r="L361" t="str">
            <v>B</v>
          </cell>
          <cell r="M361" t="str">
            <v>A</v>
          </cell>
          <cell r="N361" t="str">
            <v>A</v>
          </cell>
          <cell r="O361" t="str">
            <v>A</v>
          </cell>
          <cell r="P361" t="str">
            <v>C</v>
          </cell>
          <cell r="Q361" t="str">
            <v>C</v>
          </cell>
          <cell r="R361" t="str">
            <v>C</v>
          </cell>
          <cell r="X361">
            <v>44.399999999999991</v>
          </cell>
        </row>
        <row r="362">
          <cell r="C362">
            <v>37120506</v>
          </cell>
          <cell r="D362" t="str">
            <v>ТОВ "КОФІТОН"</v>
          </cell>
          <cell r="E362">
            <v>45567.656900000002</v>
          </cell>
          <cell r="F362">
            <v>45474</v>
          </cell>
          <cell r="G362" t="str">
            <v>E</v>
          </cell>
          <cell r="H362" t="str">
            <v>C</v>
          </cell>
          <cell r="I362" t="str">
            <v>B</v>
          </cell>
          <cell r="J362" t="str">
            <v>B</v>
          </cell>
          <cell r="K362" t="str">
            <v>E</v>
          </cell>
          <cell r="L362" t="str">
            <v>B</v>
          </cell>
          <cell r="M362" t="str">
            <v>A</v>
          </cell>
          <cell r="N362" t="str">
            <v>B</v>
          </cell>
          <cell r="O362" t="str">
            <v>A</v>
          </cell>
          <cell r="P362" t="str">
            <v>C</v>
          </cell>
          <cell r="Q362" t="str">
            <v>B</v>
          </cell>
          <cell r="R362" t="str">
            <v>B</v>
          </cell>
          <cell r="X362">
            <v>44.5</v>
          </cell>
        </row>
        <row r="363">
          <cell r="C363">
            <v>37129163</v>
          </cell>
          <cell r="D363" t="str">
            <v>ТОВ "АЛЬБАКОР"</v>
          </cell>
          <cell r="E363">
            <v>45903.6728</v>
          </cell>
          <cell r="F363">
            <v>45839</v>
          </cell>
          <cell r="G363" t="str">
            <v>C</v>
          </cell>
          <cell r="H363" t="str">
            <v>C</v>
          </cell>
          <cell r="I363" t="str">
            <v>B</v>
          </cell>
          <cell r="J363" t="str">
            <v>D</v>
          </cell>
          <cell r="K363" t="str">
            <v>C</v>
          </cell>
          <cell r="L363" t="str">
            <v>A</v>
          </cell>
          <cell r="M363" t="str">
            <v>A</v>
          </cell>
          <cell r="N363" t="str">
            <v>A</v>
          </cell>
          <cell r="O363" t="str">
            <v>A</v>
          </cell>
          <cell r="P363" t="str">
            <v>C</v>
          </cell>
          <cell r="Q363" t="str">
            <v>C</v>
          </cell>
          <cell r="R363" t="str">
            <v>C</v>
          </cell>
          <cell r="X363">
            <v>61.599999999999994</v>
          </cell>
        </row>
        <row r="364">
          <cell r="C364">
            <v>37154100</v>
          </cell>
          <cell r="D364" t="str">
            <v>ТОВ "ШАРЛІС"</v>
          </cell>
          <cell r="E364">
            <v>45777.455000000002</v>
          </cell>
          <cell r="F364">
            <v>45658</v>
          </cell>
          <cell r="G364" t="str">
            <v>E</v>
          </cell>
          <cell r="H364" t="str">
            <v>B</v>
          </cell>
          <cell r="I364" t="str">
            <v>B</v>
          </cell>
          <cell r="J364" t="str">
            <v>C</v>
          </cell>
          <cell r="K364" t="str">
            <v>D</v>
          </cell>
          <cell r="L364" t="str">
            <v>B</v>
          </cell>
          <cell r="M364" t="str">
            <v>B</v>
          </cell>
          <cell r="N364" t="str">
            <v>A</v>
          </cell>
          <cell r="O364" t="str">
            <v>A</v>
          </cell>
          <cell r="P364" t="str">
            <v>C</v>
          </cell>
          <cell r="Q364" t="str">
            <v>C</v>
          </cell>
          <cell r="R364" t="str">
            <v>A</v>
          </cell>
          <cell r="X364">
            <v>48.8</v>
          </cell>
        </row>
        <row r="365">
          <cell r="C365">
            <v>37154268</v>
          </cell>
          <cell r="D365" t="str">
            <v>ТОВ "КРЕМТОРГ"</v>
          </cell>
          <cell r="E365">
            <v>45777.455000000002</v>
          </cell>
          <cell r="F365">
            <v>45658</v>
          </cell>
          <cell r="G365" t="str">
            <v>E</v>
          </cell>
          <cell r="H365" t="str">
            <v>B</v>
          </cell>
          <cell r="I365" t="str">
            <v>B</v>
          </cell>
          <cell r="J365" t="str">
            <v>C</v>
          </cell>
          <cell r="K365" t="str">
            <v>D</v>
          </cell>
          <cell r="L365" t="str">
            <v>B</v>
          </cell>
          <cell r="M365" t="str">
            <v>B</v>
          </cell>
          <cell r="N365" t="str">
            <v>A</v>
          </cell>
          <cell r="O365" t="str">
            <v>A</v>
          </cell>
          <cell r="P365" t="str">
            <v>C</v>
          </cell>
          <cell r="Q365" t="str">
            <v>C</v>
          </cell>
          <cell r="R365" t="str">
            <v>A</v>
          </cell>
          <cell r="X365">
            <v>48.8</v>
          </cell>
        </row>
        <row r="366">
          <cell r="C366">
            <v>37176517</v>
          </cell>
          <cell r="D366" t="str">
            <v>ТОВ "БОГДАН АВТО"</v>
          </cell>
          <cell r="E366">
            <v>45923.477500000001</v>
          </cell>
          <cell r="F366">
            <v>45839</v>
          </cell>
          <cell r="G366" t="str">
            <v>E</v>
          </cell>
          <cell r="H366" t="str">
            <v>B</v>
          </cell>
          <cell r="I366" t="str">
            <v>B</v>
          </cell>
          <cell r="J366" t="str">
            <v>A</v>
          </cell>
          <cell r="K366" t="str">
            <v>D</v>
          </cell>
          <cell r="L366" t="str">
            <v>A</v>
          </cell>
          <cell r="M366" t="str">
            <v>A</v>
          </cell>
          <cell r="N366" t="str">
            <v>B</v>
          </cell>
          <cell r="O366" t="str">
            <v>A</v>
          </cell>
          <cell r="P366" t="str">
            <v>A</v>
          </cell>
          <cell r="Q366" t="str">
            <v>B</v>
          </cell>
          <cell r="R366" t="str">
            <v>B</v>
          </cell>
          <cell r="X366">
            <v>53.5</v>
          </cell>
        </row>
        <row r="367">
          <cell r="C367">
            <v>37215550</v>
          </cell>
          <cell r="D367" t="str">
            <v>ТОВ "ВАЙТ"</v>
          </cell>
          <cell r="E367">
            <v>45574.7425</v>
          </cell>
          <cell r="F367">
            <v>45474</v>
          </cell>
          <cell r="G367" t="str">
            <v>E</v>
          </cell>
          <cell r="H367" t="str">
            <v>C</v>
          </cell>
          <cell r="I367" t="str">
            <v>B</v>
          </cell>
          <cell r="J367" t="str">
            <v>A</v>
          </cell>
          <cell r="K367" t="str">
            <v>D</v>
          </cell>
          <cell r="L367" t="str">
            <v>B</v>
          </cell>
          <cell r="M367" t="str">
            <v>B</v>
          </cell>
          <cell r="N367" t="str">
            <v>B</v>
          </cell>
          <cell r="O367" t="str">
            <v>B</v>
          </cell>
          <cell r="P367" t="str">
            <v>B</v>
          </cell>
          <cell r="Q367" t="str">
            <v>C</v>
          </cell>
          <cell r="R367" t="str">
            <v>A</v>
          </cell>
          <cell r="X367">
            <v>36.5</v>
          </cell>
        </row>
        <row r="368">
          <cell r="C368">
            <v>37232230</v>
          </cell>
          <cell r="D368" t="str">
            <v>ТОВ"РЕНДЖИ САРАТА"</v>
          </cell>
          <cell r="E368">
            <v>45784.464399999997</v>
          </cell>
          <cell r="F368">
            <v>45658</v>
          </cell>
          <cell r="G368" t="str">
            <v>E</v>
          </cell>
          <cell r="H368" t="str">
            <v>C</v>
          </cell>
          <cell r="I368" t="str">
            <v>B</v>
          </cell>
          <cell r="J368" t="str">
            <v>A</v>
          </cell>
          <cell r="K368" t="str">
            <v>D</v>
          </cell>
          <cell r="L368" t="str">
            <v>A</v>
          </cell>
          <cell r="M368" t="str">
            <v>A</v>
          </cell>
          <cell r="N368" t="str">
            <v>B</v>
          </cell>
          <cell r="O368" t="str">
            <v>A</v>
          </cell>
          <cell r="P368" t="str">
            <v>D</v>
          </cell>
          <cell r="Q368" t="str">
            <v>B</v>
          </cell>
          <cell r="R368" t="str">
            <v>C</v>
          </cell>
          <cell r="X368">
            <v>43.5</v>
          </cell>
        </row>
        <row r="369">
          <cell r="C369">
            <v>37248413</v>
          </cell>
          <cell r="D369" t="str">
            <v>ТОВ "ГІДРОПАУЕР"</v>
          </cell>
          <cell r="E369">
            <v>45884.612500000003</v>
          </cell>
          <cell r="F369">
            <v>45839</v>
          </cell>
          <cell r="G369" t="str">
            <v>E</v>
          </cell>
          <cell r="H369" t="str">
            <v>B</v>
          </cell>
          <cell r="I369" t="str">
            <v>B</v>
          </cell>
          <cell r="J369" t="str">
            <v>A</v>
          </cell>
          <cell r="K369" t="str">
            <v>D</v>
          </cell>
          <cell r="L369" t="str">
            <v>A</v>
          </cell>
          <cell r="M369" t="str">
            <v>A</v>
          </cell>
          <cell r="N369" t="str">
            <v>A</v>
          </cell>
          <cell r="O369" t="str">
            <v>A</v>
          </cell>
          <cell r="P369" t="str">
            <v>B</v>
          </cell>
          <cell r="Q369" t="str">
            <v>A</v>
          </cell>
          <cell r="R369" t="str">
            <v>B</v>
          </cell>
          <cell r="X369">
            <v>56.8</v>
          </cell>
        </row>
        <row r="370">
          <cell r="C370">
            <v>37263300</v>
          </cell>
          <cell r="D370" t="str">
            <v>ТОВ "ХОЛДИНГ СОЛЛІ ПЛЮС"</v>
          </cell>
          <cell r="E370">
            <v>45861.418100000003</v>
          </cell>
          <cell r="F370">
            <v>45748</v>
          </cell>
          <cell r="G370" t="str">
            <v>E</v>
          </cell>
          <cell r="H370" t="str">
            <v>B</v>
          </cell>
          <cell r="I370" t="str">
            <v>B</v>
          </cell>
          <cell r="J370" t="str">
            <v>C</v>
          </cell>
          <cell r="K370" t="str">
            <v>D</v>
          </cell>
          <cell r="L370" t="str">
            <v>A</v>
          </cell>
          <cell r="M370" t="str">
            <v>A</v>
          </cell>
          <cell r="N370" t="str">
            <v>B</v>
          </cell>
          <cell r="O370" t="str">
            <v>B</v>
          </cell>
          <cell r="P370" t="str">
            <v>C</v>
          </cell>
          <cell r="Q370" t="str">
            <v>B</v>
          </cell>
          <cell r="R370" t="str">
            <v>C</v>
          </cell>
          <cell r="X370">
            <v>48.900000000000006</v>
          </cell>
        </row>
        <row r="371">
          <cell r="C371">
            <v>37269061</v>
          </cell>
          <cell r="D371" t="str">
            <v>ТОВ "ДВЄ"</v>
          </cell>
          <cell r="E371">
            <v>45785.745999999999</v>
          </cell>
          <cell r="F371">
            <v>45658</v>
          </cell>
          <cell r="G371" t="str">
            <v>E</v>
          </cell>
          <cell r="H371" t="str">
            <v>A</v>
          </cell>
          <cell r="I371" t="str">
            <v>B</v>
          </cell>
          <cell r="J371" t="str">
            <v>A</v>
          </cell>
          <cell r="K371" t="str">
            <v>D</v>
          </cell>
          <cell r="L371" t="str">
            <v>A</v>
          </cell>
          <cell r="M371" t="str">
            <v>A</v>
          </cell>
          <cell r="N371" t="str">
            <v>B</v>
          </cell>
          <cell r="O371" t="str">
            <v>A</v>
          </cell>
          <cell r="P371" t="str">
            <v>C</v>
          </cell>
          <cell r="Q371" t="str">
            <v>B</v>
          </cell>
          <cell r="R371" t="str">
            <v>A</v>
          </cell>
          <cell r="X371">
            <v>55.300000000000004</v>
          </cell>
        </row>
        <row r="372">
          <cell r="C372">
            <v>37277313</v>
          </cell>
          <cell r="D372" t="str">
            <v>ФГ "Бережинське"</v>
          </cell>
          <cell r="E372">
            <v>45779.435700000002</v>
          </cell>
          <cell r="F372">
            <v>45658</v>
          </cell>
          <cell r="G372" t="str">
            <v>E</v>
          </cell>
          <cell r="H372" t="str">
            <v>B</v>
          </cell>
          <cell r="I372" t="str">
            <v>A</v>
          </cell>
          <cell r="J372" t="str">
            <v>B</v>
          </cell>
          <cell r="K372" t="str">
            <v>D</v>
          </cell>
          <cell r="L372" t="str">
            <v>A</v>
          </cell>
          <cell r="M372" t="str">
            <v>C</v>
          </cell>
          <cell r="N372" t="str">
            <v>B</v>
          </cell>
          <cell r="O372" t="str">
            <v>A</v>
          </cell>
          <cell r="P372" t="str">
            <v>B</v>
          </cell>
          <cell r="Q372" t="str">
            <v>B</v>
          </cell>
          <cell r="R372" t="str">
            <v>A</v>
          </cell>
          <cell r="X372">
            <v>45.5</v>
          </cell>
        </row>
        <row r="373">
          <cell r="C373">
            <v>37306286</v>
          </cell>
          <cell r="D373" t="str">
            <v>ТОВ "Елсис"</v>
          </cell>
          <cell r="E373">
            <v>45770.405200000001</v>
          </cell>
          <cell r="F373">
            <v>45658</v>
          </cell>
          <cell r="G373" t="str">
            <v>E</v>
          </cell>
          <cell r="H373" t="str">
            <v>B</v>
          </cell>
          <cell r="I373" t="str">
            <v>B</v>
          </cell>
          <cell r="J373" t="str">
            <v>A</v>
          </cell>
          <cell r="K373" t="str">
            <v>C</v>
          </cell>
          <cell r="L373" t="str">
            <v>B</v>
          </cell>
          <cell r="M373" t="str">
            <v>A</v>
          </cell>
          <cell r="N373" t="str">
            <v>A</v>
          </cell>
          <cell r="O373" t="str">
            <v>A</v>
          </cell>
          <cell r="P373" t="str">
            <v>B</v>
          </cell>
          <cell r="Q373" t="str">
            <v>B</v>
          </cell>
          <cell r="R373" t="str">
            <v>A</v>
          </cell>
          <cell r="X373">
            <v>56</v>
          </cell>
        </row>
        <row r="374">
          <cell r="C374">
            <v>37306789</v>
          </cell>
          <cell r="D374" t="str">
            <v>ТОВ "АВАКС ПРОФ"</v>
          </cell>
          <cell r="E374">
            <v>45600.678899999999</v>
          </cell>
          <cell r="F374">
            <v>45474</v>
          </cell>
          <cell r="G374" t="str">
            <v>E</v>
          </cell>
          <cell r="H374" t="str">
            <v>B</v>
          </cell>
          <cell r="I374" t="str">
            <v>B</v>
          </cell>
          <cell r="J374" t="str">
            <v>C</v>
          </cell>
          <cell r="K374" t="str">
            <v>E</v>
          </cell>
          <cell r="L374" t="str">
            <v>A</v>
          </cell>
          <cell r="M374" t="str">
            <v>C</v>
          </cell>
          <cell r="N374" t="str">
            <v>B</v>
          </cell>
          <cell r="O374" t="str">
            <v>A</v>
          </cell>
          <cell r="P374" t="str">
            <v>C</v>
          </cell>
          <cell r="Q374" t="str">
            <v>B</v>
          </cell>
          <cell r="R374" t="str">
            <v>A</v>
          </cell>
          <cell r="X374">
            <v>49.7</v>
          </cell>
        </row>
        <row r="375">
          <cell r="C375">
            <v>37317015</v>
          </cell>
          <cell r="D375" t="str">
            <v>ТОВ "ТМ "ТЕХНІКС ТРЕЙДИНГ"</v>
          </cell>
          <cell r="E375">
            <v>45618.6999</v>
          </cell>
          <cell r="F375">
            <v>45474</v>
          </cell>
          <cell r="G375" t="str">
            <v>E</v>
          </cell>
          <cell r="H375" t="str">
            <v>B</v>
          </cell>
          <cell r="I375" t="str">
            <v>B</v>
          </cell>
          <cell r="J375" t="str">
            <v>B</v>
          </cell>
          <cell r="K375" t="str">
            <v>C</v>
          </cell>
          <cell r="L375" t="str">
            <v>A</v>
          </cell>
          <cell r="M375" t="str">
            <v>B</v>
          </cell>
          <cell r="N375" t="str">
            <v>B</v>
          </cell>
          <cell r="O375" t="str">
            <v>A</v>
          </cell>
          <cell r="P375" t="str">
            <v>C</v>
          </cell>
          <cell r="Q375" t="str">
            <v>C</v>
          </cell>
          <cell r="R375" t="str">
            <v>A</v>
          </cell>
          <cell r="X375">
            <v>50.3</v>
          </cell>
        </row>
        <row r="376">
          <cell r="C376">
            <v>37324614</v>
          </cell>
          <cell r="D376" t="str">
            <v>ТОВ "АПК-АРТЕМ"</v>
          </cell>
          <cell r="E376">
            <v>45736.444600000003</v>
          </cell>
          <cell r="F376">
            <v>45566</v>
          </cell>
          <cell r="G376" t="str">
            <v>D</v>
          </cell>
          <cell r="H376" t="str">
            <v>C</v>
          </cell>
          <cell r="I376" t="str">
            <v>D</v>
          </cell>
          <cell r="J376" t="str">
            <v>D</v>
          </cell>
          <cell r="K376" t="str">
            <v>D</v>
          </cell>
          <cell r="L376" t="str">
            <v>A</v>
          </cell>
          <cell r="M376" t="str">
            <v>C</v>
          </cell>
          <cell r="N376" t="str">
            <v>B</v>
          </cell>
          <cell r="O376" t="str">
            <v>B</v>
          </cell>
          <cell r="P376" t="str">
            <v>C</v>
          </cell>
          <cell r="Q376" t="str">
            <v>C</v>
          </cell>
          <cell r="R376" t="str">
            <v>A</v>
          </cell>
          <cell r="X376">
            <v>43.099999999999987</v>
          </cell>
        </row>
        <row r="377">
          <cell r="C377">
            <v>37334135</v>
          </cell>
          <cell r="D377" t="str">
            <v>ТОВ "Сабріз"</v>
          </cell>
          <cell r="E377">
            <v>45845.756300000001</v>
          </cell>
          <cell r="F377">
            <v>45658</v>
          </cell>
          <cell r="G377" t="str">
            <v>E</v>
          </cell>
          <cell r="H377" t="str">
            <v>B</v>
          </cell>
          <cell r="I377" t="str">
            <v>B</v>
          </cell>
          <cell r="J377" t="str">
            <v>C</v>
          </cell>
          <cell r="K377" t="str">
            <v>D</v>
          </cell>
          <cell r="L377" t="str">
            <v>A</v>
          </cell>
          <cell r="M377" t="str">
            <v>A</v>
          </cell>
          <cell r="N377" t="str">
            <v>B</v>
          </cell>
          <cell r="O377" t="str">
            <v>A</v>
          </cell>
          <cell r="P377" t="str">
            <v>C</v>
          </cell>
          <cell r="Q377" t="str">
            <v>C</v>
          </cell>
          <cell r="R377" t="str">
            <v>A</v>
          </cell>
          <cell r="X377">
            <v>56.7</v>
          </cell>
        </row>
        <row r="378">
          <cell r="C378">
            <v>37351915</v>
          </cell>
          <cell r="D378" t="str">
            <v>ТОВ "АДІС-МОТОР"</v>
          </cell>
          <cell r="E378">
            <v>45916.505400000002</v>
          </cell>
          <cell r="F378">
            <v>45839</v>
          </cell>
          <cell r="G378" t="str">
            <v>D</v>
          </cell>
          <cell r="H378" t="str">
            <v>B</v>
          </cell>
          <cell r="I378" t="str">
            <v>A</v>
          </cell>
          <cell r="J378" t="str">
            <v>B</v>
          </cell>
          <cell r="K378" t="str">
            <v>B</v>
          </cell>
          <cell r="L378" t="str">
            <v>B</v>
          </cell>
          <cell r="M378" t="str">
            <v>A</v>
          </cell>
          <cell r="N378" t="str">
            <v>A</v>
          </cell>
          <cell r="O378" t="str">
            <v>A</v>
          </cell>
          <cell r="P378" t="str">
            <v>B</v>
          </cell>
          <cell r="Q378" t="str">
            <v>C</v>
          </cell>
          <cell r="R378" t="str">
            <v>C</v>
          </cell>
          <cell r="X378">
            <v>51</v>
          </cell>
        </row>
        <row r="379">
          <cell r="C379">
            <v>37361661</v>
          </cell>
          <cell r="D379" t="str">
            <v>ТОВ""ПЕТРОЛ ЛОГІСТИК"</v>
          </cell>
          <cell r="E379">
            <v>45748.402099999999</v>
          </cell>
          <cell r="F379">
            <v>45566</v>
          </cell>
          <cell r="G379" t="str">
            <v>E</v>
          </cell>
          <cell r="H379" t="str">
            <v>C</v>
          </cell>
          <cell r="I379" t="str">
            <v>B</v>
          </cell>
          <cell r="J379" t="str">
            <v>C</v>
          </cell>
          <cell r="K379" t="str">
            <v>D</v>
          </cell>
          <cell r="L379" t="str">
            <v>B</v>
          </cell>
          <cell r="M379" t="str">
            <v>A</v>
          </cell>
          <cell r="N379" t="str">
            <v>B</v>
          </cell>
          <cell r="O379" t="str">
            <v>A</v>
          </cell>
          <cell r="P379" t="str">
            <v>C</v>
          </cell>
          <cell r="Q379" t="str">
            <v>C</v>
          </cell>
          <cell r="R379" t="str">
            <v>C</v>
          </cell>
          <cell r="X379">
            <v>44.3</v>
          </cell>
        </row>
        <row r="380">
          <cell r="C380">
            <v>37400380</v>
          </cell>
          <cell r="D380" t="str">
            <v>ТОВ "МАКЛАУТ РЕГІОН"</v>
          </cell>
          <cell r="E380">
            <v>45796.627399999998</v>
          </cell>
          <cell r="F380">
            <v>45658</v>
          </cell>
          <cell r="G380" t="str">
            <v>E</v>
          </cell>
          <cell r="H380" t="str">
            <v>B</v>
          </cell>
          <cell r="I380" t="str">
            <v>B</v>
          </cell>
          <cell r="J380" t="str">
            <v>A</v>
          </cell>
          <cell r="K380" t="str">
            <v>D</v>
          </cell>
          <cell r="L380" t="str">
            <v>A</v>
          </cell>
          <cell r="M380" t="str">
            <v>A</v>
          </cell>
          <cell r="N380" t="str">
            <v>B</v>
          </cell>
          <cell r="O380" t="str">
            <v>A</v>
          </cell>
          <cell r="P380" t="str">
            <v>C</v>
          </cell>
          <cell r="Q380" t="str">
            <v>B</v>
          </cell>
          <cell r="R380" t="str">
            <v>A</v>
          </cell>
          <cell r="X380">
            <v>52.9</v>
          </cell>
        </row>
        <row r="381">
          <cell r="C381">
            <v>37409179</v>
          </cell>
          <cell r="D381" t="str">
            <v>ТОВ "САМСОН-ІФ"</v>
          </cell>
          <cell r="E381">
            <v>45898.599199999997</v>
          </cell>
          <cell r="F381">
            <v>45839</v>
          </cell>
          <cell r="G381" t="str">
            <v>E</v>
          </cell>
          <cell r="H381" t="str">
            <v>B</v>
          </cell>
          <cell r="I381" t="str">
            <v>C</v>
          </cell>
          <cell r="J381" t="str">
            <v>A</v>
          </cell>
          <cell r="K381" t="str">
            <v>D</v>
          </cell>
          <cell r="L381" t="str">
            <v>A</v>
          </cell>
          <cell r="M381" t="str">
            <v>A</v>
          </cell>
          <cell r="N381" t="str">
            <v>B</v>
          </cell>
          <cell r="O381" t="str">
            <v>A</v>
          </cell>
          <cell r="P381" t="str">
            <v>C</v>
          </cell>
          <cell r="Q381" t="str">
            <v>B</v>
          </cell>
          <cell r="R381" t="str">
            <v>C</v>
          </cell>
          <cell r="X381">
            <v>38.9</v>
          </cell>
        </row>
        <row r="382">
          <cell r="C382">
            <v>37412768</v>
          </cell>
          <cell r="D382" t="str">
            <v>ТОВ "МЕТАЛ ХОЛДІНГ ТРЕЙД"</v>
          </cell>
          <cell r="E382">
            <v>45748.4539</v>
          </cell>
          <cell r="F382">
            <v>45658</v>
          </cell>
          <cell r="G382" t="str">
            <v>E</v>
          </cell>
          <cell r="H382" t="str">
            <v>B</v>
          </cell>
          <cell r="I382" t="str">
            <v>B</v>
          </cell>
          <cell r="J382" t="str">
            <v>C</v>
          </cell>
          <cell r="K382" t="str">
            <v>D</v>
          </cell>
          <cell r="L382" t="str">
            <v>A</v>
          </cell>
          <cell r="M382" t="str">
            <v>A</v>
          </cell>
          <cell r="N382" t="str">
            <v>A</v>
          </cell>
          <cell r="O382" t="str">
            <v>A</v>
          </cell>
          <cell r="P382" t="str">
            <v>C</v>
          </cell>
          <cell r="Q382" t="str">
            <v>B</v>
          </cell>
          <cell r="R382" t="str">
            <v>A</v>
          </cell>
          <cell r="X382">
            <v>61.800000000000004</v>
          </cell>
        </row>
        <row r="383">
          <cell r="C383">
            <v>37415397</v>
          </cell>
          <cell r="D383" t="str">
            <v>ТОВ "АГРОЛАЙФ ЦЕНТР"</v>
          </cell>
          <cell r="E383">
            <v>45705.498099999997</v>
          </cell>
          <cell r="F383">
            <v>45566</v>
          </cell>
          <cell r="G383" t="str">
            <v>E</v>
          </cell>
          <cell r="H383" t="str">
            <v>C</v>
          </cell>
          <cell r="I383" t="str">
            <v>B</v>
          </cell>
          <cell r="J383" t="str">
            <v>C</v>
          </cell>
          <cell r="K383" t="str">
            <v>D</v>
          </cell>
          <cell r="L383" t="str">
            <v>B</v>
          </cell>
          <cell r="M383" t="str">
            <v>B</v>
          </cell>
          <cell r="N383" t="str">
            <v>C</v>
          </cell>
          <cell r="O383" t="str">
            <v>A</v>
          </cell>
          <cell r="P383" t="str">
            <v>C</v>
          </cell>
          <cell r="Q383" t="str">
            <v>C</v>
          </cell>
          <cell r="R383" t="str">
            <v>C</v>
          </cell>
          <cell r="X383">
            <v>36.399999999999991</v>
          </cell>
        </row>
        <row r="384">
          <cell r="C384">
            <v>37452046</v>
          </cell>
          <cell r="D384" t="str">
            <v>ТОВ "ПЛАЦ"</v>
          </cell>
          <cell r="E384">
            <v>45698.733</v>
          </cell>
          <cell r="F384">
            <v>45566</v>
          </cell>
          <cell r="G384" t="str">
            <v>E</v>
          </cell>
          <cell r="H384" t="str">
            <v>C</v>
          </cell>
          <cell r="I384" t="str">
            <v>B</v>
          </cell>
          <cell r="J384" t="str">
            <v>B</v>
          </cell>
          <cell r="K384" t="str">
            <v>D</v>
          </cell>
          <cell r="L384" t="str">
            <v>B</v>
          </cell>
          <cell r="M384" t="str">
            <v>A</v>
          </cell>
          <cell r="N384" t="str">
            <v>B</v>
          </cell>
          <cell r="O384" t="str">
            <v>A</v>
          </cell>
          <cell r="P384" t="str">
            <v>C</v>
          </cell>
          <cell r="Q384" t="str">
            <v>C</v>
          </cell>
          <cell r="R384" t="str">
            <v>B</v>
          </cell>
          <cell r="X384">
            <v>43.899999999999991</v>
          </cell>
        </row>
        <row r="385">
          <cell r="C385">
            <v>37474578</v>
          </cell>
          <cell r="D385" t="str">
            <v>ТОВ "УКРЄВРОМАЗ"</v>
          </cell>
          <cell r="E385">
            <v>45807.9761</v>
          </cell>
          <cell r="F385">
            <v>45748</v>
          </cell>
          <cell r="G385" t="str">
            <v>E</v>
          </cell>
          <cell r="H385" t="str">
            <v>C</v>
          </cell>
          <cell r="I385" t="str">
            <v>A</v>
          </cell>
          <cell r="J385" t="str">
            <v>A</v>
          </cell>
          <cell r="K385" t="str">
            <v>D</v>
          </cell>
          <cell r="L385" t="str">
            <v>A</v>
          </cell>
          <cell r="M385" t="str">
            <v>A</v>
          </cell>
          <cell r="N385" t="str">
            <v>B</v>
          </cell>
          <cell r="O385" t="str">
            <v>A</v>
          </cell>
          <cell r="P385" t="str">
            <v>B</v>
          </cell>
          <cell r="Q385" t="str">
            <v>B</v>
          </cell>
          <cell r="R385" t="str">
            <v>A</v>
          </cell>
          <cell r="X385">
            <v>48.7</v>
          </cell>
        </row>
        <row r="386">
          <cell r="C386">
            <v>37496722</v>
          </cell>
          <cell r="D386" t="str">
            <v>ТОВ "РЕФОРМ"</v>
          </cell>
          <cell r="E386">
            <v>45814.545400000003</v>
          </cell>
          <cell r="F386">
            <v>45748</v>
          </cell>
          <cell r="G386" t="str">
            <v>E</v>
          </cell>
          <cell r="H386" t="str">
            <v>B</v>
          </cell>
          <cell r="I386" t="str">
            <v>B</v>
          </cell>
          <cell r="J386" t="str">
            <v>B</v>
          </cell>
          <cell r="K386" t="str">
            <v>A</v>
          </cell>
          <cell r="L386" t="str">
            <v>A</v>
          </cell>
          <cell r="M386" t="str">
            <v>A</v>
          </cell>
          <cell r="N386" t="str">
            <v>A</v>
          </cell>
          <cell r="O386" t="str">
            <v>A</v>
          </cell>
          <cell r="P386" t="str">
            <v>C</v>
          </cell>
          <cell r="Q386" t="str">
            <v>B</v>
          </cell>
          <cell r="R386" t="str">
            <v>A</v>
          </cell>
          <cell r="X386">
            <v>63.800000000000004</v>
          </cell>
        </row>
        <row r="387">
          <cell r="C387">
            <v>37518274</v>
          </cell>
          <cell r="D387" t="str">
            <v>ТОВ "ЛЕГІОН АВТО"</v>
          </cell>
          <cell r="E387">
            <v>45931</v>
          </cell>
          <cell r="F387">
            <v>45839</v>
          </cell>
          <cell r="G387" t="str">
            <v>E</v>
          </cell>
          <cell r="H387" t="str">
            <v>C</v>
          </cell>
          <cell r="I387" t="str">
            <v>B</v>
          </cell>
          <cell r="J387" t="str">
            <v>A</v>
          </cell>
          <cell r="K387" t="str">
            <v>F</v>
          </cell>
          <cell r="L387" t="str">
            <v>B</v>
          </cell>
          <cell r="M387" t="str">
            <v>A</v>
          </cell>
          <cell r="N387" t="str">
            <v>B</v>
          </cell>
          <cell r="O387" t="str">
            <v>A</v>
          </cell>
          <cell r="P387" t="str">
            <v>C</v>
          </cell>
          <cell r="Q387" t="str">
            <v>B</v>
          </cell>
          <cell r="R387" t="str">
            <v>A</v>
          </cell>
          <cell r="X387">
            <v>43.3</v>
          </cell>
        </row>
        <row r="388">
          <cell r="C388">
            <v>37519304</v>
          </cell>
          <cell r="D388" t="str">
            <v>ТОВ "РІФАРМ"</v>
          </cell>
          <cell r="E388">
            <v>45611.617700000003</v>
          </cell>
          <cell r="F388">
            <v>45566</v>
          </cell>
          <cell r="G388" t="str">
            <v>E</v>
          </cell>
          <cell r="H388" t="str">
            <v>B</v>
          </cell>
          <cell r="I388" t="str">
            <v>B</v>
          </cell>
          <cell r="J388" t="str">
            <v>D</v>
          </cell>
          <cell r="K388" t="str">
            <v>D</v>
          </cell>
          <cell r="L388" t="str">
            <v>A</v>
          </cell>
          <cell r="M388" t="str">
            <v>A</v>
          </cell>
          <cell r="N388" t="str">
            <v>B</v>
          </cell>
          <cell r="O388" t="str">
            <v>A</v>
          </cell>
          <cell r="P388" t="str">
            <v>C</v>
          </cell>
          <cell r="Q388" t="str">
            <v>C</v>
          </cell>
          <cell r="R388" t="str">
            <v>A</v>
          </cell>
          <cell r="X388">
            <v>59.099999999999994</v>
          </cell>
        </row>
        <row r="389">
          <cell r="C389">
            <v>37528214</v>
          </cell>
          <cell r="D389" t="str">
            <v>ТОВ "СОЛЛІ ПЛЮС.КРЕМЕНЧУК"</v>
          </cell>
          <cell r="E389">
            <v>45861.418100000003</v>
          </cell>
          <cell r="F389">
            <v>45748</v>
          </cell>
          <cell r="G389" t="str">
            <v>E</v>
          </cell>
          <cell r="H389" t="str">
            <v>B</v>
          </cell>
          <cell r="I389" t="str">
            <v>B</v>
          </cell>
          <cell r="J389" t="str">
            <v>C</v>
          </cell>
          <cell r="K389" t="str">
            <v>D</v>
          </cell>
          <cell r="L389" t="str">
            <v>A</v>
          </cell>
          <cell r="M389" t="str">
            <v>A</v>
          </cell>
          <cell r="N389" t="str">
            <v>B</v>
          </cell>
          <cell r="O389" t="str">
            <v>B</v>
          </cell>
          <cell r="P389" t="str">
            <v>C</v>
          </cell>
          <cell r="Q389" t="str">
            <v>B</v>
          </cell>
          <cell r="R389" t="str">
            <v>C</v>
          </cell>
          <cell r="X389">
            <v>48.900000000000006</v>
          </cell>
        </row>
        <row r="390">
          <cell r="C390">
            <v>37530883</v>
          </cell>
          <cell r="D390" t="str">
            <v>ТОВ "РАЙЗ-АГРО"</v>
          </cell>
          <cell r="E390">
            <v>45975.521800000002</v>
          </cell>
          <cell r="F390">
            <v>45658</v>
          </cell>
          <cell r="G390" t="str">
            <v>E</v>
          </cell>
          <cell r="H390" t="str">
            <v>B</v>
          </cell>
          <cell r="I390" t="str">
            <v>B</v>
          </cell>
          <cell r="J390" t="str">
            <v>B</v>
          </cell>
          <cell r="K390" t="str">
            <v>D</v>
          </cell>
          <cell r="L390" t="str">
            <v>A</v>
          </cell>
          <cell r="M390" t="str">
            <v>B</v>
          </cell>
          <cell r="N390" t="str">
            <v>A</v>
          </cell>
          <cell r="O390" t="str">
            <v>B</v>
          </cell>
          <cell r="P390" t="str">
            <v>C</v>
          </cell>
          <cell r="Q390" t="str">
            <v>C</v>
          </cell>
          <cell r="R390" t="str">
            <v>B</v>
          </cell>
          <cell r="X390">
            <v>43.599999999999994</v>
          </cell>
        </row>
        <row r="391">
          <cell r="C391">
            <v>37546186</v>
          </cell>
          <cell r="D391" t="str">
            <v>ТОВ "ХАРВІСТ ЕСЕТС"</v>
          </cell>
          <cell r="E391">
            <v>45972</v>
          </cell>
          <cell r="F391">
            <v>45839</v>
          </cell>
          <cell r="G391" t="str">
            <v>E</v>
          </cell>
          <cell r="H391" t="str">
            <v>D</v>
          </cell>
          <cell r="I391" t="str">
            <v>B</v>
          </cell>
          <cell r="J391" t="str">
            <v>D</v>
          </cell>
          <cell r="K391" t="str">
            <v>C</v>
          </cell>
          <cell r="L391" t="str">
            <v>A</v>
          </cell>
          <cell r="M391" t="str">
            <v>C</v>
          </cell>
          <cell r="N391" t="str">
            <v>A</v>
          </cell>
          <cell r="O391" t="str">
            <v>A</v>
          </cell>
          <cell r="P391" t="str">
            <v>C</v>
          </cell>
          <cell r="Q391" t="str">
            <v>B</v>
          </cell>
          <cell r="R391" t="str">
            <v>C</v>
          </cell>
          <cell r="S391"/>
          <cell r="T391"/>
          <cell r="U391"/>
          <cell r="V391"/>
          <cell r="W391"/>
          <cell r="X391">
            <v>47.8</v>
          </cell>
        </row>
        <row r="392">
          <cell r="C392">
            <v>37557973</v>
          </cell>
          <cell r="D392" t="str">
            <v>ТОВ "ЛУКСОР УКРАЇНА"</v>
          </cell>
          <cell r="E392">
            <v>45741.687899999997</v>
          </cell>
          <cell r="F392">
            <v>45658</v>
          </cell>
          <cell r="G392" t="str">
            <v>E</v>
          </cell>
          <cell r="H392" t="str">
            <v>B</v>
          </cell>
          <cell r="I392" t="str">
            <v>A</v>
          </cell>
          <cell r="J392" t="str">
            <v>A</v>
          </cell>
          <cell r="K392" t="str">
            <v>C</v>
          </cell>
          <cell r="L392" t="str">
            <v>B</v>
          </cell>
          <cell r="M392" t="str">
            <v>A</v>
          </cell>
          <cell r="N392" t="str">
            <v>B</v>
          </cell>
          <cell r="O392" t="str">
            <v>A</v>
          </cell>
          <cell r="P392" t="str">
            <v>C</v>
          </cell>
          <cell r="Q392" t="str">
            <v>B</v>
          </cell>
          <cell r="R392" t="str">
            <v>A</v>
          </cell>
          <cell r="X392">
            <v>46.5</v>
          </cell>
        </row>
        <row r="393">
          <cell r="C393">
            <v>37581147</v>
          </cell>
          <cell r="D393" t="str">
            <v>ТОВ "Снятинська Птахофабрика"</v>
          </cell>
          <cell r="E393">
            <v>45840.463900000002</v>
          </cell>
          <cell r="F393">
            <v>45658</v>
          </cell>
          <cell r="G393" t="str">
            <v>C</v>
          </cell>
          <cell r="H393" t="str">
            <v>D</v>
          </cell>
          <cell r="I393" t="str">
            <v>D</v>
          </cell>
          <cell r="J393" t="str">
            <v>D</v>
          </cell>
          <cell r="K393" t="str">
            <v>C</v>
          </cell>
          <cell r="L393" t="str">
            <v>A</v>
          </cell>
          <cell r="M393" t="str">
            <v>B</v>
          </cell>
          <cell r="N393" t="str">
            <v>A</v>
          </cell>
          <cell r="O393" t="str">
            <v>A</v>
          </cell>
          <cell r="P393" t="str">
            <v>A</v>
          </cell>
          <cell r="Q393" t="str">
            <v>B</v>
          </cell>
          <cell r="R393" t="str">
            <v>A</v>
          </cell>
          <cell r="X393">
            <v>56.4</v>
          </cell>
        </row>
        <row r="394">
          <cell r="C394">
            <v>37616771</v>
          </cell>
          <cell r="D394" t="str">
            <v>ТОВ "АЛЬФА-ВЕТ"</v>
          </cell>
          <cell r="E394">
            <v>45987.390399999997</v>
          </cell>
          <cell r="F394">
            <v>45931</v>
          </cell>
          <cell r="G394" t="str">
            <v>E</v>
          </cell>
          <cell r="H394" t="str">
            <v>B</v>
          </cell>
          <cell r="I394" t="str">
            <v>B</v>
          </cell>
          <cell r="J394" t="str">
            <v>C</v>
          </cell>
          <cell r="K394" t="str">
            <v>D</v>
          </cell>
          <cell r="L394" t="str">
            <v>A</v>
          </cell>
          <cell r="M394" t="str">
            <v>A</v>
          </cell>
          <cell r="N394" t="str">
            <v>B</v>
          </cell>
          <cell r="O394" t="str">
            <v>A</v>
          </cell>
          <cell r="P394" t="str">
            <v>C</v>
          </cell>
          <cell r="Q394" t="str">
            <v>C</v>
          </cell>
          <cell r="R394" t="str">
            <v>A</v>
          </cell>
          <cell r="X394">
            <v>56.7</v>
          </cell>
        </row>
        <row r="395">
          <cell r="C395">
            <v>37627469</v>
          </cell>
          <cell r="D395" t="str">
            <v>КП "ККП М. ВАСИЛЬКОВА"</v>
          </cell>
          <cell r="E395">
            <v>45604</v>
          </cell>
          <cell r="F395">
            <v>45474</v>
          </cell>
          <cell r="G395" t="str">
            <v>E</v>
          </cell>
          <cell r="H395" t="str">
            <v>A</v>
          </cell>
          <cell r="I395" t="str">
            <v>C</v>
          </cell>
          <cell r="J395" t="str">
            <v>A</v>
          </cell>
          <cell r="K395" t="str">
            <v>D</v>
          </cell>
          <cell r="L395" t="str">
            <v>A</v>
          </cell>
          <cell r="M395" t="str">
            <v>A</v>
          </cell>
          <cell r="N395" t="str">
            <v>B</v>
          </cell>
          <cell r="O395" t="str">
            <v>A</v>
          </cell>
          <cell r="P395" t="str">
            <v>C</v>
          </cell>
          <cell r="Q395" t="str">
            <v>B</v>
          </cell>
          <cell r="R395" t="str">
            <v>A</v>
          </cell>
          <cell r="X395">
            <v>47.3</v>
          </cell>
        </row>
        <row r="396">
          <cell r="C396">
            <v>37729138</v>
          </cell>
          <cell r="D396" t="str">
            <v>ТОВ "ІБЕРІС ЛТД"</v>
          </cell>
          <cell r="E396">
            <v>45643.584199999998</v>
          </cell>
          <cell r="F396">
            <v>45566</v>
          </cell>
          <cell r="G396" t="str">
            <v>E</v>
          </cell>
          <cell r="H396" t="str">
            <v>B</v>
          </cell>
          <cell r="I396" t="str">
            <v>A</v>
          </cell>
          <cell r="J396" t="str">
            <v>B</v>
          </cell>
          <cell r="K396" t="str">
            <v>E</v>
          </cell>
          <cell r="L396" t="str">
            <v>B</v>
          </cell>
          <cell r="M396" t="str">
            <v>A</v>
          </cell>
          <cell r="N396" t="str">
            <v>A</v>
          </cell>
          <cell r="O396" t="str">
            <v>A</v>
          </cell>
          <cell r="P396" t="str">
            <v>C</v>
          </cell>
          <cell r="Q396" t="str">
            <v>B</v>
          </cell>
          <cell r="R396" t="str">
            <v>A</v>
          </cell>
          <cell r="X396">
            <v>48.6</v>
          </cell>
        </row>
        <row r="397">
          <cell r="C397">
            <v>37782542</v>
          </cell>
          <cell r="D397" t="str">
            <v>ТОВ "ТД "МАГНУС ТРЕЙД"</v>
          </cell>
          <cell r="E397">
            <v>45674.584699999999</v>
          </cell>
          <cell r="F397">
            <v>45566</v>
          </cell>
          <cell r="G397" t="str">
            <v>D</v>
          </cell>
          <cell r="H397" t="str">
            <v>B</v>
          </cell>
          <cell r="I397" t="str">
            <v>B</v>
          </cell>
          <cell r="J397" t="str">
            <v>A</v>
          </cell>
          <cell r="K397" t="str">
            <v>D</v>
          </cell>
          <cell r="L397" t="str">
            <v>B</v>
          </cell>
          <cell r="M397" t="str">
            <v>A</v>
          </cell>
          <cell r="N397" t="str">
            <v>B</v>
          </cell>
          <cell r="O397" t="str">
            <v>B</v>
          </cell>
          <cell r="P397" t="str">
            <v>C</v>
          </cell>
          <cell r="Q397" t="str">
            <v>B</v>
          </cell>
          <cell r="R397" t="str">
            <v>C</v>
          </cell>
          <cell r="X397">
            <v>42.1</v>
          </cell>
        </row>
        <row r="398">
          <cell r="C398">
            <v>37803813</v>
          </cell>
          <cell r="D398" t="str">
            <v>ТОВ "АГРО ПІВДЕНЬ - 1"</v>
          </cell>
          <cell r="E398">
            <v>45616.545599999998</v>
          </cell>
          <cell r="F398">
            <v>45566</v>
          </cell>
          <cell r="G398" t="str">
            <v>E</v>
          </cell>
          <cell r="H398" t="str">
            <v>B</v>
          </cell>
          <cell r="I398" t="str">
            <v>B</v>
          </cell>
          <cell r="J398" t="str">
            <v>D</v>
          </cell>
          <cell r="K398" t="str">
            <v>D</v>
          </cell>
          <cell r="L398" t="str">
            <v>B</v>
          </cell>
          <cell r="M398" t="str">
            <v>B</v>
          </cell>
          <cell r="N398" t="str">
            <v>B</v>
          </cell>
          <cell r="O398" t="str">
            <v>A</v>
          </cell>
          <cell r="P398" t="str">
            <v>C</v>
          </cell>
          <cell r="Q398" t="str">
            <v>B</v>
          </cell>
          <cell r="R398" t="str">
            <v>B</v>
          </cell>
          <cell r="X398">
            <v>46.1</v>
          </cell>
        </row>
        <row r="399">
          <cell r="C399">
            <v>37845738</v>
          </cell>
          <cell r="D399" t="str">
            <v>ТОВ "СИГМА-УНІВЕРСАЛ"</v>
          </cell>
          <cell r="E399">
            <v>45693.443700000003</v>
          </cell>
          <cell r="F399">
            <v>45474</v>
          </cell>
          <cell r="G399" t="str">
            <v>E</v>
          </cell>
          <cell r="H399" t="str">
            <v>B</v>
          </cell>
          <cell r="I399" t="str">
            <v>C</v>
          </cell>
          <cell r="J399" t="str">
            <v>C</v>
          </cell>
          <cell r="K399" t="str">
            <v>D</v>
          </cell>
          <cell r="L399" t="str">
            <v>A</v>
          </cell>
          <cell r="M399" t="str">
            <v>A</v>
          </cell>
          <cell r="N399" t="str">
            <v>B</v>
          </cell>
          <cell r="O399" t="str">
            <v>A</v>
          </cell>
          <cell r="P399" t="str">
            <v>B</v>
          </cell>
          <cell r="Q399" t="str">
            <v>B</v>
          </cell>
          <cell r="R399" t="str">
            <v>C</v>
          </cell>
          <cell r="X399">
            <v>46.300000000000004</v>
          </cell>
        </row>
        <row r="400">
          <cell r="C400">
            <v>37863008</v>
          </cell>
          <cell r="D400" t="str">
            <v>ТОВ "ПОЛТРАНСОІЛ"</v>
          </cell>
          <cell r="E400">
            <v>45744.529300000002</v>
          </cell>
          <cell r="F400">
            <v>45658</v>
          </cell>
          <cell r="G400" t="str">
            <v>E</v>
          </cell>
          <cell r="H400" t="str">
            <v>B</v>
          </cell>
          <cell r="I400" t="str">
            <v>B</v>
          </cell>
          <cell r="J400" t="str">
            <v>C</v>
          </cell>
          <cell r="K400" t="str">
            <v>D</v>
          </cell>
          <cell r="L400" t="str">
            <v>B</v>
          </cell>
          <cell r="M400" t="str">
            <v>D</v>
          </cell>
          <cell r="N400" t="str">
            <v>B</v>
          </cell>
          <cell r="O400" t="str">
            <v>B</v>
          </cell>
          <cell r="P400" t="str">
            <v>C</v>
          </cell>
          <cell r="Q400" t="str">
            <v>C</v>
          </cell>
          <cell r="R400" t="str">
            <v>A</v>
          </cell>
          <cell r="X400">
            <v>40.299999999999997</v>
          </cell>
        </row>
        <row r="401">
          <cell r="C401">
            <v>37863825</v>
          </cell>
          <cell r="D401" t="str">
            <v>ТОВ "МОДУЛЬ - УКРАЇНА"</v>
          </cell>
          <cell r="E401">
            <v>45679.428999999996</v>
          </cell>
          <cell r="F401">
            <v>45566</v>
          </cell>
          <cell r="G401" t="str">
            <v>D</v>
          </cell>
          <cell r="H401" t="str">
            <v>C</v>
          </cell>
          <cell r="I401" t="str">
            <v>D</v>
          </cell>
          <cell r="J401" t="str">
            <v>B</v>
          </cell>
          <cell r="K401" t="str">
            <v>D</v>
          </cell>
          <cell r="L401" t="str">
            <v>B</v>
          </cell>
          <cell r="M401" t="str">
            <v>B</v>
          </cell>
          <cell r="N401" t="str">
            <v>C</v>
          </cell>
          <cell r="O401" t="str">
            <v>A</v>
          </cell>
          <cell r="P401" t="str">
            <v>B</v>
          </cell>
          <cell r="Q401" t="str">
            <v>B</v>
          </cell>
          <cell r="R401" t="str">
            <v>A</v>
          </cell>
          <cell r="X401">
            <v>40</v>
          </cell>
        </row>
        <row r="402">
          <cell r="C402">
            <v>37875888</v>
          </cell>
          <cell r="D402" t="str">
            <v>ТОВ "АГРОЗАХИСТ ХАРКІВ"</v>
          </cell>
          <cell r="E402">
            <v>45685.519800000002</v>
          </cell>
          <cell r="F402">
            <v>45566</v>
          </cell>
          <cell r="G402" t="str">
            <v>E</v>
          </cell>
          <cell r="H402" t="str">
            <v>A</v>
          </cell>
          <cell r="I402" t="str">
            <v>B</v>
          </cell>
          <cell r="J402" t="str">
            <v>C</v>
          </cell>
          <cell r="K402" t="str">
            <v>D</v>
          </cell>
          <cell r="L402" t="str">
            <v>B</v>
          </cell>
          <cell r="M402" t="str">
            <v>B</v>
          </cell>
          <cell r="N402" t="str">
            <v>C</v>
          </cell>
          <cell r="O402" t="str">
            <v>A</v>
          </cell>
          <cell r="P402" t="str">
            <v>C</v>
          </cell>
          <cell r="Q402" t="str">
            <v>C</v>
          </cell>
          <cell r="R402" t="str">
            <v>A</v>
          </cell>
          <cell r="X402">
            <v>46.399999999999991</v>
          </cell>
        </row>
        <row r="403">
          <cell r="C403">
            <v>37879602</v>
          </cell>
          <cell r="D403" t="str">
            <v>ПП "ПГ"ОПЕРАТОР"</v>
          </cell>
          <cell r="E403">
            <v>45888.413399999998</v>
          </cell>
          <cell r="F403">
            <v>45839</v>
          </cell>
          <cell r="G403" t="str">
            <v>E</v>
          </cell>
          <cell r="H403" t="str">
            <v>C</v>
          </cell>
          <cell r="I403" t="str">
            <v>B</v>
          </cell>
          <cell r="J403" t="str">
            <v>B</v>
          </cell>
          <cell r="K403" t="str">
            <v>D</v>
          </cell>
          <cell r="L403" t="str">
            <v>A</v>
          </cell>
          <cell r="M403" t="str">
            <v>A</v>
          </cell>
          <cell r="N403" t="str">
            <v>A</v>
          </cell>
          <cell r="O403" t="str">
            <v>A</v>
          </cell>
          <cell r="P403" t="str">
            <v>C</v>
          </cell>
          <cell r="Q403" t="str">
            <v>B</v>
          </cell>
          <cell r="R403" t="str">
            <v>A</v>
          </cell>
          <cell r="X403">
            <v>57.4</v>
          </cell>
        </row>
        <row r="404">
          <cell r="C404">
            <v>37898486</v>
          </cell>
          <cell r="D404" t="str">
            <v>ТОВ "ПОДІЛЛЯАГРОЗАХИСТ"</v>
          </cell>
          <cell r="E404">
            <v>45944.481500000002</v>
          </cell>
          <cell r="F404">
            <v>45839</v>
          </cell>
          <cell r="G404" t="str">
            <v>E</v>
          </cell>
          <cell r="H404" t="str">
            <v>B</v>
          </cell>
          <cell r="I404" t="str">
            <v>B</v>
          </cell>
          <cell r="J404" t="str">
            <v>B</v>
          </cell>
          <cell r="K404" t="str">
            <v>D</v>
          </cell>
          <cell r="L404" t="str">
            <v>A</v>
          </cell>
          <cell r="M404" t="str">
            <v>A</v>
          </cell>
          <cell r="N404" t="str">
            <v>B</v>
          </cell>
          <cell r="O404" t="str">
            <v>A</v>
          </cell>
          <cell r="P404" t="str">
            <v>C</v>
          </cell>
          <cell r="Q404" t="str">
            <v>A</v>
          </cell>
          <cell r="R404" t="str">
            <v>B</v>
          </cell>
          <cell r="X404">
            <v>54.5</v>
          </cell>
        </row>
        <row r="405">
          <cell r="C405">
            <v>37926895</v>
          </cell>
          <cell r="D405" t="str">
            <v>ТОВ "ДРУЖБА-М"</v>
          </cell>
          <cell r="E405">
            <v>45985.454400000002</v>
          </cell>
          <cell r="F405">
            <v>45658</v>
          </cell>
          <cell r="G405" t="str">
            <v>E</v>
          </cell>
          <cell r="H405" t="str">
            <v>B</v>
          </cell>
          <cell r="I405" t="str">
            <v>B</v>
          </cell>
          <cell r="J405" t="str">
            <v>B</v>
          </cell>
          <cell r="K405" t="str">
            <v>D</v>
          </cell>
          <cell r="L405" t="str">
            <v>A</v>
          </cell>
          <cell r="M405" t="str">
            <v>A</v>
          </cell>
          <cell r="N405" t="str">
            <v>B</v>
          </cell>
          <cell r="O405" t="str">
            <v>A</v>
          </cell>
          <cell r="P405" t="str">
            <v>C</v>
          </cell>
          <cell r="Q405" t="str">
            <v>C</v>
          </cell>
          <cell r="R405" t="str">
            <v>A</v>
          </cell>
          <cell r="X405">
            <v>53.9</v>
          </cell>
        </row>
        <row r="406">
          <cell r="C406">
            <v>37949561</v>
          </cell>
          <cell r="D406" t="str">
            <v>ТОВ "КОМПАНІЯ "ІМПОРТ"</v>
          </cell>
          <cell r="E406">
            <v>45860.739300000001</v>
          </cell>
          <cell r="F406">
            <v>45748</v>
          </cell>
          <cell r="G406" t="str">
            <v>E</v>
          </cell>
          <cell r="H406" t="str">
            <v>C</v>
          </cell>
          <cell r="I406" t="str">
            <v>B</v>
          </cell>
          <cell r="J406" t="str">
            <v>D</v>
          </cell>
          <cell r="K406" t="str">
            <v>D</v>
          </cell>
          <cell r="L406" t="str">
            <v>A</v>
          </cell>
          <cell r="M406" t="str">
            <v>A</v>
          </cell>
          <cell r="N406" t="str">
            <v>B</v>
          </cell>
          <cell r="O406" t="str">
            <v>A</v>
          </cell>
          <cell r="P406" t="str">
            <v>C</v>
          </cell>
          <cell r="Q406" t="str">
            <v>B</v>
          </cell>
          <cell r="R406" t="str">
            <v>B</v>
          </cell>
          <cell r="X406">
            <v>55.7</v>
          </cell>
        </row>
        <row r="407">
          <cell r="C407">
            <v>37961273</v>
          </cell>
          <cell r="D407" t="str">
            <v>ТОВ "Ферозіт"</v>
          </cell>
          <cell r="E407">
            <v>45773.600400000003</v>
          </cell>
          <cell r="F407">
            <v>45658</v>
          </cell>
          <cell r="G407" t="str">
            <v>E</v>
          </cell>
          <cell r="H407" t="str">
            <v>A</v>
          </cell>
          <cell r="I407" t="str">
            <v>B</v>
          </cell>
          <cell r="J407" t="str">
            <v>B</v>
          </cell>
          <cell r="K407" t="str">
            <v>D</v>
          </cell>
          <cell r="L407" t="str">
            <v>A</v>
          </cell>
          <cell r="M407" t="str">
            <v>B</v>
          </cell>
          <cell r="N407" t="str">
            <v>B</v>
          </cell>
          <cell r="O407" t="str">
            <v>A</v>
          </cell>
          <cell r="P407" t="str">
            <v>C</v>
          </cell>
          <cell r="Q407" t="str">
            <v>B</v>
          </cell>
          <cell r="R407" t="str">
            <v>A</v>
          </cell>
          <cell r="X407">
            <v>51.7</v>
          </cell>
        </row>
        <row r="408">
          <cell r="C408">
            <v>37967444</v>
          </cell>
          <cell r="D408" t="str">
            <v>ТОВ "МЕДИЧНИЙ ЦЕНТР "ВЕРУМ"</v>
          </cell>
          <cell r="E408">
            <v>45838.537400000001</v>
          </cell>
          <cell r="F408">
            <v>45658</v>
          </cell>
          <cell r="G408" t="str">
            <v>E</v>
          </cell>
          <cell r="H408" t="str">
            <v>B</v>
          </cell>
          <cell r="I408" t="str">
            <v>D</v>
          </cell>
          <cell r="J408" t="str">
            <v>B</v>
          </cell>
          <cell r="K408" t="str">
            <v>D</v>
          </cell>
          <cell r="L408" t="str">
            <v>A</v>
          </cell>
          <cell r="M408" t="str">
            <v>A</v>
          </cell>
          <cell r="N408" t="str">
            <v>B</v>
          </cell>
          <cell r="O408" t="str">
            <v>A</v>
          </cell>
          <cell r="P408" t="str">
            <v>C</v>
          </cell>
          <cell r="Q408" t="str">
            <v>B</v>
          </cell>
          <cell r="R408" t="str">
            <v>C</v>
          </cell>
          <cell r="X408">
            <v>42.9</v>
          </cell>
        </row>
        <row r="409">
          <cell r="C409">
            <v>37976972</v>
          </cell>
          <cell r="D409" t="str">
            <v>ТОВ "АГРОЛОГІСТИКА"</v>
          </cell>
          <cell r="E409">
            <v>45912.49</v>
          </cell>
          <cell r="F409">
            <v>45839</v>
          </cell>
          <cell r="G409" t="str">
            <v>E</v>
          </cell>
          <cell r="H409" t="str">
            <v>C</v>
          </cell>
          <cell r="I409" t="str">
            <v>C</v>
          </cell>
          <cell r="J409" t="str">
            <v>B</v>
          </cell>
          <cell r="K409" t="str">
            <v>E</v>
          </cell>
          <cell r="L409" t="str">
            <v>B</v>
          </cell>
          <cell r="M409" t="str">
            <v>B</v>
          </cell>
          <cell r="N409" t="str">
            <v>B</v>
          </cell>
          <cell r="O409" t="str">
            <v>A</v>
          </cell>
          <cell r="P409" t="str">
            <v>B</v>
          </cell>
          <cell r="Q409" t="str">
            <v>B</v>
          </cell>
          <cell r="R409" t="str">
            <v>C</v>
          </cell>
          <cell r="X409">
            <v>29.5</v>
          </cell>
        </row>
        <row r="410">
          <cell r="C410">
            <v>37988621</v>
          </cell>
          <cell r="D410" t="str">
            <v>ТОВ "ТБД"</v>
          </cell>
          <cell r="E410">
            <v>45971.514499999997</v>
          </cell>
          <cell r="F410">
            <v>45748</v>
          </cell>
          <cell r="G410" t="str">
            <v>E</v>
          </cell>
          <cell r="H410" t="str">
            <v>B</v>
          </cell>
          <cell r="I410" t="str">
            <v>B</v>
          </cell>
          <cell r="J410" t="str">
            <v>A</v>
          </cell>
          <cell r="K410" t="str">
            <v>E</v>
          </cell>
          <cell r="L410" t="str">
            <v>B</v>
          </cell>
          <cell r="M410" t="str">
            <v>A</v>
          </cell>
          <cell r="N410" t="str">
            <v>B</v>
          </cell>
          <cell r="O410" t="str">
            <v>A</v>
          </cell>
          <cell r="P410" t="str">
            <v>C</v>
          </cell>
          <cell r="Q410" t="str">
            <v>B</v>
          </cell>
          <cell r="R410" t="str">
            <v>A</v>
          </cell>
          <cell r="X410">
            <v>46.9</v>
          </cell>
        </row>
        <row r="411">
          <cell r="C411">
            <v>37992093</v>
          </cell>
          <cell r="D411" t="str">
            <v>ТОВ "ПРОДІНВЕСТ СЕРВІС"</v>
          </cell>
          <cell r="E411">
            <v>45615.591899999999</v>
          </cell>
          <cell r="F411">
            <v>45566</v>
          </cell>
          <cell r="G411" t="str">
            <v>E</v>
          </cell>
          <cell r="H411" t="str">
            <v>B</v>
          </cell>
          <cell r="I411" t="str">
            <v>B</v>
          </cell>
          <cell r="J411" t="str">
            <v>A</v>
          </cell>
          <cell r="K411" t="str">
            <v>D</v>
          </cell>
          <cell r="L411" t="str">
            <v>B</v>
          </cell>
          <cell r="M411" t="str">
            <v>A</v>
          </cell>
          <cell r="N411" t="str">
            <v>B</v>
          </cell>
          <cell r="O411" t="str">
            <v>A</v>
          </cell>
          <cell r="P411" t="str">
            <v>C</v>
          </cell>
          <cell r="Q411" t="str">
            <v>B</v>
          </cell>
          <cell r="R411" t="str">
            <v>A</v>
          </cell>
          <cell r="X411">
            <v>48.1</v>
          </cell>
        </row>
        <row r="412">
          <cell r="C412">
            <v>38081730</v>
          </cell>
          <cell r="D412" t="str">
            <v>ТОВ "ХАРВІСТ ТРЕЙДІНГ"</v>
          </cell>
          <cell r="E412">
            <v>45972</v>
          </cell>
          <cell r="F412">
            <v>45839</v>
          </cell>
          <cell r="G412" t="str">
            <v>E</v>
          </cell>
          <cell r="H412" t="str">
            <v>D</v>
          </cell>
          <cell r="I412" t="str">
            <v>B</v>
          </cell>
          <cell r="J412" t="str">
            <v>D</v>
          </cell>
          <cell r="K412" t="str">
            <v>C</v>
          </cell>
          <cell r="L412" t="str">
            <v>A</v>
          </cell>
          <cell r="M412" t="str">
            <v>C</v>
          </cell>
          <cell r="N412" t="str">
            <v>A</v>
          </cell>
          <cell r="O412" t="str">
            <v>A</v>
          </cell>
          <cell r="P412" t="str">
            <v>C</v>
          </cell>
          <cell r="Q412" t="str">
            <v>B</v>
          </cell>
          <cell r="R412" t="str">
            <v>C</v>
          </cell>
          <cell r="X412">
            <v>47.8</v>
          </cell>
        </row>
        <row r="413">
          <cell r="C413">
            <v>38095277</v>
          </cell>
          <cell r="D413" t="str">
            <v>ТОВ "ЗЕРНОКОМТРАНС"</v>
          </cell>
          <cell r="E413">
            <v>45992</v>
          </cell>
          <cell r="F413">
            <v>45931</v>
          </cell>
          <cell r="G413" t="str">
            <v>E</v>
          </cell>
          <cell r="H413" t="str">
            <v>B</v>
          </cell>
          <cell r="I413" t="str">
            <v>B</v>
          </cell>
          <cell r="J413" t="str">
            <v>C</v>
          </cell>
          <cell r="K413" t="str">
            <v>C</v>
          </cell>
          <cell r="L413" t="str">
            <v>B</v>
          </cell>
          <cell r="M413" t="str">
            <v>B</v>
          </cell>
          <cell r="N413" t="str">
            <v>B</v>
          </cell>
          <cell r="O413" t="str">
            <v>A</v>
          </cell>
          <cell r="P413" t="str">
            <v>C</v>
          </cell>
          <cell r="Q413" t="str">
            <v>D</v>
          </cell>
          <cell r="R413" t="str">
            <v>A</v>
          </cell>
          <cell r="X413">
            <v>46.5</v>
          </cell>
        </row>
        <row r="414">
          <cell r="C414">
            <v>38116375</v>
          </cell>
          <cell r="D414" t="str">
            <v>ТОВ "Д ЛАЙТ"</v>
          </cell>
          <cell r="E414">
            <v>45656.6495</v>
          </cell>
          <cell r="F414">
            <v>45566</v>
          </cell>
          <cell r="G414" t="str">
            <v>E</v>
          </cell>
          <cell r="H414" t="str">
            <v>B</v>
          </cell>
          <cell r="I414" t="str">
            <v>B</v>
          </cell>
          <cell r="J414" t="str">
            <v>A</v>
          </cell>
          <cell r="K414" t="str">
            <v>D</v>
          </cell>
          <cell r="L414" t="str">
            <v>A</v>
          </cell>
          <cell r="M414" t="str">
            <v>A</v>
          </cell>
          <cell r="N414" t="str">
            <v>B</v>
          </cell>
          <cell r="O414" t="str">
            <v>A</v>
          </cell>
          <cell r="P414" t="str">
            <v>C</v>
          </cell>
          <cell r="Q414" t="str">
            <v>B</v>
          </cell>
          <cell r="R414" t="str">
            <v>A</v>
          </cell>
          <cell r="X414">
            <v>52.9</v>
          </cell>
        </row>
        <row r="415">
          <cell r="C415">
            <v>38132837</v>
          </cell>
          <cell r="D415" t="str">
            <v>ТОВ "Красне-Інвест"</v>
          </cell>
          <cell r="E415">
            <v>45700.422400000003</v>
          </cell>
          <cell r="F415">
            <v>45566</v>
          </cell>
          <cell r="G415" t="str">
            <v>E</v>
          </cell>
          <cell r="H415" t="str">
            <v>C</v>
          </cell>
          <cell r="I415" t="str">
            <v>B</v>
          </cell>
          <cell r="J415" t="str">
            <v>C</v>
          </cell>
          <cell r="K415" t="str">
            <v>E</v>
          </cell>
          <cell r="L415" t="str">
            <v>A</v>
          </cell>
          <cell r="M415" t="str">
            <v>C</v>
          </cell>
          <cell r="N415" t="str">
            <v>B</v>
          </cell>
          <cell r="O415" t="str">
            <v>B</v>
          </cell>
          <cell r="P415" t="str">
            <v>C</v>
          </cell>
          <cell r="Q415" t="str">
            <v>B</v>
          </cell>
          <cell r="R415" t="str">
            <v>C</v>
          </cell>
          <cell r="X415">
            <v>38.5</v>
          </cell>
        </row>
        <row r="416">
          <cell r="C416">
            <v>38146352</v>
          </cell>
          <cell r="D416" t="str">
            <v>ТОВ "ВТО ГРУП"</v>
          </cell>
          <cell r="E416">
            <v>45736.478000000003</v>
          </cell>
          <cell r="F416">
            <v>45658</v>
          </cell>
          <cell r="G416" t="str">
            <v>E</v>
          </cell>
          <cell r="H416" t="str">
            <v>B</v>
          </cell>
          <cell r="I416" t="str">
            <v>A</v>
          </cell>
          <cell r="J416" t="str">
            <v>B</v>
          </cell>
          <cell r="K416" t="str">
            <v>A</v>
          </cell>
          <cell r="L416" t="str">
            <v>B</v>
          </cell>
          <cell r="M416" t="str">
            <v>B</v>
          </cell>
          <cell r="N416" t="str">
            <v>A</v>
          </cell>
          <cell r="O416" t="str">
            <v>A</v>
          </cell>
          <cell r="P416" t="str">
            <v>C</v>
          </cell>
          <cell r="Q416" t="str">
            <v>C</v>
          </cell>
          <cell r="R416" t="str">
            <v>C</v>
          </cell>
          <cell r="X416">
            <v>40.399999999999991</v>
          </cell>
        </row>
        <row r="417">
          <cell r="C417">
            <v>38152125</v>
          </cell>
          <cell r="D417" t="str">
            <v>ТОВ "ГАЛА-ЮГ"</v>
          </cell>
          <cell r="E417">
            <v>45777.735399999998</v>
          </cell>
          <cell r="F417">
            <v>45658</v>
          </cell>
          <cell r="G417" t="str">
            <v>E</v>
          </cell>
          <cell r="H417" t="str">
            <v>A</v>
          </cell>
          <cell r="I417" t="str">
            <v>B</v>
          </cell>
          <cell r="J417" t="str">
            <v>A</v>
          </cell>
          <cell r="K417" t="str">
            <v>C</v>
          </cell>
          <cell r="L417" t="str">
            <v>B</v>
          </cell>
          <cell r="M417" t="str">
            <v>A</v>
          </cell>
          <cell r="N417" t="str">
            <v>B</v>
          </cell>
          <cell r="O417" t="str">
            <v>A</v>
          </cell>
          <cell r="P417" t="str">
            <v>C</v>
          </cell>
          <cell r="Q417" t="str">
            <v>B</v>
          </cell>
          <cell r="R417" t="str">
            <v>A</v>
          </cell>
          <cell r="X417">
            <v>53.300000000000004</v>
          </cell>
        </row>
        <row r="418">
          <cell r="C418">
            <v>38183420</v>
          </cell>
          <cell r="D418" t="str">
            <v>ТОВ "ТД РОСТОК"</v>
          </cell>
          <cell r="E418">
            <v>45873.635399999999</v>
          </cell>
          <cell r="F418">
            <v>45748</v>
          </cell>
          <cell r="G418" t="str">
            <v>E</v>
          </cell>
          <cell r="H418" t="str">
            <v>A</v>
          </cell>
          <cell r="I418" t="str">
            <v>B</v>
          </cell>
          <cell r="J418" t="str">
            <v>A</v>
          </cell>
          <cell r="K418" t="str">
            <v>D</v>
          </cell>
          <cell r="L418" t="str">
            <v>B</v>
          </cell>
          <cell r="M418" t="str">
            <v>A</v>
          </cell>
          <cell r="N418" t="str">
            <v>B</v>
          </cell>
          <cell r="O418" t="str">
            <v>A</v>
          </cell>
          <cell r="P418" t="str">
            <v>C</v>
          </cell>
          <cell r="Q418" t="str">
            <v>B</v>
          </cell>
          <cell r="R418" t="str">
            <v>A</v>
          </cell>
          <cell r="X418">
            <v>50.5</v>
          </cell>
        </row>
        <row r="419">
          <cell r="C419">
            <v>38184219</v>
          </cell>
          <cell r="D419" t="str">
            <v>ТОВ "АГРО ПІВДЕНЬ - 2"</v>
          </cell>
          <cell r="E419">
            <v>45616.545599999998</v>
          </cell>
          <cell r="F419">
            <v>45566</v>
          </cell>
          <cell r="G419" t="str">
            <v>E</v>
          </cell>
          <cell r="H419" t="str">
            <v>B</v>
          </cell>
          <cell r="I419" t="str">
            <v>B</v>
          </cell>
          <cell r="J419" t="str">
            <v>D</v>
          </cell>
          <cell r="K419" t="str">
            <v>D</v>
          </cell>
          <cell r="L419" t="str">
            <v>B</v>
          </cell>
          <cell r="M419" t="str">
            <v>B</v>
          </cell>
          <cell r="N419" t="str">
            <v>B</v>
          </cell>
          <cell r="O419" t="str">
            <v>A</v>
          </cell>
          <cell r="P419" t="str">
            <v>C</v>
          </cell>
          <cell r="Q419" t="str">
            <v>B</v>
          </cell>
          <cell r="R419" t="str">
            <v>B</v>
          </cell>
          <cell r="X419">
            <v>46.1</v>
          </cell>
        </row>
        <row r="420">
          <cell r="C420">
            <v>38192655</v>
          </cell>
          <cell r="D420" t="str">
            <v>ТОВ "ТК-ДОМАШНІЙ ТЕКСТИЛЬ"</v>
          </cell>
          <cell r="E420">
            <v>45792.39</v>
          </cell>
          <cell r="F420">
            <v>45658</v>
          </cell>
          <cell r="G420" t="str">
            <v>D</v>
          </cell>
          <cell r="H420" t="str">
            <v>A</v>
          </cell>
          <cell r="I420" t="str">
            <v>C</v>
          </cell>
          <cell r="J420" t="str">
            <v>C</v>
          </cell>
          <cell r="K420" t="str">
            <v>E</v>
          </cell>
          <cell r="L420" t="str">
            <v>A</v>
          </cell>
          <cell r="M420" t="str">
            <v>A</v>
          </cell>
          <cell r="N420" t="str">
            <v>C</v>
          </cell>
          <cell r="O420" t="str">
            <v>A</v>
          </cell>
          <cell r="P420" t="str">
            <v>C</v>
          </cell>
          <cell r="Q420" t="str">
            <v>C</v>
          </cell>
          <cell r="R420" t="str">
            <v>B</v>
          </cell>
          <cell r="X420">
            <v>48.4</v>
          </cell>
        </row>
        <row r="421">
          <cell r="C421">
            <v>38209328</v>
          </cell>
          <cell r="D421" t="str">
            <v>ТОВ "Шосткинський Елеватор"</v>
          </cell>
          <cell r="E421">
            <v>45890.7255</v>
          </cell>
          <cell r="F421">
            <v>45748</v>
          </cell>
          <cell r="G421" t="str">
            <v>E</v>
          </cell>
          <cell r="H421" t="str">
            <v>B</v>
          </cell>
          <cell r="I421" t="str">
            <v>A</v>
          </cell>
          <cell r="J421" t="str">
            <v>C</v>
          </cell>
          <cell r="K421" t="str">
            <v>D</v>
          </cell>
          <cell r="L421" t="str">
            <v>B</v>
          </cell>
          <cell r="M421" t="str">
            <v>A</v>
          </cell>
          <cell r="N421" t="str">
            <v>A</v>
          </cell>
          <cell r="O421" t="str">
            <v>A</v>
          </cell>
          <cell r="P421" t="str">
            <v>C</v>
          </cell>
          <cell r="Q421" t="str">
            <v>B</v>
          </cell>
          <cell r="R421" t="str">
            <v>A</v>
          </cell>
          <cell r="X421">
            <v>52.6</v>
          </cell>
        </row>
        <row r="422">
          <cell r="C422">
            <v>38218086</v>
          </cell>
          <cell r="D422" t="str">
            <v>ТОВ "Аметрін ФК"</v>
          </cell>
          <cell r="E422">
            <v>45912.644999999997</v>
          </cell>
          <cell r="F422">
            <v>45839</v>
          </cell>
          <cell r="G422" t="str">
            <v>E</v>
          </cell>
          <cell r="H422" t="str">
            <v>B</v>
          </cell>
          <cell r="I422" t="str">
            <v>A</v>
          </cell>
          <cell r="J422" t="str">
            <v>C</v>
          </cell>
          <cell r="K422" t="str">
            <v>D</v>
          </cell>
          <cell r="L422" t="str">
            <v>A</v>
          </cell>
          <cell r="M422" t="str">
            <v>A</v>
          </cell>
          <cell r="N422" t="str">
            <v>B</v>
          </cell>
          <cell r="O422" t="str">
            <v>A</v>
          </cell>
          <cell r="P422" t="str">
            <v>C</v>
          </cell>
          <cell r="Q422" t="str">
            <v>B</v>
          </cell>
          <cell r="R422" t="str">
            <v>A</v>
          </cell>
          <cell r="X422">
            <v>54.1</v>
          </cell>
        </row>
        <row r="423">
          <cell r="C423">
            <v>38250910</v>
          </cell>
          <cell r="D423" t="str">
            <v>ТОВ "КОЛОС 200"</v>
          </cell>
          <cell r="E423">
            <v>45693.443700000003</v>
          </cell>
          <cell r="F423">
            <v>45474</v>
          </cell>
          <cell r="G423" t="str">
            <v>E</v>
          </cell>
          <cell r="H423" t="str">
            <v>B</v>
          </cell>
          <cell r="I423" t="str">
            <v>C</v>
          </cell>
          <cell r="J423" t="str">
            <v>C</v>
          </cell>
          <cell r="K423" t="str">
            <v>D</v>
          </cell>
          <cell r="L423" t="str">
            <v>A</v>
          </cell>
          <cell r="M423" t="str">
            <v>A</v>
          </cell>
          <cell r="N423" t="str">
            <v>B</v>
          </cell>
          <cell r="O423" t="str">
            <v>A</v>
          </cell>
          <cell r="P423" t="str">
            <v>B</v>
          </cell>
          <cell r="Q423" t="str">
            <v>B</v>
          </cell>
          <cell r="R423" t="str">
            <v>C</v>
          </cell>
          <cell r="X423">
            <v>46.300000000000004</v>
          </cell>
        </row>
        <row r="424">
          <cell r="C424">
            <v>38272248</v>
          </cell>
          <cell r="D424" t="str">
            <v>ТОВ "АПТЕКИ "ФАРМАСІТІ"</v>
          </cell>
          <cell r="E424">
            <v>45681.486799999999</v>
          </cell>
          <cell r="F424">
            <v>45566</v>
          </cell>
          <cell r="G424" t="str">
            <v>E</v>
          </cell>
          <cell r="H424" t="str">
            <v>B</v>
          </cell>
          <cell r="I424" t="str">
            <v>C</v>
          </cell>
          <cell r="J424" t="str">
            <v>B</v>
          </cell>
          <cell r="K424" t="str">
            <v>D</v>
          </cell>
          <cell r="L424" t="str">
            <v>B</v>
          </cell>
          <cell r="M424" t="str">
            <v>A</v>
          </cell>
          <cell r="N424" t="str">
            <v>B</v>
          </cell>
          <cell r="O424" t="str">
            <v>A</v>
          </cell>
          <cell r="P424" t="str">
            <v>C</v>
          </cell>
          <cell r="Q424" t="str">
            <v>B</v>
          </cell>
          <cell r="R424" t="str">
            <v>A</v>
          </cell>
          <cell r="X424">
            <v>42.9</v>
          </cell>
        </row>
        <row r="425">
          <cell r="C425">
            <v>38273126</v>
          </cell>
          <cell r="D425" t="str">
            <v>ТОВ "КЛЕВЕР СТОРС"</v>
          </cell>
          <cell r="E425">
            <v>45988</v>
          </cell>
          <cell r="F425">
            <v>45931</v>
          </cell>
          <cell r="G425" t="str">
            <v>E</v>
          </cell>
          <cell r="H425" t="str">
            <v>B</v>
          </cell>
          <cell r="I425" t="str">
            <v>B</v>
          </cell>
          <cell r="J425" t="str">
            <v>B</v>
          </cell>
          <cell r="K425" t="str">
            <v>D</v>
          </cell>
          <cell r="L425" t="str">
            <v>A</v>
          </cell>
          <cell r="M425" t="str">
            <v>A</v>
          </cell>
          <cell r="N425" t="str">
            <v>B</v>
          </cell>
          <cell r="O425" t="str">
            <v>A</v>
          </cell>
          <cell r="P425" t="str">
            <v>A</v>
          </cell>
          <cell r="Q425" t="str">
            <v>B</v>
          </cell>
          <cell r="R425" t="str">
            <v>A</v>
          </cell>
          <cell r="X425">
            <v>59.900000000000006</v>
          </cell>
        </row>
        <row r="426">
          <cell r="C426">
            <v>38280772</v>
          </cell>
          <cell r="D426" t="str">
            <v>ТОВ "АРТМОТО"</v>
          </cell>
          <cell r="E426">
            <v>45660</v>
          </cell>
          <cell r="F426">
            <v>45566</v>
          </cell>
          <cell r="G426" t="str">
            <v>E</v>
          </cell>
          <cell r="H426" t="str">
            <v>C</v>
          </cell>
          <cell r="I426" t="str">
            <v>A</v>
          </cell>
          <cell r="J426" t="str">
            <v>A</v>
          </cell>
          <cell r="K426" t="str">
            <v>B</v>
          </cell>
          <cell r="L426" t="str">
            <v>B</v>
          </cell>
          <cell r="M426" t="str">
            <v>A</v>
          </cell>
          <cell r="N426" t="str">
            <v>B</v>
          </cell>
          <cell r="O426" t="str">
            <v>A</v>
          </cell>
          <cell r="P426" t="str">
            <v>C</v>
          </cell>
          <cell r="Q426" t="str">
            <v>B</v>
          </cell>
          <cell r="R426" t="str">
            <v>C</v>
          </cell>
          <cell r="X426">
            <v>39.699999999999996</v>
          </cell>
        </row>
        <row r="427">
          <cell r="C427">
            <v>38327642</v>
          </cell>
          <cell r="D427" t="str">
            <v>ТОВ "КЕРРІЛАЙН"</v>
          </cell>
          <cell r="E427">
            <v>45551.665200000003</v>
          </cell>
          <cell r="F427">
            <v>45474</v>
          </cell>
          <cell r="G427" t="str">
            <v>E</v>
          </cell>
          <cell r="H427" t="str">
            <v>B</v>
          </cell>
          <cell r="I427" t="str">
            <v>B</v>
          </cell>
          <cell r="J427" t="str">
            <v>B</v>
          </cell>
          <cell r="K427" t="str">
            <v>E</v>
          </cell>
          <cell r="L427" t="str">
            <v>A</v>
          </cell>
          <cell r="M427" t="str">
            <v>A</v>
          </cell>
          <cell r="N427" t="str">
            <v>B</v>
          </cell>
          <cell r="O427" t="str">
            <v>A</v>
          </cell>
          <cell r="P427" t="str">
            <v>C</v>
          </cell>
          <cell r="Q427" t="str">
            <v>B</v>
          </cell>
          <cell r="R427" t="str">
            <v>A</v>
          </cell>
          <cell r="X427">
            <v>54.500000000000007</v>
          </cell>
        </row>
        <row r="428">
          <cell r="C428">
            <v>38328646</v>
          </cell>
          <cell r="D428" t="str">
            <v>ТОВ "Лозинка"</v>
          </cell>
          <cell r="E428">
            <v>45768.428500000002</v>
          </cell>
          <cell r="F428">
            <v>45658</v>
          </cell>
          <cell r="G428" t="str">
            <v>E</v>
          </cell>
          <cell r="H428" t="str">
            <v>B</v>
          </cell>
          <cell r="I428" t="str">
            <v>B</v>
          </cell>
          <cell r="J428" t="str">
            <v>A</v>
          </cell>
          <cell r="K428" t="str">
            <v>D</v>
          </cell>
          <cell r="L428" t="str">
            <v>A</v>
          </cell>
          <cell r="M428" t="str">
            <v>A</v>
          </cell>
          <cell r="N428" t="str">
            <v>C</v>
          </cell>
          <cell r="O428" t="str">
            <v>A</v>
          </cell>
          <cell r="P428" t="str">
            <v>C</v>
          </cell>
          <cell r="Q428" t="str">
            <v>B</v>
          </cell>
          <cell r="R428" t="str">
            <v>A</v>
          </cell>
          <cell r="X428">
            <v>51.4</v>
          </cell>
        </row>
        <row r="429">
          <cell r="C429">
            <v>38347611</v>
          </cell>
          <cell r="D429" t="str">
            <v>ТОВ "ВАЛІДУС СПЕЦАВТО"</v>
          </cell>
          <cell r="E429">
            <v>45630.507700000002</v>
          </cell>
          <cell r="F429">
            <v>45566</v>
          </cell>
          <cell r="G429" t="str">
            <v>D</v>
          </cell>
          <cell r="H429" t="str">
            <v>B</v>
          </cell>
          <cell r="I429" t="str">
            <v>A</v>
          </cell>
          <cell r="J429" t="str">
            <v>A</v>
          </cell>
          <cell r="K429" t="str">
            <v>B</v>
          </cell>
          <cell r="L429" t="str">
            <v>A</v>
          </cell>
          <cell r="M429" t="str">
            <v>A</v>
          </cell>
          <cell r="N429" t="str">
            <v>B</v>
          </cell>
          <cell r="O429" t="str">
            <v>A</v>
          </cell>
          <cell r="P429" t="str">
            <v>C</v>
          </cell>
          <cell r="Q429" t="str">
            <v>B</v>
          </cell>
          <cell r="R429" t="str">
            <v>A</v>
          </cell>
          <cell r="X429">
            <v>55.7</v>
          </cell>
        </row>
        <row r="430">
          <cell r="C430">
            <v>38359009</v>
          </cell>
          <cell r="D430" t="str">
            <v>ТОВ "ІНФОРМ ХХІ"</v>
          </cell>
          <cell r="E430">
            <v>45602.654999999999</v>
          </cell>
          <cell r="F430">
            <v>45474</v>
          </cell>
          <cell r="G430" t="str">
            <v>E</v>
          </cell>
          <cell r="H430" t="str">
            <v>C</v>
          </cell>
          <cell r="I430" t="str">
            <v>B</v>
          </cell>
          <cell r="J430" t="str">
            <v>A</v>
          </cell>
          <cell r="K430" t="str">
            <v>D</v>
          </cell>
          <cell r="L430" t="str">
            <v>A</v>
          </cell>
          <cell r="M430" t="str">
            <v>A</v>
          </cell>
          <cell r="N430" t="str">
            <v>B</v>
          </cell>
          <cell r="O430" t="str">
            <v>B</v>
          </cell>
          <cell r="P430" t="str">
            <v>C</v>
          </cell>
          <cell r="Q430" t="str">
            <v>B</v>
          </cell>
          <cell r="R430" t="str">
            <v>A</v>
          </cell>
          <cell r="X430">
            <v>47.699999999999996</v>
          </cell>
        </row>
        <row r="431">
          <cell r="C431">
            <v>38408485</v>
          </cell>
          <cell r="D431" t="str">
            <v>ТОВ "ДОБРОДІЯ ФУДЗ"</v>
          </cell>
          <cell r="E431">
            <v>45700.422400000003</v>
          </cell>
          <cell r="F431">
            <v>45566</v>
          </cell>
          <cell r="G431" t="str">
            <v>E</v>
          </cell>
          <cell r="H431" t="str">
            <v>C</v>
          </cell>
          <cell r="I431" t="str">
            <v>B</v>
          </cell>
          <cell r="J431" t="str">
            <v>C</v>
          </cell>
          <cell r="K431" t="str">
            <v>E</v>
          </cell>
          <cell r="L431" t="str">
            <v>A</v>
          </cell>
          <cell r="M431" t="str">
            <v>C</v>
          </cell>
          <cell r="N431" t="str">
            <v>B</v>
          </cell>
          <cell r="O431" t="str">
            <v>B</v>
          </cell>
          <cell r="P431" t="str">
            <v>C</v>
          </cell>
          <cell r="Q431" t="str">
            <v>B</v>
          </cell>
          <cell r="R431" t="str">
            <v>C</v>
          </cell>
          <cell r="X431">
            <v>38.5</v>
          </cell>
        </row>
        <row r="432">
          <cell r="C432">
            <v>38436360</v>
          </cell>
          <cell r="D432" t="str">
            <v>ТДВ "ЮТК"</v>
          </cell>
          <cell r="E432">
            <v>45817.682800000002</v>
          </cell>
          <cell r="F432">
            <v>45658</v>
          </cell>
          <cell r="G432" t="str">
            <v>E</v>
          </cell>
          <cell r="H432" t="str">
            <v>B</v>
          </cell>
          <cell r="I432" t="str">
            <v>B</v>
          </cell>
          <cell r="J432" t="str">
            <v>A</v>
          </cell>
          <cell r="K432" t="str">
            <v>D</v>
          </cell>
          <cell r="L432" t="str">
            <v>A</v>
          </cell>
          <cell r="M432" t="str">
            <v>A</v>
          </cell>
          <cell r="N432" t="str">
            <v>B</v>
          </cell>
          <cell r="O432" t="str">
            <v>A</v>
          </cell>
          <cell r="P432" t="str">
            <v>C</v>
          </cell>
          <cell r="Q432" t="str">
            <v>B</v>
          </cell>
          <cell r="R432" t="str">
            <v>B</v>
          </cell>
          <cell r="X432">
            <v>49.3</v>
          </cell>
        </row>
        <row r="433">
          <cell r="C433">
            <v>38456790</v>
          </cell>
          <cell r="D433" t="str">
            <v>ТЗДВ "ГАЛ-КАТ"</v>
          </cell>
          <cell r="E433">
            <v>45978.700499999999</v>
          </cell>
          <cell r="F433">
            <v>45839</v>
          </cell>
          <cell r="G433" t="str">
            <v>D</v>
          </cell>
          <cell r="H433" t="str">
            <v>C</v>
          </cell>
          <cell r="I433" t="str">
            <v>D</v>
          </cell>
          <cell r="J433" t="str">
            <v>A</v>
          </cell>
          <cell r="K433" t="str">
            <v>E</v>
          </cell>
          <cell r="L433" t="str">
            <v>B</v>
          </cell>
          <cell r="M433" t="str">
            <v>A</v>
          </cell>
          <cell r="N433" t="str">
            <v>B</v>
          </cell>
          <cell r="O433" t="str">
            <v>A</v>
          </cell>
          <cell r="P433" t="str">
            <v>C</v>
          </cell>
          <cell r="Q433" t="str">
            <v>D</v>
          </cell>
          <cell r="R433" t="str">
            <v>C</v>
          </cell>
          <cell r="X433">
            <v>32.5</v>
          </cell>
        </row>
        <row r="434">
          <cell r="C434">
            <v>38465370</v>
          </cell>
          <cell r="D434" t="str">
            <v>ТОВ "КОМПАНІЯ ТРАНС-ІНВЕСТ"</v>
          </cell>
          <cell r="E434">
            <v>45952.740299999998</v>
          </cell>
          <cell r="F434">
            <v>45839</v>
          </cell>
          <cell r="G434" t="str">
            <v>E</v>
          </cell>
          <cell r="H434" t="str">
            <v>B</v>
          </cell>
          <cell r="I434" t="str">
            <v>B</v>
          </cell>
          <cell r="J434" t="str">
            <v>C</v>
          </cell>
          <cell r="K434" t="str">
            <v>D</v>
          </cell>
          <cell r="L434" t="str">
            <v>B</v>
          </cell>
          <cell r="M434" t="str">
            <v>D</v>
          </cell>
          <cell r="N434" t="str">
            <v>C</v>
          </cell>
          <cell r="O434" t="str">
            <v>B</v>
          </cell>
          <cell r="P434" t="str">
            <v>C</v>
          </cell>
          <cell r="Q434" t="str">
            <v>C</v>
          </cell>
          <cell r="R434" t="str">
            <v>B</v>
          </cell>
          <cell r="X434">
            <v>35.199999999999996</v>
          </cell>
        </row>
        <row r="435">
          <cell r="C435">
            <v>38481937</v>
          </cell>
          <cell r="D435" t="str">
            <v>ТОВ "ІНТЕР АВТО ЦЕНТР"</v>
          </cell>
          <cell r="E435">
            <v>45831.7091</v>
          </cell>
          <cell r="F435">
            <v>45748</v>
          </cell>
          <cell r="G435" t="str">
            <v>D</v>
          </cell>
          <cell r="H435" t="str">
            <v>B</v>
          </cell>
          <cell r="I435" t="str">
            <v>B</v>
          </cell>
          <cell r="J435" t="str">
            <v>B</v>
          </cell>
          <cell r="K435" t="str">
            <v>D</v>
          </cell>
          <cell r="L435" t="str">
            <v>B</v>
          </cell>
          <cell r="M435" t="str">
            <v>A</v>
          </cell>
          <cell r="N435" t="str">
            <v>A</v>
          </cell>
          <cell r="O435" t="str">
            <v>A</v>
          </cell>
          <cell r="P435" t="str">
            <v>C</v>
          </cell>
          <cell r="Q435" t="str">
            <v>B</v>
          </cell>
          <cell r="R435" t="str">
            <v>B</v>
          </cell>
          <cell r="X435">
            <v>54.2</v>
          </cell>
        </row>
        <row r="436">
          <cell r="C436">
            <v>38484105</v>
          </cell>
          <cell r="D436" t="str">
            <v>ТОВ "ТРАНС БІТ ГРУПП"</v>
          </cell>
          <cell r="E436">
            <v>45639.675000000003</v>
          </cell>
          <cell r="F436">
            <v>45566</v>
          </cell>
          <cell r="G436" t="str">
            <v>E</v>
          </cell>
          <cell r="H436" t="str">
            <v>B</v>
          </cell>
          <cell r="I436" t="str">
            <v>B</v>
          </cell>
          <cell r="J436" t="str">
            <v>B</v>
          </cell>
          <cell r="K436" t="str">
            <v>D</v>
          </cell>
          <cell r="L436" t="str">
            <v>B</v>
          </cell>
          <cell r="M436" t="str">
            <v>A</v>
          </cell>
          <cell r="N436" t="str">
            <v>A</v>
          </cell>
          <cell r="O436" t="str">
            <v>A</v>
          </cell>
          <cell r="P436" t="str">
            <v>C</v>
          </cell>
          <cell r="Q436" t="str">
            <v>B</v>
          </cell>
          <cell r="R436" t="str">
            <v>A</v>
          </cell>
          <cell r="X436">
            <v>54.199999999999996</v>
          </cell>
        </row>
        <row r="437">
          <cell r="C437">
            <v>38489035</v>
          </cell>
          <cell r="D437" t="str">
            <v>ТОВ «АЕТ»</v>
          </cell>
          <cell r="E437">
            <v>45905.516000000003</v>
          </cell>
          <cell r="F437">
            <v>45839</v>
          </cell>
          <cell r="G437" t="str">
            <v>D</v>
          </cell>
          <cell r="H437" t="str">
            <v>C</v>
          </cell>
          <cell r="I437" t="str">
            <v>A</v>
          </cell>
          <cell r="J437" t="str">
            <v>C</v>
          </cell>
          <cell r="K437" t="str">
            <v>D</v>
          </cell>
          <cell r="L437" t="str">
            <v>B</v>
          </cell>
          <cell r="M437" t="str">
            <v>A</v>
          </cell>
          <cell r="N437" t="str">
            <v>B</v>
          </cell>
          <cell r="O437" t="str">
            <v>A</v>
          </cell>
          <cell r="P437" t="str">
            <v>C</v>
          </cell>
          <cell r="Q437" t="str">
            <v>B</v>
          </cell>
          <cell r="R437" t="str">
            <v>C</v>
          </cell>
          <cell r="X437">
            <v>45.3</v>
          </cell>
        </row>
        <row r="438">
          <cell r="C438">
            <v>38500619</v>
          </cell>
          <cell r="D438" t="str">
            <v>ТОВ "АГРОІНВЕСТКОНТАКТ"</v>
          </cell>
          <cell r="E438">
            <v>45952.432699999998</v>
          </cell>
          <cell r="F438">
            <v>45839</v>
          </cell>
          <cell r="G438" t="str">
            <v>E</v>
          </cell>
          <cell r="H438" t="str">
            <v>B</v>
          </cell>
          <cell r="I438" t="str">
            <v>B</v>
          </cell>
          <cell r="J438" t="str">
            <v>B</v>
          </cell>
          <cell r="K438" t="str">
            <v>D</v>
          </cell>
          <cell r="L438" t="str">
            <v>B</v>
          </cell>
          <cell r="M438" t="str">
            <v>A</v>
          </cell>
          <cell r="N438" t="str">
            <v>A</v>
          </cell>
          <cell r="O438" t="str">
            <v>A</v>
          </cell>
          <cell r="P438" t="str">
            <v>C</v>
          </cell>
          <cell r="Q438" t="str">
            <v>B</v>
          </cell>
          <cell r="R438" t="str">
            <v>C</v>
          </cell>
          <cell r="X438">
            <v>48.199999999999996</v>
          </cell>
        </row>
        <row r="439">
          <cell r="C439">
            <v>38511882</v>
          </cell>
          <cell r="D439" t="str">
            <v>ТОВ "РЕНТМАРКЕТ"</v>
          </cell>
          <cell r="E439">
            <v>45768.428500000002</v>
          </cell>
          <cell r="F439">
            <v>45658</v>
          </cell>
          <cell r="G439" t="str">
            <v>E</v>
          </cell>
          <cell r="H439" t="str">
            <v>B</v>
          </cell>
          <cell r="I439" t="str">
            <v>B</v>
          </cell>
          <cell r="J439" t="str">
            <v>A</v>
          </cell>
          <cell r="K439" t="str">
            <v>D</v>
          </cell>
          <cell r="L439" t="str">
            <v>A</v>
          </cell>
          <cell r="M439" t="str">
            <v>A</v>
          </cell>
          <cell r="N439" t="str">
            <v>C</v>
          </cell>
          <cell r="O439" t="str">
            <v>A</v>
          </cell>
          <cell r="P439" t="str">
            <v>C</v>
          </cell>
          <cell r="Q439" t="str">
            <v>B</v>
          </cell>
          <cell r="R439" t="str">
            <v>A</v>
          </cell>
          <cell r="X439">
            <v>51.4</v>
          </cell>
        </row>
        <row r="440">
          <cell r="C440">
            <v>38534297</v>
          </cell>
          <cell r="D440" t="str">
            <v>ТОВ "МЕД - ОК"</v>
          </cell>
          <cell r="E440">
            <v>45925.698499999999</v>
          </cell>
          <cell r="F440">
            <v>45839</v>
          </cell>
          <cell r="G440" t="str">
            <v>E</v>
          </cell>
          <cell r="H440" t="str">
            <v>A</v>
          </cell>
          <cell r="I440" t="str">
            <v>B</v>
          </cell>
          <cell r="J440" t="str">
            <v>A</v>
          </cell>
          <cell r="K440" t="str">
            <v>B</v>
          </cell>
          <cell r="L440" t="str">
            <v>A</v>
          </cell>
          <cell r="M440" t="str">
            <v>A</v>
          </cell>
          <cell r="N440" t="str">
            <v>B</v>
          </cell>
          <cell r="O440" t="str">
            <v>A</v>
          </cell>
          <cell r="P440" t="str">
            <v>C</v>
          </cell>
          <cell r="Q440" t="str">
            <v>B</v>
          </cell>
          <cell r="R440" t="str">
            <v>A</v>
          </cell>
          <cell r="X440">
            <v>58.9</v>
          </cell>
        </row>
        <row r="441">
          <cell r="C441">
            <v>38568656</v>
          </cell>
          <cell r="D441" t="str">
            <v>ТОВ "ГЮТЕРСОН УКРАЇНА"</v>
          </cell>
          <cell r="E441">
            <v>45938.906499999997</v>
          </cell>
          <cell r="F441">
            <v>45748</v>
          </cell>
          <cell r="G441" t="str">
            <v>C</v>
          </cell>
          <cell r="H441" t="str">
            <v>B</v>
          </cell>
          <cell r="I441" t="str">
            <v>B</v>
          </cell>
          <cell r="J441" t="str">
            <v>D</v>
          </cell>
          <cell r="K441" t="str">
            <v>B</v>
          </cell>
          <cell r="L441" t="str">
            <v>B</v>
          </cell>
          <cell r="M441" t="str">
            <v>B</v>
          </cell>
          <cell r="N441" t="str">
            <v>A</v>
          </cell>
          <cell r="O441" t="str">
            <v>A</v>
          </cell>
          <cell r="P441" t="str">
            <v>C</v>
          </cell>
          <cell r="Q441" t="str">
            <v>B</v>
          </cell>
          <cell r="R441" t="str">
            <v>B</v>
          </cell>
          <cell r="X441">
            <v>57</v>
          </cell>
        </row>
        <row r="442">
          <cell r="C442">
            <v>38572788</v>
          </cell>
          <cell r="D442" t="str">
            <v>ТОВ "Агрофорс трейд"</v>
          </cell>
          <cell r="E442">
            <v>45807.504000000001</v>
          </cell>
          <cell r="F442">
            <v>45748</v>
          </cell>
          <cell r="G442" t="str">
            <v>E</v>
          </cell>
          <cell r="H442" t="str">
            <v>A</v>
          </cell>
          <cell r="I442" t="str">
            <v>B</v>
          </cell>
          <cell r="J442" t="str">
            <v>A</v>
          </cell>
          <cell r="K442" t="str">
            <v>D</v>
          </cell>
          <cell r="L442" t="str">
            <v>A</v>
          </cell>
          <cell r="M442" t="str">
            <v>A</v>
          </cell>
          <cell r="N442" t="str">
            <v>A</v>
          </cell>
          <cell r="O442" t="str">
            <v>A</v>
          </cell>
          <cell r="P442" t="str">
            <v>C</v>
          </cell>
          <cell r="Q442" t="str">
            <v>B</v>
          </cell>
          <cell r="R442" t="str">
            <v>A</v>
          </cell>
          <cell r="X442">
            <v>58.6</v>
          </cell>
        </row>
        <row r="443">
          <cell r="C443">
            <v>38575595</v>
          </cell>
          <cell r="D443" t="str">
            <v>ТОВ "СП-АРГОС"</v>
          </cell>
          <cell r="E443">
            <v>45705.498099999997</v>
          </cell>
          <cell r="F443">
            <v>45566</v>
          </cell>
          <cell r="G443" t="str">
            <v>E</v>
          </cell>
          <cell r="H443" t="str">
            <v>C</v>
          </cell>
          <cell r="I443" t="str">
            <v>B</v>
          </cell>
          <cell r="J443" t="str">
            <v>C</v>
          </cell>
          <cell r="K443" t="str">
            <v>D</v>
          </cell>
          <cell r="L443" t="str">
            <v>B</v>
          </cell>
          <cell r="M443" t="str">
            <v>B</v>
          </cell>
          <cell r="N443" t="str">
            <v>C</v>
          </cell>
          <cell r="O443" t="str">
            <v>A</v>
          </cell>
          <cell r="P443" t="str">
            <v>C</v>
          </cell>
          <cell r="Q443" t="str">
            <v>C</v>
          </cell>
          <cell r="R443" t="str">
            <v>C</v>
          </cell>
          <cell r="X443">
            <v>36.399999999999991</v>
          </cell>
        </row>
        <row r="444">
          <cell r="C444">
            <v>38575616</v>
          </cell>
          <cell r="D444" t="str">
            <v>ТОВ "ДІАМАНТ - АГРО"</v>
          </cell>
          <cell r="E444">
            <v>45713.373500000002</v>
          </cell>
          <cell r="F444">
            <v>45566</v>
          </cell>
          <cell r="G444" t="str">
            <v>E</v>
          </cell>
          <cell r="H444" t="str">
            <v>B</v>
          </cell>
          <cell r="I444" t="str">
            <v>B</v>
          </cell>
          <cell r="J444" t="str">
            <v>C</v>
          </cell>
          <cell r="K444" t="str">
            <v>D</v>
          </cell>
          <cell r="L444" t="str">
            <v>A</v>
          </cell>
          <cell r="M444" t="str">
            <v>B</v>
          </cell>
          <cell r="N444" t="str">
            <v>B</v>
          </cell>
          <cell r="O444" t="str">
            <v>A</v>
          </cell>
          <cell r="P444" t="str">
            <v>C</v>
          </cell>
          <cell r="Q444" t="str">
            <v>B</v>
          </cell>
          <cell r="R444" t="str">
            <v>C</v>
          </cell>
          <cell r="X444">
            <v>46.1</v>
          </cell>
        </row>
        <row r="445">
          <cell r="C445">
            <v>38582691</v>
          </cell>
          <cell r="D445" t="str">
            <v>ТЗОВ "БЦЛ"</v>
          </cell>
          <cell r="E445">
            <v>45779.666799999999</v>
          </cell>
          <cell r="F445">
            <v>45566</v>
          </cell>
          <cell r="G445" t="str">
            <v>E</v>
          </cell>
          <cell r="H445" t="str">
            <v>B</v>
          </cell>
          <cell r="I445" t="str">
            <v>B</v>
          </cell>
          <cell r="J445" t="str">
            <v>A</v>
          </cell>
          <cell r="K445" t="str">
            <v>B</v>
          </cell>
          <cell r="L445" t="str">
            <v>B</v>
          </cell>
          <cell r="M445" t="str">
            <v>A</v>
          </cell>
          <cell r="N445" t="str">
            <v>B</v>
          </cell>
          <cell r="O445" t="str">
            <v>A</v>
          </cell>
          <cell r="P445" t="str">
            <v>B</v>
          </cell>
          <cell r="Q445" t="str">
            <v>C</v>
          </cell>
          <cell r="R445" t="str">
            <v>C</v>
          </cell>
          <cell r="X445">
            <v>45.7</v>
          </cell>
        </row>
        <row r="446">
          <cell r="C446">
            <v>38598848</v>
          </cell>
          <cell r="D446" t="str">
            <v>ТОВ "БІЛТЕКС"</v>
          </cell>
          <cell r="E446">
            <v>45637.416700000002</v>
          </cell>
          <cell r="F446">
            <v>45566</v>
          </cell>
          <cell r="G446" t="str">
            <v>E</v>
          </cell>
          <cell r="H446" t="str">
            <v>B</v>
          </cell>
          <cell r="I446" t="str">
            <v>B</v>
          </cell>
          <cell r="J446" t="str">
            <v>A</v>
          </cell>
          <cell r="K446" t="str">
            <v>D</v>
          </cell>
          <cell r="L446" t="str">
            <v>B</v>
          </cell>
          <cell r="M446" t="str">
            <v>A</v>
          </cell>
          <cell r="N446" t="str">
            <v>B</v>
          </cell>
          <cell r="O446" t="str">
            <v>A</v>
          </cell>
          <cell r="P446" t="str">
            <v>C</v>
          </cell>
          <cell r="Q446" t="str">
            <v>B</v>
          </cell>
          <cell r="R446" t="str">
            <v>B</v>
          </cell>
          <cell r="X446">
            <v>44.5</v>
          </cell>
        </row>
        <row r="447">
          <cell r="C447">
            <v>38599548</v>
          </cell>
          <cell r="D447" t="str">
            <v>ТОВ "БОНТОЙ"</v>
          </cell>
          <cell r="E447">
            <v>45835.748500000002</v>
          </cell>
          <cell r="F447">
            <v>45748</v>
          </cell>
          <cell r="G447" t="str">
            <v>E</v>
          </cell>
          <cell r="H447" t="str">
            <v>C</v>
          </cell>
          <cell r="I447" t="str">
            <v>A</v>
          </cell>
          <cell r="J447" t="str">
            <v>A</v>
          </cell>
          <cell r="K447" t="str">
            <v>D</v>
          </cell>
          <cell r="L447" t="str">
            <v>B</v>
          </cell>
          <cell r="M447" t="str">
            <v>A</v>
          </cell>
          <cell r="N447" t="str">
            <v>B</v>
          </cell>
          <cell r="O447" t="str">
            <v>A</v>
          </cell>
          <cell r="P447" t="str">
            <v>C</v>
          </cell>
          <cell r="Q447" t="str">
            <v>C</v>
          </cell>
          <cell r="R447" t="str">
            <v>C</v>
          </cell>
          <cell r="X447">
            <v>34.299999999999997</v>
          </cell>
        </row>
        <row r="448">
          <cell r="C448">
            <v>38656642</v>
          </cell>
          <cell r="D448" t="str">
            <v>ТОВ "ЗЕРНОПРОМ-ПЛЮС"</v>
          </cell>
          <cell r="E448">
            <v>45848.534299999999</v>
          </cell>
          <cell r="F448">
            <v>45658</v>
          </cell>
          <cell r="G448" t="str">
            <v>E</v>
          </cell>
          <cell r="H448" t="str">
            <v>C</v>
          </cell>
          <cell r="I448" t="str">
            <v>C</v>
          </cell>
          <cell r="J448" t="str">
            <v>A</v>
          </cell>
          <cell r="K448" t="str">
            <v>D</v>
          </cell>
          <cell r="L448" t="str">
            <v>B</v>
          </cell>
          <cell r="M448" t="str">
            <v>A</v>
          </cell>
          <cell r="N448" t="str">
            <v>B</v>
          </cell>
          <cell r="O448" t="str">
            <v>B</v>
          </cell>
          <cell r="P448" t="str">
            <v>A</v>
          </cell>
          <cell r="Q448" t="str">
            <v>C</v>
          </cell>
          <cell r="R448" t="str">
            <v>C</v>
          </cell>
          <cell r="X448">
            <v>31.299999999999997</v>
          </cell>
        </row>
        <row r="449">
          <cell r="C449">
            <v>38661338</v>
          </cell>
          <cell r="D449" t="str">
            <v>ТОВ "Селянка ТМ"</v>
          </cell>
          <cell r="E449">
            <v>45772.675900000002</v>
          </cell>
          <cell r="F449">
            <v>45658</v>
          </cell>
          <cell r="G449" t="str">
            <v>E</v>
          </cell>
          <cell r="H449" t="str">
            <v>B</v>
          </cell>
          <cell r="I449" t="str">
            <v>A</v>
          </cell>
          <cell r="J449" t="str">
            <v>B</v>
          </cell>
          <cell r="K449" t="str">
            <v>D</v>
          </cell>
          <cell r="L449" t="str">
            <v>B</v>
          </cell>
          <cell r="M449" t="str">
            <v>A</v>
          </cell>
          <cell r="N449" t="str">
            <v>B</v>
          </cell>
          <cell r="O449" t="str">
            <v>B</v>
          </cell>
          <cell r="P449" t="str">
            <v>C</v>
          </cell>
          <cell r="Q449" t="str">
            <v>C</v>
          </cell>
          <cell r="R449" t="str">
            <v>A</v>
          </cell>
          <cell r="X449">
            <v>41.099999999999994</v>
          </cell>
        </row>
        <row r="450">
          <cell r="C450">
            <v>38675581</v>
          </cell>
          <cell r="D450" t="str">
            <v>ТОВ "АВТОВІНН"</v>
          </cell>
          <cell r="E450">
            <v>45926.4833</v>
          </cell>
          <cell r="F450">
            <v>45839</v>
          </cell>
          <cell r="G450" t="str">
            <v>D</v>
          </cell>
          <cell r="H450" t="str">
            <v>A</v>
          </cell>
          <cell r="I450" t="str">
            <v>C</v>
          </cell>
          <cell r="J450" t="str">
            <v>B</v>
          </cell>
          <cell r="K450" t="str">
            <v>C</v>
          </cell>
          <cell r="L450" t="str">
            <v>A</v>
          </cell>
          <cell r="M450" t="str">
            <v>A</v>
          </cell>
          <cell r="N450" t="str">
            <v>B</v>
          </cell>
          <cell r="O450" t="str">
            <v>A</v>
          </cell>
          <cell r="P450" t="str">
            <v>A</v>
          </cell>
          <cell r="Q450" t="str">
            <v>B</v>
          </cell>
          <cell r="R450" t="str">
            <v>A</v>
          </cell>
          <cell r="X450">
            <v>60.7</v>
          </cell>
        </row>
        <row r="451">
          <cell r="C451">
            <v>38677882</v>
          </cell>
          <cell r="D451" t="str">
            <v>ТОВ "Солар Стальконструкція"</v>
          </cell>
          <cell r="E451">
            <v>45742.4493</v>
          </cell>
          <cell r="F451">
            <v>45566</v>
          </cell>
          <cell r="G451" t="str">
            <v>E</v>
          </cell>
          <cell r="H451" t="str">
            <v>C</v>
          </cell>
          <cell r="I451" t="str">
            <v>B</v>
          </cell>
          <cell r="J451" t="str">
            <v>B</v>
          </cell>
          <cell r="K451" t="str">
            <v>D</v>
          </cell>
          <cell r="L451" t="str">
            <v>B</v>
          </cell>
          <cell r="M451" t="str">
            <v>A</v>
          </cell>
          <cell r="N451" t="str">
            <v>A</v>
          </cell>
          <cell r="O451" t="str">
            <v>A</v>
          </cell>
          <cell r="P451" t="str">
            <v>C</v>
          </cell>
          <cell r="Q451" t="str">
            <v>B</v>
          </cell>
          <cell r="R451" t="str">
            <v>B</v>
          </cell>
          <cell r="X451">
            <v>49</v>
          </cell>
        </row>
        <row r="452">
          <cell r="C452">
            <v>38706876</v>
          </cell>
          <cell r="D452" t="str">
            <v>ТОВ "ПАРАЛЛЕЛЬ-ОПТ"</v>
          </cell>
          <cell r="E452">
            <v>45730.466699999997</v>
          </cell>
          <cell r="F452">
            <v>45658</v>
          </cell>
          <cell r="G452" t="str">
            <v>E</v>
          </cell>
          <cell r="H452" t="str">
            <v>C</v>
          </cell>
          <cell r="I452" t="str">
            <v>D</v>
          </cell>
          <cell r="J452" t="str">
            <v>B</v>
          </cell>
          <cell r="K452" t="str">
            <v>B</v>
          </cell>
          <cell r="L452" t="str">
            <v>B</v>
          </cell>
          <cell r="M452" t="str">
            <v>A</v>
          </cell>
          <cell r="N452" t="str">
            <v>B</v>
          </cell>
          <cell r="O452" t="str">
            <v>B</v>
          </cell>
          <cell r="P452" t="str">
            <v>C</v>
          </cell>
          <cell r="Q452" t="str">
            <v>C</v>
          </cell>
          <cell r="R452" t="str">
            <v>A</v>
          </cell>
          <cell r="X452">
            <v>40.699999999999996</v>
          </cell>
        </row>
        <row r="453">
          <cell r="C453">
            <v>38712963</v>
          </cell>
          <cell r="D453" t="str">
            <v>ТОВ "ГЕНДЛЯРКА"</v>
          </cell>
          <cell r="E453">
            <v>45898.599199999997</v>
          </cell>
          <cell r="F453">
            <v>45839</v>
          </cell>
          <cell r="G453" t="str">
            <v>E</v>
          </cell>
          <cell r="H453" t="str">
            <v>B</v>
          </cell>
          <cell r="I453" t="str">
            <v>C</v>
          </cell>
          <cell r="J453" t="str">
            <v>A</v>
          </cell>
          <cell r="K453" t="str">
            <v>D</v>
          </cell>
          <cell r="L453" t="str">
            <v>A</v>
          </cell>
          <cell r="M453" t="str">
            <v>A</v>
          </cell>
          <cell r="N453" t="str">
            <v>B</v>
          </cell>
          <cell r="O453" t="str">
            <v>A</v>
          </cell>
          <cell r="P453" t="str">
            <v>C</v>
          </cell>
          <cell r="Q453" t="str">
            <v>B</v>
          </cell>
          <cell r="R453" t="str">
            <v>C</v>
          </cell>
          <cell r="X453">
            <v>38.9</v>
          </cell>
        </row>
        <row r="454">
          <cell r="C454">
            <v>38714080</v>
          </cell>
          <cell r="D454" t="str">
            <v>ПП "СТОКОЛОС-АГРОІНВЕСТ"</v>
          </cell>
          <cell r="E454">
            <v>45693.443700000003</v>
          </cell>
          <cell r="F454">
            <v>45474</v>
          </cell>
          <cell r="G454" t="str">
            <v>E</v>
          </cell>
          <cell r="H454" t="str">
            <v>B</v>
          </cell>
          <cell r="I454" t="str">
            <v>C</v>
          </cell>
          <cell r="J454" t="str">
            <v>C</v>
          </cell>
          <cell r="K454" t="str">
            <v>D</v>
          </cell>
          <cell r="L454" t="str">
            <v>A</v>
          </cell>
          <cell r="M454" t="str">
            <v>A</v>
          </cell>
          <cell r="N454" t="str">
            <v>B</v>
          </cell>
          <cell r="O454" t="str">
            <v>A</v>
          </cell>
          <cell r="P454" t="str">
            <v>B</v>
          </cell>
          <cell r="Q454" t="str">
            <v>B</v>
          </cell>
          <cell r="R454" t="str">
            <v>C</v>
          </cell>
          <cell r="X454">
            <v>46.300000000000004</v>
          </cell>
        </row>
        <row r="455">
          <cell r="C455">
            <v>38721941</v>
          </cell>
          <cell r="D455" t="str">
            <v>ТОВ "ГЛЕНПОРТ ОДЕСА"</v>
          </cell>
          <cell r="E455">
            <v>45992.008900000001</v>
          </cell>
          <cell r="F455">
            <v>45839</v>
          </cell>
          <cell r="G455" t="str">
            <v>E</v>
          </cell>
          <cell r="H455" t="str">
            <v>B</v>
          </cell>
          <cell r="I455" t="str">
            <v>A</v>
          </cell>
          <cell r="J455" t="str">
            <v>A</v>
          </cell>
          <cell r="K455" t="str">
            <v>D</v>
          </cell>
          <cell r="L455" t="str">
            <v>A</v>
          </cell>
          <cell r="M455" t="str">
            <v>A</v>
          </cell>
          <cell r="N455" t="str">
            <v>A</v>
          </cell>
          <cell r="O455" t="str">
            <v>A</v>
          </cell>
          <cell r="P455" t="str">
            <v>B</v>
          </cell>
          <cell r="Q455" t="str">
            <v>B</v>
          </cell>
          <cell r="R455" t="str">
            <v>A</v>
          </cell>
          <cell r="X455">
            <v>53.600000000000009</v>
          </cell>
        </row>
        <row r="456">
          <cell r="C456">
            <v>38740550</v>
          </cell>
          <cell r="D456" t="str">
            <v>ТЗОВ "ЛЬВІВ-БУД"</v>
          </cell>
          <cell r="E456">
            <v>45792.554100000001</v>
          </cell>
          <cell r="F456">
            <v>45658</v>
          </cell>
          <cell r="G456" t="str">
            <v>E</v>
          </cell>
          <cell r="H456" t="str">
            <v>A</v>
          </cell>
          <cell r="I456" t="str">
            <v>B</v>
          </cell>
          <cell r="J456" t="str">
            <v>A</v>
          </cell>
          <cell r="K456" t="str">
            <v>B</v>
          </cell>
          <cell r="L456" t="str">
            <v>B</v>
          </cell>
          <cell r="M456" t="str">
            <v>A</v>
          </cell>
          <cell r="N456" t="str">
            <v>A</v>
          </cell>
          <cell r="O456" t="str">
            <v>B</v>
          </cell>
          <cell r="P456" t="str">
            <v>C</v>
          </cell>
          <cell r="Q456" t="str">
            <v>B</v>
          </cell>
          <cell r="R456" t="str">
            <v>A</v>
          </cell>
          <cell r="X456">
            <v>53.8</v>
          </cell>
        </row>
        <row r="457">
          <cell r="C457">
            <v>38744775</v>
          </cell>
          <cell r="D457" t="str">
            <v>ТОВ "КІГ"</v>
          </cell>
          <cell r="E457">
            <v>45826.77</v>
          </cell>
          <cell r="F457">
            <v>45658</v>
          </cell>
          <cell r="G457" t="str">
            <v>D</v>
          </cell>
          <cell r="H457" t="str">
            <v>B</v>
          </cell>
          <cell r="I457" t="str">
            <v>B</v>
          </cell>
          <cell r="J457" t="str">
            <v>B</v>
          </cell>
          <cell r="K457" t="str">
            <v>B</v>
          </cell>
          <cell r="L457" t="str">
            <v>B</v>
          </cell>
          <cell r="M457" t="str">
            <v>A</v>
          </cell>
          <cell r="N457" t="str">
            <v>B</v>
          </cell>
          <cell r="O457" t="str">
            <v>A</v>
          </cell>
          <cell r="P457" t="str">
            <v>C</v>
          </cell>
          <cell r="Q457" t="str">
            <v>C</v>
          </cell>
          <cell r="R457" t="str">
            <v>C</v>
          </cell>
          <cell r="X457">
            <v>50.3</v>
          </cell>
        </row>
        <row r="458">
          <cell r="C458">
            <v>38759520</v>
          </cell>
          <cell r="D458" t="str">
            <v>ПП "АГРОФІРМА ПРОГРЕСС"</v>
          </cell>
          <cell r="E458">
            <v>45848.534299999999</v>
          </cell>
          <cell r="F458">
            <v>45658</v>
          </cell>
          <cell r="G458" t="str">
            <v>E</v>
          </cell>
          <cell r="H458" t="str">
            <v>C</v>
          </cell>
          <cell r="I458" t="str">
            <v>C</v>
          </cell>
          <cell r="J458" t="str">
            <v>A</v>
          </cell>
          <cell r="K458" t="str">
            <v>D</v>
          </cell>
          <cell r="L458" t="str">
            <v>B</v>
          </cell>
          <cell r="M458" t="str">
            <v>A</v>
          </cell>
          <cell r="N458" t="str">
            <v>B</v>
          </cell>
          <cell r="O458" t="str">
            <v>B</v>
          </cell>
          <cell r="P458" t="str">
            <v>A</v>
          </cell>
          <cell r="Q458" t="str">
            <v>C</v>
          </cell>
          <cell r="R458" t="str">
            <v>C</v>
          </cell>
          <cell r="X458">
            <v>31.299999999999997</v>
          </cell>
        </row>
        <row r="459">
          <cell r="C459">
            <v>38781431</v>
          </cell>
          <cell r="D459" t="str">
            <v>ТОВ "НГХ СЕРВІС"</v>
          </cell>
          <cell r="E459">
            <v>45938.614300000001</v>
          </cell>
          <cell r="F459">
            <v>45748</v>
          </cell>
          <cell r="G459" t="str">
            <v>E</v>
          </cell>
          <cell r="H459" t="str">
            <v>B</v>
          </cell>
          <cell r="I459" t="str">
            <v>B</v>
          </cell>
          <cell r="J459" t="str">
            <v>B</v>
          </cell>
          <cell r="K459" t="str">
            <v>D</v>
          </cell>
          <cell r="L459" t="str">
            <v>A</v>
          </cell>
          <cell r="M459" t="str">
            <v>A</v>
          </cell>
          <cell r="N459" t="str">
            <v>B</v>
          </cell>
          <cell r="O459" t="str">
            <v>A</v>
          </cell>
          <cell r="P459" t="str">
            <v>C</v>
          </cell>
          <cell r="Q459" t="str">
            <v>C</v>
          </cell>
          <cell r="R459" t="str">
            <v>A</v>
          </cell>
          <cell r="X459">
            <v>53.9</v>
          </cell>
        </row>
        <row r="460">
          <cell r="C460">
            <v>38783374</v>
          </cell>
          <cell r="D460" t="str">
            <v>ТОВ"ВОРОНОВИЦЬКЕ ХПП"</v>
          </cell>
          <cell r="E460">
            <v>45817.703399999999</v>
          </cell>
          <cell r="F460">
            <v>45658</v>
          </cell>
          <cell r="G460" t="str">
            <v>E</v>
          </cell>
          <cell r="H460" t="str">
            <v>C</v>
          </cell>
          <cell r="I460" t="str">
            <v>B</v>
          </cell>
          <cell r="J460" t="str">
            <v>C</v>
          </cell>
          <cell r="K460" t="str">
            <v>C</v>
          </cell>
          <cell r="L460" t="str">
            <v>A</v>
          </cell>
          <cell r="M460" t="str">
            <v>A</v>
          </cell>
          <cell r="N460" t="str">
            <v>B</v>
          </cell>
          <cell r="O460" t="str">
            <v>A</v>
          </cell>
          <cell r="P460" t="str">
            <v>C</v>
          </cell>
          <cell r="Q460" t="str">
            <v>B</v>
          </cell>
          <cell r="R460" t="str">
            <v>B</v>
          </cell>
          <cell r="X460">
            <v>56.1</v>
          </cell>
        </row>
        <row r="461">
          <cell r="C461">
            <v>38799405</v>
          </cell>
          <cell r="D461" t="str">
            <v>ТОВ "ТД Енергостройінвест"</v>
          </cell>
          <cell r="E461">
            <v>45881.635000000002</v>
          </cell>
          <cell r="F461">
            <v>45658</v>
          </cell>
          <cell r="G461" t="str">
            <v>E</v>
          </cell>
          <cell r="H461" t="str">
            <v>B</v>
          </cell>
          <cell r="I461" t="str">
            <v>B</v>
          </cell>
          <cell r="J461" t="str">
            <v>D</v>
          </cell>
          <cell r="K461" t="str">
            <v>D</v>
          </cell>
          <cell r="L461" t="str">
            <v>B</v>
          </cell>
          <cell r="M461" t="str">
            <v>A</v>
          </cell>
          <cell r="N461" t="str">
            <v>B</v>
          </cell>
          <cell r="O461" t="str">
            <v>A</v>
          </cell>
          <cell r="P461" t="str">
            <v>C</v>
          </cell>
          <cell r="Q461" t="str">
            <v>B</v>
          </cell>
          <cell r="R461" t="str">
            <v>A</v>
          </cell>
          <cell r="X461">
            <v>56.1</v>
          </cell>
        </row>
        <row r="462">
          <cell r="C462">
            <v>38806862</v>
          </cell>
          <cell r="D462" t="str">
            <v>ТОВ "МЕДИЧНИЙ ЦЕНТР "ДОБРОБУТ-ПОЛІКЛІНІКА"</v>
          </cell>
          <cell r="E462">
            <v>45645.483099999998</v>
          </cell>
          <cell r="F462">
            <v>45566</v>
          </cell>
          <cell r="G462" t="str">
            <v>D</v>
          </cell>
          <cell r="H462" t="str">
            <v>B</v>
          </cell>
          <cell r="I462" t="str">
            <v>D</v>
          </cell>
          <cell r="J462" t="str">
            <v>B</v>
          </cell>
          <cell r="K462" t="str">
            <v>B</v>
          </cell>
          <cell r="L462" t="str">
            <v>A</v>
          </cell>
          <cell r="M462" t="str">
            <v>A</v>
          </cell>
          <cell r="N462" t="str">
            <v>A</v>
          </cell>
          <cell r="O462" t="str">
            <v>A</v>
          </cell>
          <cell r="P462" t="str">
            <v>A</v>
          </cell>
          <cell r="Q462" t="str">
            <v>A</v>
          </cell>
          <cell r="R462" t="str">
            <v>B</v>
          </cell>
          <cell r="X462">
            <v>62.4</v>
          </cell>
        </row>
        <row r="463">
          <cell r="C463">
            <v>38840039</v>
          </cell>
          <cell r="D463" t="str">
            <v>ТОВ "ПЛУТОН ІС"</v>
          </cell>
          <cell r="E463">
            <v>45882.726199999997</v>
          </cell>
          <cell r="F463">
            <v>45566</v>
          </cell>
          <cell r="G463" t="str">
            <v>E</v>
          </cell>
          <cell r="H463" t="str">
            <v>B</v>
          </cell>
          <cell r="I463" t="str">
            <v>B</v>
          </cell>
          <cell r="J463" t="str">
            <v>D</v>
          </cell>
          <cell r="K463" t="str">
            <v>D</v>
          </cell>
          <cell r="L463" t="str">
            <v>B</v>
          </cell>
          <cell r="M463" t="str">
            <v>A</v>
          </cell>
          <cell r="N463" t="str">
            <v>C</v>
          </cell>
          <cell r="O463" t="str">
            <v>A</v>
          </cell>
          <cell r="P463" t="str">
            <v>C</v>
          </cell>
          <cell r="Q463" t="str">
            <v>C</v>
          </cell>
          <cell r="R463" t="str">
            <v>B</v>
          </cell>
          <cell r="X463">
            <v>49.199999999999996</v>
          </cell>
        </row>
        <row r="464">
          <cell r="C464">
            <v>38888898</v>
          </cell>
          <cell r="D464" t="str">
            <v>ТОВ "Строй ЮА"</v>
          </cell>
          <cell r="E464">
            <v>45793.468500000003</v>
          </cell>
          <cell r="F464">
            <v>45658</v>
          </cell>
          <cell r="G464" t="str">
            <v>E</v>
          </cell>
          <cell r="H464" t="str">
            <v>A</v>
          </cell>
          <cell r="I464" t="str">
            <v>B</v>
          </cell>
          <cell r="J464" t="str">
            <v>A</v>
          </cell>
          <cell r="K464" t="str">
            <v>A</v>
          </cell>
          <cell r="L464" t="str">
            <v>B</v>
          </cell>
          <cell r="M464" t="str">
            <v>A</v>
          </cell>
          <cell r="N464" t="str">
            <v>B</v>
          </cell>
          <cell r="O464" t="str">
            <v>A</v>
          </cell>
          <cell r="P464" t="str">
            <v>C</v>
          </cell>
          <cell r="Q464" t="str">
            <v>B</v>
          </cell>
          <cell r="R464" t="str">
            <v>C</v>
          </cell>
          <cell r="X464">
            <v>49.300000000000004</v>
          </cell>
        </row>
        <row r="465">
          <cell r="C465">
            <v>38897076</v>
          </cell>
          <cell r="D465" t="str">
            <v>ТОВ "МБК Сінергія"</v>
          </cell>
          <cell r="E465">
            <v>45835</v>
          </cell>
          <cell r="F465">
            <v>45748</v>
          </cell>
          <cell r="G465" t="str">
            <v>E</v>
          </cell>
          <cell r="H465" t="str">
            <v>B</v>
          </cell>
          <cell r="I465" t="str">
            <v>B</v>
          </cell>
          <cell r="J465" t="str">
            <v>A</v>
          </cell>
          <cell r="K465" t="str">
            <v>D</v>
          </cell>
          <cell r="L465" t="str">
            <v>A</v>
          </cell>
          <cell r="M465" t="str">
            <v>A</v>
          </cell>
          <cell r="N465" t="str">
            <v>B</v>
          </cell>
          <cell r="O465" t="str">
            <v>A</v>
          </cell>
          <cell r="P465" t="str">
            <v>C</v>
          </cell>
          <cell r="Q465" t="str">
            <v>B</v>
          </cell>
          <cell r="R465" t="str">
            <v>A</v>
          </cell>
          <cell r="X465">
            <v>52.9</v>
          </cell>
        </row>
        <row r="466">
          <cell r="C466">
            <v>38922231</v>
          </cell>
          <cell r="D466" t="str">
            <v>ТОВ "КМ ДІСТІ"</v>
          </cell>
          <cell r="E466">
            <v>45559.524599999997</v>
          </cell>
          <cell r="F466">
            <v>45474</v>
          </cell>
          <cell r="G466" t="str">
            <v>E</v>
          </cell>
          <cell r="H466" t="str">
            <v>C</v>
          </cell>
          <cell r="I466" t="str">
            <v>A</v>
          </cell>
          <cell r="J466" t="str">
            <v>B</v>
          </cell>
          <cell r="K466" t="str">
            <v>D</v>
          </cell>
          <cell r="L466" t="str">
            <v>A</v>
          </cell>
          <cell r="M466" t="str">
            <v>A</v>
          </cell>
          <cell r="N466" t="str">
            <v>A</v>
          </cell>
          <cell r="O466" t="str">
            <v>A</v>
          </cell>
          <cell r="P466" t="str">
            <v>B</v>
          </cell>
          <cell r="Q466" t="str">
            <v>B</v>
          </cell>
          <cell r="R466" t="str">
            <v>A</v>
          </cell>
          <cell r="X466">
            <v>54.800000000000004</v>
          </cell>
        </row>
        <row r="467">
          <cell r="C467">
            <v>38935759</v>
          </cell>
          <cell r="D467" t="str">
            <v>ТОВ "УКРМЕДТЕКСТИЛЬ"</v>
          </cell>
          <cell r="E467">
            <v>45886.746899999998</v>
          </cell>
          <cell r="F467">
            <v>45839</v>
          </cell>
          <cell r="G467" t="str">
            <v>E</v>
          </cell>
          <cell r="H467" t="str">
            <v>B</v>
          </cell>
          <cell r="I467" t="str">
            <v>B</v>
          </cell>
          <cell r="J467" t="str">
            <v>B</v>
          </cell>
          <cell r="K467" t="str">
            <v>D</v>
          </cell>
          <cell r="L467" t="str">
            <v>A</v>
          </cell>
          <cell r="M467" t="str">
            <v>A</v>
          </cell>
          <cell r="N467" t="str">
            <v>B</v>
          </cell>
          <cell r="O467" t="str">
            <v>A</v>
          </cell>
          <cell r="P467" t="str">
            <v>C</v>
          </cell>
          <cell r="Q467" t="str">
            <v>B</v>
          </cell>
          <cell r="R467" t="str">
            <v>A</v>
          </cell>
          <cell r="X467">
            <v>55.7</v>
          </cell>
        </row>
        <row r="468">
          <cell r="C468">
            <v>38952004</v>
          </cell>
          <cell r="D468" t="str">
            <v>ТОВ "ВЕДАРА ТРЕЙД"</v>
          </cell>
          <cell r="E468">
            <v>45679.435299999997</v>
          </cell>
          <cell r="F468">
            <v>45566</v>
          </cell>
          <cell r="G468" t="str">
            <v>E</v>
          </cell>
          <cell r="H468" t="str">
            <v>C</v>
          </cell>
          <cell r="I468" t="str">
            <v>B</v>
          </cell>
          <cell r="J468" t="str">
            <v>C</v>
          </cell>
          <cell r="K468" t="str">
            <v>C</v>
          </cell>
          <cell r="L468" t="str">
            <v>B</v>
          </cell>
          <cell r="M468" t="str">
            <v>A</v>
          </cell>
          <cell r="N468" t="str">
            <v>B</v>
          </cell>
          <cell r="O468" t="str">
            <v>A</v>
          </cell>
          <cell r="P468" t="str">
            <v>C</v>
          </cell>
          <cell r="Q468" t="str">
            <v>B</v>
          </cell>
          <cell r="R468" t="str">
            <v>A</v>
          </cell>
          <cell r="X468">
            <v>54.9</v>
          </cell>
        </row>
        <row r="469">
          <cell r="C469">
            <v>38957704</v>
          </cell>
          <cell r="D469" t="str">
            <v>ТОВ "ІНТЕР ОЛІЯ"</v>
          </cell>
          <cell r="E469">
            <v>45790.379399999998</v>
          </cell>
          <cell r="F469">
            <v>45658</v>
          </cell>
          <cell r="G469" t="str">
            <v>E</v>
          </cell>
          <cell r="H469" t="str">
            <v>B</v>
          </cell>
          <cell r="I469" t="str">
            <v>B</v>
          </cell>
          <cell r="J469" t="str">
            <v>B</v>
          </cell>
          <cell r="K469" t="str">
            <v>B</v>
          </cell>
          <cell r="L469" t="str">
            <v>A</v>
          </cell>
          <cell r="M469" t="str">
            <v>B</v>
          </cell>
          <cell r="N469" t="str">
            <v>B</v>
          </cell>
          <cell r="O469" t="str">
            <v>A</v>
          </cell>
          <cell r="P469" t="str">
            <v>C</v>
          </cell>
          <cell r="Q469" t="str">
            <v>B</v>
          </cell>
          <cell r="R469" t="str">
            <v>B</v>
          </cell>
          <cell r="X469">
            <v>49.300000000000004</v>
          </cell>
        </row>
        <row r="470">
          <cell r="C470">
            <v>38969180</v>
          </cell>
          <cell r="D470" t="str">
            <v>ТОВАРИСТВО З ОБМЕЖЕНОЮ ВІДПОВІДАЛЬНІСТЮ "МЕТАЛВОРКШОП"</v>
          </cell>
          <cell r="E470">
            <v>45924.543700000002</v>
          </cell>
          <cell r="F470">
            <v>45839</v>
          </cell>
          <cell r="G470" t="str">
            <v>E</v>
          </cell>
          <cell r="H470" t="str">
            <v>B</v>
          </cell>
          <cell r="I470" t="str">
            <v>D</v>
          </cell>
          <cell r="J470" t="str">
            <v>A</v>
          </cell>
          <cell r="K470" t="str">
            <v>B</v>
          </cell>
          <cell r="L470" t="str">
            <v>A</v>
          </cell>
          <cell r="M470" t="str">
            <v>A</v>
          </cell>
          <cell r="N470" t="str">
            <v>B</v>
          </cell>
          <cell r="O470" t="str">
            <v>A</v>
          </cell>
          <cell r="P470" t="str">
            <v>C</v>
          </cell>
          <cell r="Q470" t="str">
            <v>B</v>
          </cell>
          <cell r="R470" t="str">
            <v>A</v>
          </cell>
          <cell r="X470">
            <v>49.7</v>
          </cell>
        </row>
        <row r="471">
          <cell r="C471">
            <v>38970835</v>
          </cell>
          <cell r="D471" t="str">
            <v>ТОВ "ВЕРТОГРАД ІНЖИНІРИНГ"</v>
          </cell>
          <cell r="E471">
            <v>45560.700700000001</v>
          </cell>
          <cell r="F471">
            <v>45474</v>
          </cell>
          <cell r="G471" t="str">
            <v>D</v>
          </cell>
          <cell r="H471" t="str">
            <v>B</v>
          </cell>
          <cell r="I471" t="str">
            <v>D</v>
          </cell>
          <cell r="J471" t="str">
            <v>C</v>
          </cell>
          <cell r="K471" t="str">
            <v>D</v>
          </cell>
          <cell r="L471" t="str">
            <v>D</v>
          </cell>
          <cell r="M471" t="str">
            <v>A</v>
          </cell>
          <cell r="N471" t="str">
            <v>B</v>
          </cell>
          <cell r="O471" t="str">
            <v>A</v>
          </cell>
          <cell r="P471" t="str">
            <v>C</v>
          </cell>
          <cell r="Q471" t="str">
            <v>D</v>
          </cell>
          <cell r="R471" t="str">
            <v>C</v>
          </cell>
          <cell r="X471">
            <v>37.699999999999996</v>
          </cell>
        </row>
        <row r="472">
          <cell r="C472">
            <v>38972895</v>
          </cell>
          <cell r="D472" t="str">
            <v>ТОВ "БІХАЙВ"</v>
          </cell>
          <cell r="E472">
            <v>45861.7088</v>
          </cell>
          <cell r="F472">
            <v>45748</v>
          </cell>
          <cell r="G472" t="str">
            <v>D</v>
          </cell>
          <cell r="H472" t="str">
            <v>C</v>
          </cell>
          <cell r="I472" t="str">
            <v>B</v>
          </cell>
          <cell r="J472" t="str">
            <v>C</v>
          </cell>
          <cell r="K472" t="str">
            <v>D</v>
          </cell>
          <cell r="L472" t="str">
            <v>B</v>
          </cell>
          <cell r="M472" t="str">
            <v>A</v>
          </cell>
          <cell r="N472" t="str">
            <v>A</v>
          </cell>
          <cell r="O472" t="str">
            <v>A</v>
          </cell>
          <cell r="P472" t="str">
            <v>C</v>
          </cell>
          <cell r="Q472" t="str">
            <v>B</v>
          </cell>
          <cell r="R472" t="str">
            <v>C</v>
          </cell>
          <cell r="X472">
            <v>52.999999999999993</v>
          </cell>
        </row>
        <row r="473">
          <cell r="C473">
            <v>38982285</v>
          </cell>
          <cell r="D473" t="str">
            <v>ТОВ "ТД "НЕРТУС"</v>
          </cell>
          <cell r="E473">
            <v>45853</v>
          </cell>
          <cell r="F473">
            <v>45748</v>
          </cell>
          <cell r="G473" t="str">
            <v>E</v>
          </cell>
          <cell r="H473" t="str">
            <v>B</v>
          </cell>
          <cell r="I473" t="str">
            <v>B</v>
          </cell>
          <cell r="J473" t="str">
            <v>A</v>
          </cell>
          <cell r="K473" t="str">
            <v>D</v>
          </cell>
          <cell r="L473" t="str">
            <v>A</v>
          </cell>
          <cell r="M473" t="str">
            <v>C</v>
          </cell>
          <cell r="N473" t="str">
            <v>B</v>
          </cell>
          <cell r="O473" t="str">
            <v>A</v>
          </cell>
          <cell r="P473" t="str">
            <v>C</v>
          </cell>
          <cell r="Q473" t="str">
            <v>C</v>
          </cell>
          <cell r="R473" t="str">
            <v>B</v>
          </cell>
          <cell r="X473">
            <v>39.899999999999991</v>
          </cell>
        </row>
        <row r="474">
          <cell r="C474">
            <v>38992534</v>
          </cell>
          <cell r="D474" t="str">
            <v>ТОВ "ХАР-ЛІФТ"</v>
          </cell>
          <cell r="E474">
            <v>45764.534</v>
          </cell>
          <cell r="F474">
            <v>45658</v>
          </cell>
          <cell r="G474" t="str">
            <v>E</v>
          </cell>
          <cell r="H474" t="str">
            <v>C</v>
          </cell>
          <cell r="I474" t="str">
            <v>B</v>
          </cell>
          <cell r="J474" t="str">
            <v>B</v>
          </cell>
          <cell r="K474" t="str">
            <v>E</v>
          </cell>
          <cell r="L474" t="str">
            <v>A</v>
          </cell>
          <cell r="M474" t="str">
            <v>B</v>
          </cell>
          <cell r="N474" t="str">
            <v>A</v>
          </cell>
          <cell r="O474" t="str">
            <v>B</v>
          </cell>
          <cell r="P474" t="str">
            <v>C</v>
          </cell>
          <cell r="Q474" t="str">
            <v>B</v>
          </cell>
          <cell r="R474" t="str">
            <v>C</v>
          </cell>
          <cell r="X474">
            <v>40.200000000000003</v>
          </cell>
        </row>
        <row r="475">
          <cell r="C475">
            <v>38997621</v>
          </cell>
          <cell r="D475" t="str">
            <v>ТОВ "СМАРТ СІНЕРДЖИ"</v>
          </cell>
          <cell r="E475">
            <v>45587.737500000003</v>
          </cell>
          <cell r="F475">
            <v>45474</v>
          </cell>
          <cell r="G475" t="str">
            <v>E</v>
          </cell>
          <cell r="H475" t="str">
            <v>B</v>
          </cell>
          <cell r="I475" t="str">
            <v>A</v>
          </cell>
          <cell r="J475" t="str">
            <v>A</v>
          </cell>
          <cell r="K475" t="str">
            <v>D</v>
          </cell>
          <cell r="L475" t="str">
            <v>B</v>
          </cell>
          <cell r="M475" t="str">
            <v>A</v>
          </cell>
          <cell r="N475" t="str">
            <v>B</v>
          </cell>
          <cell r="O475" t="str">
            <v>A</v>
          </cell>
          <cell r="P475" t="str">
            <v>C</v>
          </cell>
          <cell r="Q475" t="str">
            <v>C</v>
          </cell>
          <cell r="R475" t="str">
            <v>B</v>
          </cell>
          <cell r="X475">
            <v>38.29999999999999</v>
          </cell>
        </row>
        <row r="476">
          <cell r="C476">
            <v>39008850</v>
          </cell>
          <cell r="D476" t="str">
            <v>ТОВ "ДМЗ КОМІНМЕТ"</v>
          </cell>
          <cell r="E476">
            <v>45631.436699999998</v>
          </cell>
          <cell r="F476">
            <v>45566</v>
          </cell>
          <cell r="G476" t="str">
            <v>C</v>
          </cell>
          <cell r="H476" t="str">
            <v>C</v>
          </cell>
          <cell r="I476" t="str">
            <v>A</v>
          </cell>
          <cell r="J476" t="str">
            <v>C</v>
          </cell>
          <cell r="K476" t="str">
            <v>D</v>
          </cell>
          <cell r="L476" t="str">
            <v>A</v>
          </cell>
          <cell r="M476" t="str">
            <v>A</v>
          </cell>
          <cell r="N476" t="str">
            <v>A</v>
          </cell>
          <cell r="O476" t="str">
            <v>A</v>
          </cell>
          <cell r="P476" t="str">
            <v>A</v>
          </cell>
          <cell r="Q476" t="str">
            <v>B</v>
          </cell>
          <cell r="R476" t="str">
            <v>A</v>
          </cell>
          <cell r="X476">
            <v>64</v>
          </cell>
        </row>
        <row r="477">
          <cell r="C477">
            <v>39011711</v>
          </cell>
          <cell r="D477" t="str">
            <v>ТОВ "АД "Галич-Авто"</v>
          </cell>
          <cell r="E477">
            <v>45734.550999999999</v>
          </cell>
          <cell r="F477">
            <v>45658</v>
          </cell>
          <cell r="G477" t="str">
            <v>E</v>
          </cell>
          <cell r="H477" t="str">
            <v>B</v>
          </cell>
          <cell r="I477" t="str">
            <v>B</v>
          </cell>
          <cell r="J477" t="str">
            <v>A</v>
          </cell>
          <cell r="K477" t="str">
            <v>D</v>
          </cell>
          <cell r="L477" t="str">
            <v>B</v>
          </cell>
          <cell r="M477" t="str">
            <v>A</v>
          </cell>
          <cell r="N477" t="str">
            <v>A</v>
          </cell>
          <cell r="O477" t="str">
            <v>A</v>
          </cell>
          <cell r="P477" t="str">
            <v>C</v>
          </cell>
          <cell r="Q477" t="str">
            <v>B</v>
          </cell>
          <cell r="R477" t="str">
            <v>A</v>
          </cell>
          <cell r="X477">
            <v>51.4</v>
          </cell>
        </row>
        <row r="478">
          <cell r="C478">
            <v>39075031</v>
          </cell>
          <cell r="D478" t="str">
            <v>ТОВ "МАРЛЕН-КД"</v>
          </cell>
          <cell r="E478">
            <v>45650.679700000001</v>
          </cell>
          <cell r="F478">
            <v>45566</v>
          </cell>
          <cell r="G478" t="str">
            <v>E</v>
          </cell>
          <cell r="H478" t="str">
            <v>B</v>
          </cell>
          <cell r="I478" t="str">
            <v>C</v>
          </cell>
          <cell r="J478" t="str">
            <v>A</v>
          </cell>
          <cell r="K478" t="str">
            <v>D</v>
          </cell>
          <cell r="L478" t="str">
            <v>A</v>
          </cell>
          <cell r="M478" t="str">
            <v>A</v>
          </cell>
          <cell r="N478" t="str">
            <v>C</v>
          </cell>
          <cell r="O478" t="str">
            <v>A</v>
          </cell>
          <cell r="P478" t="str">
            <v>C</v>
          </cell>
          <cell r="Q478" t="str">
            <v>C</v>
          </cell>
          <cell r="R478" t="str">
            <v>A</v>
          </cell>
          <cell r="X478">
            <v>41.599999999999994</v>
          </cell>
        </row>
        <row r="479">
          <cell r="C479">
            <v>39080209</v>
          </cell>
          <cell r="D479" t="str">
            <v>ТОВ "КОНСТРУКТИВ ВТВ"</v>
          </cell>
          <cell r="E479">
            <v>45932.6394</v>
          </cell>
          <cell r="F479">
            <v>45839</v>
          </cell>
          <cell r="G479" t="str">
            <v>E</v>
          </cell>
          <cell r="H479" t="str">
            <v>B</v>
          </cell>
          <cell r="I479" t="str">
            <v>B</v>
          </cell>
          <cell r="J479" t="str">
            <v>A</v>
          </cell>
          <cell r="K479" t="str">
            <v>D</v>
          </cell>
          <cell r="L479" t="str">
            <v>A</v>
          </cell>
          <cell r="M479" t="str">
            <v>A</v>
          </cell>
          <cell r="N479" t="str">
            <v>B</v>
          </cell>
          <cell r="O479" t="str">
            <v>A</v>
          </cell>
          <cell r="P479" t="str">
            <v>C</v>
          </cell>
          <cell r="Q479" t="str">
            <v>B</v>
          </cell>
          <cell r="R479" t="str">
            <v>A</v>
          </cell>
          <cell r="X479">
            <v>52.9</v>
          </cell>
        </row>
        <row r="480">
          <cell r="C480">
            <v>39080771</v>
          </cell>
          <cell r="D480" t="str">
            <v>ТОВ "ПП ОЙЛ"</v>
          </cell>
          <cell r="E480">
            <v>45946.682699999998</v>
          </cell>
          <cell r="F480">
            <v>45839</v>
          </cell>
          <cell r="G480" t="str">
            <v>E</v>
          </cell>
          <cell r="H480" t="str">
            <v>B</v>
          </cell>
          <cell r="I480" t="str">
            <v>B</v>
          </cell>
          <cell r="J480" t="str">
            <v>A</v>
          </cell>
          <cell r="K480" t="str">
            <v>C</v>
          </cell>
          <cell r="L480" t="str">
            <v>B</v>
          </cell>
          <cell r="M480" t="str">
            <v>A</v>
          </cell>
          <cell r="N480" t="str">
            <v>A</v>
          </cell>
          <cell r="O480" t="str">
            <v>A</v>
          </cell>
          <cell r="P480" t="str">
            <v>C</v>
          </cell>
          <cell r="Q480" t="str">
            <v>B</v>
          </cell>
          <cell r="R480" t="str">
            <v>B</v>
          </cell>
          <cell r="X480">
            <v>50.599999999999994</v>
          </cell>
        </row>
        <row r="481">
          <cell r="C481">
            <v>39106394</v>
          </cell>
          <cell r="D481" t="str">
            <v>ТОВ "ФМ ХЛАДОПРОМ"</v>
          </cell>
          <cell r="E481">
            <v>45919.438000000002</v>
          </cell>
          <cell r="F481">
            <v>45839</v>
          </cell>
          <cell r="G481" t="str">
            <v>C</v>
          </cell>
          <cell r="H481" t="str">
            <v>B</v>
          </cell>
          <cell r="I481" t="str">
            <v>A</v>
          </cell>
          <cell r="J481" t="str">
            <v>B</v>
          </cell>
          <cell r="K481" t="str">
            <v>B</v>
          </cell>
          <cell r="L481" t="str">
            <v>A</v>
          </cell>
          <cell r="M481" t="str">
            <v>A</v>
          </cell>
          <cell r="N481" t="str">
            <v>B</v>
          </cell>
          <cell r="O481" t="str">
            <v>A</v>
          </cell>
          <cell r="P481" t="str">
            <v>A</v>
          </cell>
          <cell r="Q481" t="str">
            <v>B</v>
          </cell>
          <cell r="R481" t="str">
            <v>A</v>
          </cell>
          <cell r="X481">
            <v>63.1</v>
          </cell>
        </row>
        <row r="482">
          <cell r="C482">
            <v>39111163</v>
          </cell>
          <cell r="D482" t="str">
            <v>ТОВ "ІБС"</v>
          </cell>
          <cell r="E482">
            <v>45744.390500000001</v>
          </cell>
          <cell r="F482">
            <v>45658</v>
          </cell>
          <cell r="G482" t="str">
            <v>E</v>
          </cell>
          <cell r="H482" t="str">
            <v>A</v>
          </cell>
          <cell r="I482" t="str">
            <v>A</v>
          </cell>
          <cell r="J482" t="str">
            <v>B</v>
          </cell>
          <cell r="K482" t="str">
            <v>D</v>
          </cell>
          <cell r="L482" t="str">
            <v>A</v>
          </cell>
          <cell r="M482" t="str">
            <v>B</v>
          </cell>
          <cell r="N482" t="str">
            <v>B</v>
          </cell>
          <cell r="O482" t="str">
            <v>A</v>
          </cell>
          <cell r="P482" t="str">
            <v>C</v>
          </cell>
          <cell r="Q482" t="str">
            <v>B</v>
          </cell>
          <cell r="R482" t="str">
            <v>A</v>
          </cell>
          <cell r="X482">
            <v>47.300000000000004</v>
          </cell>
        </row>
        <row r="483">
          <cell r="C483">
            <v>39111315</v>
          </cell>
          <cell r="D483" t="str">
            <v>ТОВ "АКВІЛОН-ТОРГ"</v>
          </cell>
          <cell r="E483">
            <v>45744.390500000001</v>
          </cell>
          <cell r="F483">
            <v>45658</v>
          </cell>
          <cell r="G483" t="str">
            <v>E</v>
          </cell>
          <cell r="H483" t="str">
            <v>A</v>
          </cell>
          <cell r="I483" t="str">
            <v>A</v>
          </cell>
          <cell r="J483" t="str">
            <v>B</v>
          </cell>
          <cell r="K483" t="str">
            <v>D</v>
          </cell>
          <cell r="L483" t="str">
            <v>A</v>
          </cell>
          <cell r="M483" t="str">
            <v>B</v>
          </cell>
          <cell r="N483" t="str">
            <v>B</v>
          </cell>
          <cell r="O483" t="str">
            <v>A</v>
          </cell>
          <cell r="P483" t="str">
            <v>C</v>
          </cell>
          <cell r="Q483" t="str">
            <v>B</v>
          </cell>
          <cell r="R483" t="str">
            <v>A</v>
          </cell>
          <cell r="X483">
            <v>47.300000000000004</v>
          </cell>
        </row>
        <row r="484">
          <cell r="C484">
            <v>39139037</v>
          </cell>
          <cell r="D484" t="str">
            <v>ТОВ "ХАЙАТ ЕСТЕЙТ"</v>
          </cell>
          <cell r="E484">
            <v>45722.520299999996</v>
          </cell>
          <cell r="F484">
            <v>45474</v>
          </cell>
          <cell r="G484" t="str">
            <v>E</v>
          </cell>
          <cell r="H484" t="str">
            <v>C</v>
          </cell>
          <cell r="I484" t="str">
            <v>A</v>
          </cell>
          <cell r="J484" t="str">
            <v>B</v>
          </cell>
          <cell r="K484" t="str">
            <v>D</v>
          </cell>
          <cell r="L484" t="str">
            <v>B</v>
          </cell>
          <cell r="M484" t="str">
            <v>C</v>
          </cell>
          <cell r="N484" t="str">
            <v>B</v>
          </cell>
          <cell r="O484" t="str">
            <v>A</v>
          </cell>
          <cell r="P484" t="str">
            <v>C</v>
          </cell>
          <cell r="Q484" t="str">
            <v>C</v>
          </cell>
          <cell r="R484" t="str">
            <v>C</v>
          </cell>
          <cell r="X484">
            <v>29.5</v>
          </cell>
        </row>
        <row r="485">
          <cell r="C485">
            <v>39140299</v>
          </cell>
          <cell r="D485" t="str">
            <v>ТОВ "Агроінвестзерно"</v>
          </cell>
          <cell r="E485">
            <v>45952.432699999998</v>
          </cell>
          <cell r="F485">
            <v>45839</v>
          </cell>
          <cell r="G485" t="str">
            <v>E</v>
          </cell>
          <cell r="H485" t="str">
            <v>B</v>
          </cell>
          <cell r="I485" t="str">
            <v>B</v>
          </cell>
          <cell r="J485" t="str">
            <v>B</v>
          </cell>
          <cell r="K485" t="str">
            <v>D</v>
          </cell>
          <cell r="L485" t="str">
            <v>B</v>
          </cell>
          <cell r="M485" t="str">
            <v>A</v>
          </cell>
          <cell r="N485" t="str">
            <v>A</v>
          </cell>
          <cell r="O485" t="str">
            <v>A</v>
          </cell>
          <cell r="P485" t="str">
            <v>C</v>
          </cell>
          <cell r="Q485" t="str">
            <v>B</v>
          </cell>
          <cell r="R485" t="str">
            <v>C</v>
          </cell>
          <cell r="X485">
            <v>48.199999999999996</v>
          </cell>
        </row>
        <row r="486">
          <cell r="C486">
            <v>39148440</v>
          </cell>
          <cell r="D486" t="str">
            <v>ТОВ "АГРОХОЛДИНГ "ЗОРЯ""</v>
          </cell>
          <cell r="E486">
            <v>45944</v>
          </cell>
          <cell r="F486">
            <v>45658</v>
          </cell>
          <cell r="G486" t="str">
            <v>D</v>
          </cell>
          <cell r="H486" t="str">
            <v>B</v>
          </cell>
          <cell r="I486" t="str">
            <v>C</v>
          </cell>
          <cell r="J486" t="str">
            <v>C</v>
          </cell>
          <cell r="K486" t="str">
            <v>D</v>
          </cell>
          <cell r="L486" t="str">
            <v>A</v>
          </cell>
          <cell r="M486" t="str">
            <v>A</v>
          </cell>
          <cell r="N486" t="str">
            <v>B</v>
          </cell>
          <cell r="O486" t="str">
            <v>B</v>
          </cell>
          <cell r="P486" t="str">
            <v>C</v>
          </cell>
          <cell r="Q486" t="str">
            <v>B</v>
          </cell>
          <cell r="R486" t="str">
            <v>A</v>
          </cell>
          <cell r="X486">
            <v>50.5</v>
          </cell>
        </row>
        <row r="487">
          <cell r="C487">
            <v>39160089</v>
          </cell>
          <cell r="D487" t="str">
            <v>ТОВ "Елко Україна"</v>
          </cell>
          <cell r="E487">
            <v>45888</v>
          </cell>
          <cell r="F487">
            <v>45839</v>
          </cell>
          <cell r="G487" t="str">
            <v>D</v>
          </cell>
          <cell r="H487" t="str">
            <v>D</v>
          </cell>
          <cell r="I487" t="str">
            <v>B</v>
          </cell>
          <cell r="J487" t="str">
            <v>B</v>
          </cell>
          <cell r="K487" t="str">
            <v>C</v>
          </cell>
          <cell r="L487" t="str">
            <v>A</v>
          </cell>
          <cell r="M487" t="str">
            <v>A</v>
          </cell>
          <cell r="N487" t="str">
            <v>B</v>
          </cell>
          <cell r="O487" t="str">
            <v>A</v>
          </cell>
          <cell r="P487" t="str">
            <v>C</v>
          </cell>
          <cell r="Q487" t="str">
            <v>B</v>
          </cell>
          <cell r="R487" t="str">
            <v>C</v>
          </cell>
          <cell r="X487">
            <v>50.5</v>
          </cell>
        </row>
        <row r="488">
          <cell r="C488">
            <v>39163688</v>
          </cell>
          <cell r="D488" t="str">
            <v>ТОВ "ТБ "УКРАЇНСЬКІ ВЕТЕРИНАРНІ ТЕХНОЛОГІЇ"</v>
          </cell>
          <cell r="E488">
            <v>45799.633900000001</v>
          </cell>
          <cell r="F488">
            <v>45658</v>
          </cell>
          <cell r="G488" t="str">
            <v>E</v>
          </cell>
          <cell r="H488" t="str">
            <v>C</v>
          </cell>
          <cell r="I488" t="str">
            <v>A</v>
          </cell>
          <cell r="J488" t="str">
            <v>C</v>
          </cell>
          <cell r="K488" t="str">
            <v>B</v>
          </cell>
          <cell r="L488" t="str">
            <v>B</v>
          </cell>
          <cell r="M488" t="str">
            <v>A</v>
          </cell>
          <cell r="N488" t="str">
            <v>B</v>
          </cell>
          <cell r="O488" t="str">
            <v>A</v>
          </cell>
          <cell r="P488" t="str">
            <v>C</v>
          </cell>
          <cell r="Q488" t="str">
            <v>B</v>
          </cell>
          <cell r="R488" t="str">
            <v>A</v>
          </cell>
          <cell r="X488">
            <v>51.3</v>
          </cell>
        </row>
        <row r="489">
          <cell r="C489">
            <v>39195903</v>
          </cell>
          <cell r="D489" t="str">
            <v>ТОВ "ЛВН ЛІМІТЕД"</v>
          </cell>
          <cell r="E489">
            <v>45786.613700000002</v>
          </cell>
          <cell r="F489">
            <v>45658</v>
          </cell>
          <cell r="G489" t="str">
            <v>C</v>
          </cell>
          <cell r="H489" t="str">
            <v>C</v>
          </cell>
          <cell r="I489" t="str">
            <v>D</v>
          </cell>
          <cell r="J489" t="str">
            <v>A</v>
          </cell>
          <cell r="K489" t="str">
            <v>D</v>
          </cell>
          <cell r="L489" t="str">
            <v>B</v>
          </cell>
          <cell r="M489" t="str">
            <v>A</v>
          </cell>
          <cell r="N489" t="str">
            <v>C</v>
          </cell>
          <cell r="O489" t="str">
            <v>A</v>
          </cell>
          <cell r="P489" t="str">
            <v>B</v>
          </cell>
          <cell r="Q489" t="str">
            <v>B</v>
          </cell>
          <cell r="R489" t="str">
            <v>C</v>
          </cell>
          <cell r="X489">
            <v>38</v>
          </cell>
        </row>
        <row r="490">
          <cell r="C490">
            <v>39196410</v>
          </cell>
          <cell r="D490" t="str">
            <v>ТОВ"АПТЕКА ДОБРОГО ДНЯ"</v>
          </cell>
          <cell r="E490">
            <v>45674.788399999998</v>
          </cell>
          <cell r="F490">
            <v>45566</v>
          </cell>
          <cell r="G490" t="str">
            <v>B</v>
          </cell>
          <cell r="H490" t="str">
            <v>A</v>
          </cell>
          <cell r="I490" t="str">
            <v>B</v>
          </cell>
          <cell r="J490" t="str">
            <v>B</v>
          </cell>
          <cell r="K490" t="str">
            <v>C</v>
          </cell>
          <cell r="L490" t="str">
            <v>A</v>
          </cell>
          <cell r="M490" t="str">
            <v>A</v>
          </cell>
          <cell r="N490" t="str">
            <v>A</v>
          </cell>
          <cell r="O490" t="str">
            <v>B</v>
          </cell>
          <cell r="P490" t="str">
            <v>C</v>
          </cell>
          <cell r="Q490" t="str">
            <v>B</v>
          </cell>
          <cell r="R490" t="str">
            <v>B</v>
          </cell>
          <cell r="X490">
            <v>65</v>
          </cell>
        </row>
        <row r="491">
          <cell r="C491">
            <v>39198972</v>
          </cell>
          <cell r="D491" t="str">
            <v>ТОВ "ТЕХНОПОЛЬ АГРО"</v>
          </cell>
          <cell r="E491">
            <v>45949.937700000002</v>
          </cell>
          <cell r="F491">
            <v>45658</v>
          </cell>
          <cell r="G491" t="str">
            <v>D</v>
          </cell>
          <cell r="H491" t="str">
            <v>B</v>
          </cell>
          <cell r="I491" t="str">
            <v>B</v>
          </cell>
          <cell r="J491" t="str">
            <v>B</v>
          </cell>
          <cell r="K491" t="str">
            <v>B</v>
          </cell>
          <cell r="L491" t="str">
            <v>A</v>
          </cell>
          <cell r="M491" t="str">
            <v>A</v>
          </cell>
          <cell r="N491" t="str">
            <v>B</v>
          </cell>
          <cell r="O491" t="str">
            <v>A</v>
          </cell>
          <cell r="P491" t="str">
            <v>A</v>
          </cell>
          <cell r="Q491" t="str">
            <v>B</v>
          </cell>
          <cell r="R491" t="str">
            <v>A</v>
          </cell>
          <cell r="X491">
            <v>67.100000000000009</v>
          </cell>
        </row>
        <row r="492">
          <cell r="C492">
            <v>39200703</v>
          </cell>
          <cell r="D492" t="str">
            <v>ТОВ "СЕРВІС ПРО"</v>
          </cell>
          <cell r="E492">
            <v>45835.374100000001</v>
          </cell>
          <cell r="F492">
            <v>45658</v>
          </cell>
          <cell r="G492" t="str">
            <v>C</v>
          </cell>
          <cell r="H492" t="str">
            <v>C</v>
          </cell>
          <cell r="I492" t="str">
            <v>D</v>
          </cell>
          <cell r="J492" t="str">
            <v>A</v>
          </cell>
          <cell r="K492" t="str">
            <v>A</v>
          </cell>
          <cell r="L492" t="str">
            <v>A</v>
          </cell>
          <cell r="M492" t="str">
            <v>A</v>
          </cell>
          <cell r="N492" t="str">
            <v>A</v>
          </cell>
          <cell r="O492" t="str">
            <v>A</v>
          </cell>
          <cell r="P492" t="str">
            <v>C</v>
          </cell>
          <cell r="Q492" t="str">
            <v>B</v>
          </cell>
          <cell r="R492" t="str">
            <v>A</v>
          </cell>
          <cell r="X492">
            <v>56.6</v>
          </cell>
        </row>
        <row r="493">
          <cell r="C493">
            <v>39200881</v>
          </cell>
          <cell r="D493" t="str">
            <v>ТЗОВ "РЕГНО ІТАЛІЯ УА"</v>
          </cell>
          <cell r="E493">
            <v>45672.693700000003</v>
          </cell>
          <cell r="F493">
            <v>45566</v>
          </cell>
          <cell r="G493" t="str">
            <v>E</v>
          </cell>
          <cell r="H493" t="str">
            <v>B</v>
          </cell>
          <cell r="I493" t="str">
            <v>B</v>
          </cell>
          <cell r="J493" t="str">
            <v>A</v>
          </cell>
          <cell r="K493" t="str">
            <v>C</v>
          </cell>
          <cell r="L493" t="str">
            <v>B</v>
          </cell>
          <cell r="M493" t="str">
            <v>A</v>
          </cell>
          <cell r="N493" t="str">
            <v>A</v>
          </cell>
          <cell r="O493" t="str">
            <v>A</v>
          </cell>
          <cell r="P493" t="str">
            <v>C</v>
          </cell>
          <cell r="Q493" t="str">
            <v>B</v>
          </cell>
          <cell r="R493" t="str">
            <v>C</v>
          </cell>
          <cell r="X493">
            <v>48.199999999999996</v>
          </cell>
        </row>
        <row r="494">
          <cell r="C494">
            <v>39204954</v>
          </cell>
          <cell r="D494" t="str">
            <v>ТОВ "ЗДОРОВЕ МАЙБУТНЄ"</v>
          </cell>
          <cell r="E494">
            <v>45681.486799999999</v>
          </cell>
          <cell r="F494">
            <v>45566</v>
          </cell>
          <cell r="G494" t="str">
            <v>E</v>
          </cell>
          <cell r="H494" t="str">
            <v>B</v>
          </cell>
          <cell r="I494" t="str">
            <v>C</v>
          </cell>
          <cell r="J494" t="str">
            <v>B</v>
          </cell>
          <cell r="K494" t="str">
            <v>D</v>
          </cell>
          <cell r="L494" t="str">
            <v>B</v>
          </cell>
          <cell r="M494" t="str">
            <v>A</v>
          </cell>
          <cell r="N494" t="str">
            <v>B</v>
          </cell>
          <cell r="O494" t="str">
            <v>A</v>
          </cell>
          <cell r="P494" t="str">
            <v>C</v>
          </cell>
          <cell r="Q494" t="str">
            <v>B</v>
          </cell>
          <cell r="R494" t="str">
            <v>A</v>
          </cell>
          <cell r="X494">
            <v>42.9</v>
          </cell>
        </row>
        <row r="495">
          <cell r="C495">
            <v>39216802</v>
          </cell>
          <cell r="D495" t="str">
            <v>ТОВ "ЕФЕ БЕТОН"</v>
          </cell>
          <cell r="E495">
            <v>45954.508699999998</v>
          </cell>
          <cell r="F495">
            <v>45839</v>
          </cell>
          <cell r="G495" t="str">
            <v>C</v>
          </cell>
          <cell r="H495" t="str">
            <v>B</v>
          </cell>
          <cell r="I495" t="str">
            <v>B</v>
          </cell>
          <cell r="J495" t="str">
            <v>B</v>
          </cell>
          <cell r="K495" t="str">
            <v>C</v>
          </cell>
          <cell r="L495" t="str">
            <v>A</v>
          </cell>
          <cell r="M495" t="str">
            <v>A</v>
          </cell>
          <cell r="N495" t="str">
            <v>A</v>
          </cell>
          <cell r="O495" t="str">
            <v>A</v>
          </cell>
          <cell r="P495" t="str">
            <v>D</v>
          </cell>
          <cell r="Q495" t="str">
            <v>B</v>
          </cell>
          <cell r="R495" t="str">
            <v>B</v>
          </cell>
          <cell r="X495">
            <v>60.400000000000006</v>
          </cell>
        </row>
        <row r="496">
          <cell r="C496">
            <v>39225623</v>
          </cell>
          <cell r="D496" t="str">
            <v>ТОВ "КАМ'ЯНСЬКЕ АГРО"</v>
          </cell>
          <cell r="E496">
            <v>45727.906499999997</v>
          </cell>
          <cell r="F496">
            <v>45658</v>
          </cell>
          <cell r="G496" t="str">
            <v>E</v>
          </cell>
          <cell r="H496" t="str">
            <v>B</v>
          </cell>
          <cell r="I496" t="str">
            <v>A</v>
          </cell>
          <cell r="J496" t="str">
            <v>B</v>
          </cell>
          <cell r="K496" t="str">
            <v>D</v>
          </cell>
          <cell r="L496" t="str">
            <v>B</v>
          </cell>
          <cell r="M496" t="str">
            <v>B</v>
          </cell>
          <cell r="N496" t="str">
            <v>C</v>
          </cell>
          <cell r="O496" t="str">
            <v>A</v>
          </cell>
          <cell r="P496" t="str">
            <v>C</v>
          </cell>
          <cell r="Q496" t="str">
            <v>B</v>
          </cell>
          <cell r="R496" t="str">
            <v>B</v>
          </cell>
          <cell r="X496">
            <v>35</v>
          </cell>
        </row>
        <row r="497">
          <cell r="C497">
            <v>39243307</v>
          </cell>
          <cell r="D497" t="str">
            <v>ТОВ  "ХАРКІВСЬКИЙ ЗАВОД ЗАСОБІВ ІНДИВІДУАЛЬНОГО ЗАХИСТУ"</v>
          </cell>
          <cell r="E497">
            <v>45754.414100000002</v>
          </cell>
          <cell r="F497">
            <v>45658</v>
          </cell>
          <cell r="G497" t="str">
            <v>E</v>
          </cell>
          <cell r="H497" t="str">
            <v>B</v>
          </cell>
          <cell r="I497" t="str">
            <v>B</v>
          </cell>
          <cell r="J497" t="str">
            <v>A</v>
          </cell>
          <cell r="K497" t="str">
            <v>D</v>
          </cell>
          <cell r="L497" t="str">
            <v>A</v>
          </cell>
          <cell r="M497" t="str">
            <v>A</v>
          </cell>
          <cell r="N497" t="str">
            <v>A</v>
          </cell>
          <cell r="O497" t="str">
            <v>A</v>
          </cell>
          <cell r="P497" t="str">
            <v>C</v>
          </cell>
          <cell r="Q497" t="str">
            <v>B</v>
          </cell>
          <cell r="R497" t="str">
            <v>A</v>
          </cell>
          <cell r="X497">
            <v>56.199999999999996</v>
          </cell>
        </row>
        <row r="498">
          <cell r="C498">
            <v>39245131</v>
          </cell>
          <cell r="D498" t="str">
            <v>ТОВ "КІЧЕНЛАЙН"</v>
          </cell>
          <cell r="E498">
            <v>45854.771399999998</v>
          </cell>
          <cell r="F498">
            <v>45658</v>
          </cell>
          <cell r="G498" t="str">
            <v>E</v>
          </cell>
          <cell r="H498" t="str">
            <v>C</v>
          </cell>
          <cell r="I498" t="str">
            <v>B</v>
          </cell>
          <cell r="J498" t="str">
            <v>D</v>
          </cell>
          <cell r="K498" t="str">
            <v>D</v>
          </cell>
          <cell r="L498" t="str">
            <v>B</v>
          </cell>
          <cell r="M498" t="str">
            <v>A</v>
          </cell>
          <cell r="N498" t="str">
            <v>A</v>
          </cell>
          <cell r="O498" t="str">
            <v>A</v>
          </cell>
          <cell r="P498" t="str">
            <v>C</v>
          </cell>
          <cell r="Q498" t="str">
            <v>C</v>
          </cell>
          <cell r="R498" t="str">
            <v>A</v>
          </cell>
          <cell r="X498">
            <v>55.999999999999993</v>
          </cell>
        </row>
        <row r="499">
          <cell r="C499">
            <v>39263391</v>
          </cell>
          <cell r="D499" t="str">
            <v>ТОВ "ОККО-ПОСТАЧ"</v>
          </cell>
          <cell r="E499">
            <v>45653.631099999999</v>
          </cell>
          <cell r="F499">
            <v>45474</v>
          </cell>
          <cell r="G499" t="str">
            <v>C</v>
          </cell>
          <cell r="H499" t="str">
            <v>C</v>
          </cell>
          <cell r="I499" t="str">
            <v>B</v>
          </cell>
          <cell r="J499" t="str">
            <v>C</v>
          </cell>
          <cell r="K499" t="str">
            <v>D</v>
          </cell>
          <cell r="L499" t="str">
            <v>A</v>
          </cell>
          <cell r="M499" t="str">
            <v>A</v>
          </cell>
          <cell r="N499" t="str">
            <v>A</v>
          </cell>
          <cell r="O499" t="str">
            <v>B</v>
          </cell>
          <cell r="P499" t="str">
            <v>C</v>
          </cell>
          <cell r="Q499" t="str">
            <v>B</v>
          </cell>
          <cell r="R499" t="str">
            <v>A</v>
          </cell>
          <cell r="X499">
            <v>60.599999999999994</v>
          </cell>
        </row>
        <row r="500">
          <cell r="C500">
            <v>39266874</v>
          </cell>
          <cell r="D500" t="str">
            <v>ТОВ "К-АГРОІНВЕСТ ТРЕЙД"</v>
          </cell>
          <cell r="E500">
            <v>45993.396999999997</v>
          </cell>
          <cell r="F500">
            <v>45931</v>
          </cell>
          <cell r="G500" t="str">
            <v>E</v>
          </cell>
          <cell r="H500" t="str">
            <v>A</v>
          </cell>
          <cell r="I500" t="str">
            <v>D</v>
          </cell>
          <cell r="J500" t="str">
            <v>A</v>
          </cell>
          <cell r="K500" t="str">
            <v>B</v>
          </cell>
          <cell r="L500" t="str">
            <v>A</v>
          </cell>
          <cell r="M500" t="str">
            <v>A</v>
          </cell>
          <cell r="N500" t="str">
            <v>B</v>
          </cell>
          <cell r="O500" t="str">
            <v>A</v>
          </cell>
          <cell r="P500" t="str">
            <v>A</v>
          </cell>
          <cell r="Q500" t="str">
            <v>B</v>
          </cell>
          <cell r="R500" t="str">
            <v>A</v>
          </cell>
          <cell r="X500">
            <v>56.300000000000004</v>
          </cell>
        </row>
        <row r="501">
          <cell r="C501">
            <v>39274120</v>
          </cell>
          <cell r="D501" t="str">
            <v>ТОВ "БАЛІСТИКА"</v>
          </cell>
          <cell r="E501">
            <v>45758.608399999997</v>
          </cell>
          <cell r="F501">
            <v>45658</v>
          </cell>
          <cell r="G501" t="str">
            <v>E</v>
          </cell>
          <cell r="H501" t="str">
            <v>B</v>
          </cell>
          <cell r="I501" t="str">
            <v>A</v>
          </cell>
          <cell r="J501" t="str">
            <v>A</v>
          </cell>
          <cell r="K501" t="str">
            <v>A</v>
          </cell>
          <cell r="L501" t="str">
            <v>A</v>
          </cell>
          <cell r="M501" t="str">
            <v>A</v>
          </cell>
          <cell r="N501" t="str">
            <v>B</v>
          </cell>
          <cell r="O501" t="str">
            <v>A</v>
          </cell>
          <cell r="P501" t="str">
            <v>C</v>
          </cell>
          <cell r="Q501" t="str">
            <v>B</v>
          </cell>
          <cell r="R501" t="str">
            <v>A</v>
          </cell>
          <cell r="X501">
            <v>53.300000000000004</v>
          </cell>
        </row>
        <row r="502">
          <cell r="C502">
            <v>39274508</v>
          </cell>
          <cell r="D502" t="str">
            <v>ТОВ "УКРАВТОІМПОРТ"</v>
          </cell>
          <cell r="E502">
            <v>45649.642899999999</v>
          </cell>
          <cell r="F502">
            <v>45566</v>
          </cell>
          <cell r="G502" t="str">
            <v>E</v>
          </cell>
          <cell r="H502" t="str">
            <v>C</v>
          </cell>
          <cell r="I502" t="str">
            <v>B</v>
          </cell>
          <cell r="J502" t="str">
            <v>A</v>
          </cell>
          <cell r="K502" t="str">
            <v>D</v>
          </cell>
          <cell r="L502" t="str">
            <v>A</v>
          </cell>
          <cell r="M502" t="str">
            <v>A</v>
          </cell>
          <cell r="N502" t="str">
            <v>B</v>
          </cell>
          <cell r="O502" t="str">
            <v>A</v>
          </cell>
          <cell r="P502" t="str">
            <v>C</v>
          </cell>
          <cell r="Q502" t="str">
            <v>B</v>
          </cell>
          <cell r="R502" t="str">
            <v>A</v>
          </cell>
          <cell r="X502">
            <v>51.3</v>
          </cell>
        </row>
        <row r="503">
          <cell r="C503">
            <v>39281405</v>
          </cell>
          <cell r="D503" t="str">
            <v>ТОВ "АГРО ТРЕЙДІНГ"</v>
          </cell>
          <cell r="E503">
            <v>45929.534299999999</v>
          </cell>
          <cell r="F503">
            <v>45748</v>
          </cell>
          <cell r="G503" t="str">
            <v>E</v>
          </cell>
          <cell r="H503" t="str">
            <v>B</v>
          </cell>
          <cell r="I503" t="str">
            <v>A</v>
          </cell>
          <cell r="J503" t="str">
            <v>D</v>
          </cell>
          <cell r="K503" t="str">
            <v>D</v>
          </cell>
          <cell r="L503" t="str">
            <v>A</v>
          </cell>
          <cell r="M503" t="str">
            <v>A</v>
          </cell>
          <cell r="N503" t="str">
            <v>A</v>
          </cell>
          <cell r="O503" t="str">
            <v>A</v>
          </cell>
          <cell r="P503" t="str">
            <v>C</v>
          </cell>
          <cell r="Q503" t="str">
            <v>B</v>
          </cell>
          <cell r="R503" t="str">
            <v>A</v>
          </cell>
          <cell r="X503">
            <v>59.800000000000004</v>
          </cell>
        </row>
        <row r="504">
          <cell r="C504">
            <v>39291937</v>
          </cell>
          <cell r="D504" t="str">
            <v>ТОВ"ХІМАГРОСТЕП"</v>
          </cell>
          <cell r="E504">
            <v>45666</v>
          </cell>
          <cell r="F504">
            <v>45474</v>
          </cell>
          <cell r="G504" t="str">
            <v>E</v>
          </cell>
          <cell r="H504" t="str">
            <v>C</v>
          </cell>
          <cell r="I504" t="str">
            <v>B</v>
          </cell>
          <cell r="J504" t="str">
            <v>B</v>
          </cell>
          <cell r="K504" t="str">
            <v>E</v>
          </cell>
          <cell r="L504" t="str">
            <v>B</v>
          </cell>
          <cell r="M504" t="str">
            <v>B</v>
          </cell>
          <cell r="N504" t="str">
            <v>B</v>
          </cell>
          <cell r="O504" t="str">
            <v>A</v>
          </cell>
          <cell r="P504" t="str">
            <v>C</v>
          </cell>
          <cell r="Q504" t="str">
            <v>C</v>
          </cell>
          <cell r="R504" t="str">
            <v>A</v>
          </cell>
          <cell r="X504">
            <v>39.9</v>
          </cell>
        </row>
        <row r="505">
          <cell r="C505">
            <v>39322540</v>
          </cell>
          <cell r="D505" t="str">
            <v>ТОВ "КАРБОНІС"</v>
          </cell>
          <cell r="E505">
            <v>45692.506399999998</v>
          </cell>
          <cell r="F505">
            <v>45566</v>
          </cell>
          <cell r="G505" t="str">
            <v>E</v>
          </cell>
          <cell r="H505" t="str">
            <v>B</v>
          </cell>
          <cell r="I505" t="str">
            <v>B</v>
          </cell>
          <cell r="J505" t="str">
            <v>A</v>
          </cell>
          <cell r="K505" t="str">
            <v>D</v>
          </cell>
          <cell r="L505" t="str">
            <v>A</v>
          </cell>
          <cell r="M505" t="str">
            <v>A</v>
          </cell>
          <cell r="N505" t="str">
            <v>B</v>
          </cell>
          <cell r="O505" t="str">
            <v>A</v>
          </cell>
          <cell r="P505" t="str">
            <v>C</v>
          </cell>
          <cell r="Q505" t="str">
            <v>B</v>
          </cell>
          <cell r="R505" t="str">
            <v>A</v>
          </cell>
          <cell r="X505">
            <v>52.9</v>
          </cell>
        </row>
        <row r="506">
          <cell r="C506">
            <v>39362269</v>
          </cell>
          <cell r="D506" t="str">
            <v>ТОВ"ХАРКІВЕЦЬКЕ"</v>
          </cell>
          <cell r="E506">
            <v>45693.443700000003</v>
          </cell>
          <cell r="F506">
            <v>45474</v>
          </cell>
          <cell r="G506" t="str">
            <v>E</v>
          </cell>
          <cell r="H506" t="str">
            <v>B</v>
          </cell>
          <cell r="I506" t="str">
            <v>C</v>
          </cell>
          <cell r="J506" t="str">
            <v>C</v>
          </cell>
          <cell r="K506" t="str">
            <v>D</v>
          </cell>
          <cell r="L506" t="str">
            <v>A</v>
          </cell>
          <cell r="M506" t="str">
            <v>A</v>
          </cell>
          <cell r="N506" t="str">
            <v>B</v>
          </cell>
          <cell r="O506" t="str">
            <v>A</v>
          </cell>
          <cell r="P506" t="str">
            <v>B</v>
          </cell>
          <cell r="Q506" t="str">
            <v>B</v>
          </cell>
          <cell r="R506" t="str">
            <v>C</v>
          </cell>
          <cell r="X506">
            <v>46.300000000000004</v>
          </cell>
        </row>
        <row r="507">
          <cell r="C507">
            <v>39369112</v>
          </cell>
          <cell r="D507" t="str">
            <v>ТОВ "ФЛАГМАН СІФУД"</v>
          </cell>
          <cell r="E507">
            <v>45888.456299999998</v>
          </cell>
          <cell r="F507">
            <v>45748</v>
          </cell>
          <cell r="G507" t="str">
            <v>D</v>
          </cell>
          <cell r="H507" t="str">
            <v>C</v>
          </cell>
          <cell r="I507" t="str">
            <v>A</v>
          </cell>
          <cell r="J507" t="str">
            <v>D</v>
          </cell>
          <cell r="K507" t="str">
            <v>D</v>
          </cell>
          <cell r="L507" t="str">
            <v>B</v>
          </cell>
          <cell r="M507" t="str">
            <v>A</v>
          </cell>
          <cell r="N507" t="str">
            <v>B</v>
          </cell>
          <cell r="O507" t="str">
            <v>A</v>
          </cell>
          <cell r="P507" t="str">
            <v>C</v>
          </cell>
          <cell r="Q507" t="str">
            <v>C</v>
          </cell>
          <cell r="R507" t="str">
            <v>B</v>
          </cell>
          <cell r="X507">
            <v>48.29999999999999</v>
          </cell>
        </row>
        <row r="508">
          <cell r="C508">
            <v>39433664</v>
          </cell>
          <cell r="D508" t="str">
            <v>ТОВ «МЕТІПОЛ 1»</v>
          </cell>
          <cell r="E508">
            <v>45679.428999999996</v>
          </cell>
          <cell r="F508">
            <v>45566</v>
          </cell>
          <cell r="G508" t="str">
            <v>D</v>
          </cell>
          <cell r="H508" t="str">
            <v>C</v>
          </cell>
          <cell r="I508" t="str">
            <v>D</v>
          </cell>
          <cell r="J508" t="str">
            <v>B</v>
          </cell>
          <cell r="K508" t="str">
            <v>D</v>
          </cell>
          <cell r="L508" t="str">
            <v>B</v>
          </cell>
          <cell r="M508" t="str">
            <v>B</v>
          </cell>
          <cell r="N508" t="str">
            <v>C</v>
          </cell>
          <cell r="O508" t="str">
            <v>A</v>
          </cell>
          <cell r="P508" t="str">
            <v>B</v>
          </cell>
          <cell r="Q508" t="str">
            <v>B</v>
          </cell>
          <cell r="R508" t="str">
            <v>A</v>
          </cell>
          <cell r="X508">
            <v>40</v>
          </cell>
        </row>
        <row r="509">
          <cell r="C509">
            <v>39518480</v>
          </cell>
          <cell r="D509" t="str">
            <v>ТОВ "БЕМБІКС"</v>
          </cell>
          <cell r="E509">
            <v>45938.906499999997</v>
          </cell>
          <cell r="F509">
            <v>45748</v>
          </cell>
          <cell r="G509" t="str">
            <v>C</v>
          </cell>
          <cell r="H509" t="str">
            <v>B</v>
          </cell>
          <cell r="I509" t="str">
            <v>B</v>
          </cell>
          <cell r="J509" t="str">
            <v>D</v>
          </cell>
          <cell r="K509" t="str">
            <v>B</v>
          </cell>
          <cell r="L509" t="str">
            <v>B</v>
          </cell>
          <cell r="M509" t="str">
            <v>B</v>
          </cell>
          <cell r="N509" t="str">
            <v>A</v>
          </cell>
          <cell r="O509" t="str">
            <v>A</v>
          </cell>
          <cell r="P509" t="str">
            <v>C</v>
          </cell>
          <cell r="Q509" t="str">
            <v>B</v>
          </cell>
          <cell r="R509" t="str">
            <v>B</v>
          </cell>
          <cell r="X509">
            <v>57</v>
          </cell>
        </row>
        <row r="510">
          <cell r="C510">
            <v>39534633</v>
          </cell>
          <cell r="D510" t="str">
            <v>ТОВ "ЧОРНУХИНСЬКИЙ КРАЙ"</v>
          </cell>
          <cell r="E510">
            <v>45693.443700000003</v>
          </cell>
          <cell r="F510">
            <v>45474</v>
          </cell>
          <cell r="G510" t="str">
            <v>E</v>
          </cell>
          <cell r="H510" t="str">
            <v>B</v>
          </cell>
          <cell r="I510" t="str">
            <v>C</v>
          </cell>
          <cell r="J510" t="str">
            <v>C</v>
          </cell>
          <cell r="K510" t="str">
            <v>D</v>
          </cell>
          <cell r="L510" t="str">
            <v>A</v>
          </cell>
          <cell r="M510" t="str">
            <v>A</v>
          </cell>
          <cell r="N510" t="str">
            <v>B</v>
          </cell>
          <cell r="O510" t="str">
            <v>A</v>
          </cell>
          <cell r="P510" t="str">
            <v>B</v>
          </cell>
          <cell r="Q510" t="str">
            <v>B</v>
          </cell>
          <cell r="R510" t="str">
            <v>C</v>
          </cell>
          <cell r="X510">
            <v>46.300000000000004</v>
          </cell>
        </row>
        <row r="511">
          <cell r="C511">
            <v>39543889</v>
          </cell>
          <cell r="D511" t="str">
            <v>ТОВ "ЄВРОПАН"</v>
          </cell>
          <cell r="E511">
            <v>45901.486400000002</v>
          </cell>
          <cell r="F511">
            <v>45839</v>
          </cell>
          <cell r="G511" t="str">
            <v>E</v>
          </cell>
          <cell r="H511" t="str">
            <v>B</v>
          </cell>
          <cell r="I511" t="str">
            <v>B</v>
          </cell>
          <cell r="J511" t="str">
            <v>B</v>
          </cell>
          <cell r="K511" t="str">
            <v>C</v>
          </cell>
          <cell r="L511" t="str">
            <v>B</v>
          </cell>
          <cell r="M511" t="str">
            <v>A</v>
          </cell>
          <cell r="N511" t="str">
            <v>B</v>
          </cell>
          <cell r="O511" t="str">
            <v>A</v>
          </cell>
          <cell r="P511" t="str">
            <v>C</v>
          </cell>
          <cell r="Q511" t="str">
            <v>B</v>
          </cell>
          <cell r="R511" t="str">
            <v>A</v>
          </cell>
          <cell r="X511">
            <v>53.7</v>
          </cell>
        </row>
        <row r="512">
          <cell r="C512">
            <v>39544128</v>
          </cell>
          <cell r="D512" t="str">
            <v>ТОВ "РБО Україна"</v>
          </cell>
          <cell r="E512">
            <v>45868.527800000003</v>
          </cell>
          <cell r="F512">
            <v>45748</v>
          </cell>
          <cell r="G512" t="str">
            <v>E</v>
          </cell>
          <cell r="H512" t="str">
            <v>A</v>
          </cell>
          <cell r="I512" t="str">
            <v>B</v>
          </cell>
          <cell r="J512" t="str">
            <v>C</v>
          </cell>
          <cell r="K512" t="str">
            <v>D</v>
          </cell>
          <cell r="L512" t="str">
            <v>A</v>
          </cell>
          <cell r="M512" t="str">
            <v>A</v>
          </cell>
          <cell r="N512" t="str">
            <v>A</v>
          </cell>
          <cell r="O512" t="str">
            <v>A</v>
          </cell>
          <cell r="P512" t="str">
            <v>D</v>
          </cell>
          <cell r="Q512" t="str">
            <v>B</v>
          </cell>
          <cell r="R512" t="str">
            <v>A</v>
          </cell>
          <cell r="X512">
            <v>62.4</v>
          </cell>
        </row>
        <row r="513">
          <cell r="C513">
            <v>39555868</v>
          </cell>
          <cell r="D513" t="str">
            <v>ТОВ "ПЛАСТХІМ УКРАЇНА"</v>
          </cell>
          <cell r="E513">
            <v>45916.8724</v>
          </cell>
          <cell r="F513">
            <v>45839</v>
          </cell>
          <cell r="G513" t="str">
            <v>C</v>
          </cell>
          <cell r="H513" t="str">
            <v>D</v>
          </cell>
          <cell r="I513" t="str">
            <v>B</v>
          </cell>
          <cell r="J513" t="str">
            <v>B</v>
          </cell>
          <cell r="K513" t="str">
            <v>D</v>
          </cell>
          <cell r="L513" t="str">
            <v>A</v>
          </cell>
          <cell r="M513" t="str">
            <v>B</v>
          </cell>
          <cell r="N513" t="str">
            <v>A</v>
          </cell>
          <cell r="O513" t="str">
            <v>A</v>
          </cell>
          <cell r="P513" t="str">
            <v>A</v>
          </cell>
          <cell r="Q513" t="str">
            <v>A</v>
          </cell>
          <cell r="R513" t="str">
            <v>C</v>
          </cell>
          <cell r="X513">
            <v>51.6</v>
          </cell>
        </row>
        <row r="514">
          <cell r="C514">
            <v>39562922</v>
          </cell>
          <cell r="D514" t="str">
            <v>ТОВ "УКРСПЕЦСИСТЕМС"</v>
          </cell>
          <cell r="E514">
            <v>45924.4637</v>
          </cell>
          <cell r="F514">
            <v>45839</v>
          </cell>
          <cell r="G514" t="str">
            <v>D</v>
          </cell>
          <cell r="H514" t="str">
            <v>C</v>
          </cell>
          <cell r="I514" t="str">
            <v>B</v>
          </cell>
          <cell r="J514" t="str">
            <v>A</v>
          </cell>
          <cell r="K514" t="str">
            <v>B</v>
          </cell>
          <cell r="L514" t="str">
            <v>A</v>
          </cell>
          <cell r="M514" t="str">
            <v>A</v>
          </cell>
          <cell r="N514" t="str">
            <v>B</v>
          </cell>
          <cell r="O514" t="str">
            <v>A</v>
          </cell>
          <cell r="P514" t="str">
            <v>C</v>
          </cell>
          <cell r="Q514" t="str">
            <v>B</v>
          </cell>
          <cell r="R514" t="str">
            <v>A</v>
          </cell>
          <cell r="X514">
            <v>58.5</v>
          </cell>
        </row>
        <row r="515">
          <cell r="C515">
            <v>39571104</v>
          </cell>
          <cell r="D515" t="str">
            <v>ТОВ "!ФКМ"</v>
          </cell>
          <cell r="E515">
            <v>45779.666799999999</v>
          </cell>
          <cell r="F515">
            <v>45566</v>
          </cell>
          <cell r="G515" t="str">
            <v>E</v>
          </cell>
          <cell r="H515" t="str">
            <v>B</v>
          </cell>
          <cell r="I515" t="str">
            <v>B</v>
          </cell>
          <cell r="J515" t="str">
            <v>A</v>
          </cell>
          <cell r="K515" t="str">
            <v>B</v>
          </cell>
          <cell r="L515" t="str">
            <v>B</v>
          </cell>
          <cell r="M515" t="str">
            <v>A</v>
          </cell>
          <cell r="N515" t="str">
            <v>B</v>
          </cell>
          <cell r="O515" t="str">
            <v>A</v>
          </cell>
          <cell r="P515" t="str">
            <v>B</v>
          </cell>
          <cell r="Q515" t="str">
            <v>C</v>
          </cell>
          <cell r="R515" t="str">
            <v>C</v>
          </cell>
          <cell r="X515">
            <v>45.7</v>
          </cell>
        </row>
        <row r="516">
          <cell r="C516">
            <v>39583984</v>
          </cell>
          <cell r="D516" t="str">
            <v>ТОВ "НІКСПЕЦТРАНС"</v>
          </cell>
          <cell r="E516">
            <v>45684.484100000001</v>
          </cell>
          <cell r="F516">
            <v>45566</v>
          </cell>
          <cell r="G516" t="str">
            <v>E</v>
          </cell>
          <cell r="H516" t="str">
            <v>B</v>
          </cell>
          <cell r="I516" t="str">
            <v>D</v>
          </cell>
          <cell r="J516" t="str">
            <v>A</v>
          </cell>
          <cell r="K516" t="str">
            <v>E</v>
          </cell>
          <cell r="L516" t="str">
            <v>B</v>
          </cell>
          <cell r="M516" t="str">
            <v>A</v>
          </cell>
          <cell r="N516" t="str">
            <v>B</v>
          </cell>
          <cell r="O516" t="str">
            <v>A</v>
          </cell>
          <cell r="P516" t="str">
            <v>B</v>
          </cell>
          <cell r="Q516" t="str">
            <v>C</v>
          </cell>
          <cell r="R516" t="str">
            <v>A</v>
          </cell>
          <cell r="X516">
            <v>40.099999999999994</v>
          </cell>
        </row>
        <row r="517">
          <cell r="C517">
            <v>39589064</v>
          </cell>
          <cell r="D517" t="str">
            <v>ТОВ "Торгова компанія "Вітагро"</v>
          </cell>
          <cell r="E517">
            <v>45944</v>
          </cell>
          <cell r="F517">
            <v>45658</v>
          </cell>
          <cell r="G517" t="str">
            <v>D</v>
          </cell>
          <cell r="H517" t="str">
            <v>B</v>
          </cell>
          <cell r="I517" t="str">
            <v>C</v>
          </cell>
          <cell r="J517" t="str">
            <v>C</v>
          </cell>
          <cell r="K517" t="str">
            <v>D</v>
          </cell>
          <cell r="L517" t="str">
            <v>A</v>
          </cell>
          <cell r="M517" t="str">
            <v>A</v>
          </cell>
          <cell r="N517" t="str">
            <v>B</v>
          </cell>
          <cell r="O517" t="str">
            <v>B</v>
          </cell>
          <cell r="P517" t="str">
            <v>C</v>
          </cell>
          <cell r="Q517" t="str">
            <v>B</v>
          </cell>
          <cell r="R517" t="str">
            <v>A</v>
          </cell>
          <cell r="X517">
            <v>50.5</v>
          </cell>
        </row>
        <row r="518">
          <cell r="C518">
            <v>39602928</v>
          </cell>
          <cell r="D518" t="str">
            <v>ТОВ "ДТ-1 ГРУП"</v>
          </cell>
          <cell r="E518">
            <v>45632.718999999997</v>
          </cell>
          <cell r="F518">
            <v>45566</v>
          </cell>
          <cell r="G518" t="str">
            <v>E</v>
          </cell>
          <cell r="H518" t="str">
            <v>B</v>
          </cell>
          <cell r="I518" t="str">
            <v>C</v>
          </cell>
          <cell r="J518" t="str">
            <v>A</v>
          </cell>
          <cell r="K518" t="str">
            <v>B</v>
          </cell>
          <cell r="L518" t="str">
            <v>A</v>
          </cell>
          <cell r="M518" t="str">
            <v>A</v>
          </cell>
          <cell r="N518" t="str">
            <v>C</v>
          </cell>
          <cell r="O518" t="str">
            <v>A</v>
          </cell>
          <cell r="P518" t="str">
            <v>B</v>
          </cell>
          <cell r="Q518" t="str">
            <v>B</v>
          </cell>
          <cell r="R518" t="str">
            <v>A</v>
          </cell>
          <cell r="X518">
            <v>48.8</v>
          </cell>
        </row>
        <row r="519">
          <cell r="C519">
            <v>39606519</v>
          </cell>
          <cell r="D519" t="str">
            <v>ТОВ "ГЛОБАЛ ДАЙНЕМІКС"</v>
          </cell>
          <cell r="E519">
            <v>45931.499100000001</v>
          </cell>
          <cell r="F519">
            <v>45839</v>
          </cell>
          <cell r="G519" t="str">
            <v>E</v>
          </cell>
          <cell r="H519" t="str">
            <v>B</v>
          </cell>
          <cell r="I519" t="str">
            <v>B</v>
          </cell>
          <cell r="J519" t="str">
            <v>A</v>
          </cell>
          <cell r="K519" t="str">
            <v>B</v>
          </cell>
          <cell r="L519" t="str">
            <v>A</v>
          </cell>
          <cell r="M519" t="str">
            <v>A</v>
          </cell>
          <cell r="N519" t="str">
            <v>B</v>
          </cell>
          <cell r="O519" t="str">
            <v>A</v>
          </cell>
          <cell r="P519" t="str">
            <v>B</v>
          </cell>
          <cell r="Q519" t="str">
            <v>B</v>
          </cell>
          <cell r="R519" t="str">
            <v>A</v>
          </cell>
          <cell r="X519">
            <v>58.300000000000011</v>
          </cell>
        </row>
        <row r="520">
          <cell r="C520">
            <v>39659560</v>
          </cell>
          <cell r="D520" t="str">
            <v>ТОВ "ПРОТОРІЯ"</v>
          </cell>
          <cell r="E520">
            <v>45981</v>
          </cell>
          <cell r="F520">
            <v>45839</v>
          </cell>
          <cell r="G520" t="str">
            <v>D</v>
          </cell>
          <cell r="H520" t="str">
            <v>B</v>
          </cell>
          <cell r="I520" t="str">
            <v>B</v>
          </cell>
          <cell r="J520" t="str">
            <v>B</v>
          </cell>
          <cell r="K520" t="str">
            <v>C</v>
          </cell>
          <cell r="L520" t="str">
            <v>A</v>
          </cell>
          <cell r="M520" t="str">
            <v>A</v>
          </cell>
          <cell r="N520" t="str">
            <v>A</v>
          </cell>
          <cell r="O520" t="str">
            <v>A</v>
          </cell>
          <cell r="P520" t="str">
            <v>B</v>
          </cell>
          <cell r="Q520" t="str">
            <v>B</v>
          </cell>
          <cell r="R520" t="str">
            <v>A</v>
          </cell>
          <cell r="X520">
            <v>67.2</v>
          </cell>
        </row>
        <row r="521">
          <cell r="C521">
            <v>39672199</v>
          </cell>
          <cell r="D521" t="str">
            <v>ТОВ "ПОКРОВСЬКЕ 1"</v>
          </cell>
          <cell r="E521">
            <v>45796.986799999999</v>
          </cell>
          <cell r="F521">
            <v>45658</v>
          </cell>
          <cell r="G521" t="str">
            <v>E</v>
          </cell>
          <cell r="H521" t="str">
            <v>B</v>
          </cell>
          <cell r="I521" t="str">
            <v>B</v>
          </cell>
          <cell r="J521" t="str">
            <v>A</v>
          </cell>
          <cell r="K521" t="str">
            <v>B</v>
          </cell>
          <cell r="L521" t="str">
            <v>A</v>
          </cell>
          <cell r="M521" t="str">
            <v>A</v>
          </cell>
          <cell r="N521" t="str">
            <v>B</v>
          </cell>
          <cell r="O521" t="str">
            <v>A</v>
          </cell>
          <cell r="P521" t="str">
            <v>C</v>
          </cell>
          <cell r="Q521" t="str">
            <v>B</v>
          </cell>
          <cell r="R521" t="str">
            <v>A</v>
          </cell>
          <cell r="X521">
            <v>56.500000000000007</v>
          </cell>
        </row>
        <row r="522">
          <cell r="C522">
            <v>39685847</v>
          </cell>
          <cell r="D522" t="str">
            <v>ТОВ "ГУДГРЕЙНОІЛ"</v>
          </cell>
          <cell r="E522">
            <v>45939.481699999997</v>
          </cell>
          <cell r="F522">
            <v>45839</v>
          </cell>
          <cell r="G522" t="str">
            <v>E</v>
          </cell>
          <cell r="H522" t="str">
            <v>A</v>
          </cell>
          <cell r="I522" t="str">
            <v>A</v>
          </cell>
          <cell r="J522" t="str">
            <v>A</v>
          </cell>
          <cell r="K522" t="str">
            <v>C</v>
          </cell>
          <cell r="L522" t="str">
            <v>A</v>
          </cell>
          <cell r="M522" t="str">
            <v>A</v>
          </cell>
          <cell r="N522" t="str">
            <v>A</v>
          </cell>
          <cell r="O522" t="str">
            <v>A</v>
          </cell>
          <cell r="P522" t="str">
            <v>C</v>
          </cell>
          <cell r="Q522" t="str">
            <v>B</v>
          </cell>
          <cell r="R522" t="str">
            <v>A</v>
          </cell>
          <cell r="X522">
            <v>57</v>
          </cell>
        </row>
        <row r="523">
          <cell r="C523">
            <v>39699294</v>
          </cell>
          <cell r="D523" t="str">
            <v>ТОВ "ОРТО-ЛАЙФ"</v>
          </cell>
          <cell r="E523">
            <v>45544.663099999998</v>
          </cell>
          <cell r="F523">
            <v>45474</v>
          </cell>
          <cell r="G523" t="str">
            <v>E</v>
          </cell>
          <cell r="H523" t="str">
            <v>C</v>
          </cell>
          <cell r="I523" t="str">
            <v>A</v>
          </cell>
          <cell r="J523" t="str">
            <v>A</v>
          </cell>
          <cell r="K523" t="str">
            <v>D</v>
          </cell>
          <cell r="L523" t="str">
            <v>A</v>
          </cell>
          <cell r="M523" t="str">
            <v>A</v>
          </cell>
          <cell r="N523" t="str">
            <v>B</v>
          </cell>
          <cell r="O523" t="str">
            <v>A</v>
          </cell>
          <cell r="P523" t="str">
            <v>C</v>
          </cell>
          <cell r="Q523" t="str">
            <v>B</v>
          </cell>
          <cell r="R523" t="str">
            <v>A</v>
          </cell>
          <cell r="X523">
            <v>46.9</v>
          </cell>
        </row>
        <row r="524">
          <cell r="C524">
            <v>39738364</v>
          </cell>
          <cell r="D524" t="str">
            <v>ТОВ "1-А ІКОРНА КОМПАНІЯ"</v>
          </cell>
          <cell r="E524">
            <v>45769.696000000004</v>
          </cell>
          <cell r="F524">
            <v>45658</v>
          </cell>
          <cell r="G524" t="str">
            <v>C</v>
          </cell>
          <cell r="H524" t="str">
            <v>C</v>
          </cell>
          <cell r="I524" t="str">
            <v>A</v>
          </cell>
          <cell r="J524" t="str">
            <v>B</v>
          </cell>
          <cell r="K524" t="str">
            <v>D</v>
          </cell>
          <cell r="L524" t="str">
            <v>B</v>
          </cell>
          <cell r="M524" t="str">
            <v>A</v>
          </cell>
          <cell r="N524" t="str">
            <v>A</v>
          </cell>
          <cell r="O524" t="str">
            <v>A</v>
          </cell>
          <cell r="P524" t="str">
            <v>C</v>
          </cell>
          <cell r="Q524" t="str">
            <v>C</v>
          </cell>
          <cell r="R524" t="str">
            <v>C</v>
          </cell>
          <cell r="X524">
            <v>44.399999999999991</v>
          </cell>
        </row>
        <row r="525">
          <cell r="C525">
            <v>39748644</v>
          </cell>
          <cell r="D525" t="str">
            <v>ТОВ "ФОРЕСТ ТЕХНОЛОДЖІ"</v>
          </cell>
          <cell r="E525">
            <v>45688.664299999997</v>
          </cell>
          <cell r="F525">
            <v>45566</v>
          </cell>
          <cell r="G525" t="str">
            <v>E</v>
          </cell>
          <cell r="H525" t="str">
            <v>B</v>
          </cell>
          <cell r="I525" t="str">
            <v>A</v>
          </cell>
          <cell r="J525" t="str">
            <v>C</v>
          </cell>
          <cell r="K525" t="str">
            <v>E</v>
          </cell>
          <cell r="L525" t="str">
            <v>B</v>
          </cell>
          <cell r="M525" t="str">
            <v>C</v>
          </cell>
          <cell r="N525" t="str">
            <v>B</v>
          </cell>
          <cell r="O525" t="str">
            <v>B</v>
          </cell>
          <cell r="P525" t="str">
            <v>C</v>
          </cell>
          <cell r="Q525" t="str">
            <v>C</v>
          </cell>
          <cell r="R525" t="str">
            <v>B</v>
          </cell>
          <cell r="X525">
            <v>31.499999999999996</v>
          </cell>
        </row>
        <row r="526">
          <cell r="C526">
            <v>39770806</v>
          </cell>
          <cell r="D526" t="str">
            <v>ТОВ "ІННОВАЦІЙНІ ОБЛІКОВІ СИСТЕМИ"</v>
          </cell>
          <cell r="E526">
            <v>45852.507299999997</v>
          </cell>
          <cell r="F526">
            <v>45748</v>
          </cell>
          <cell r="G526" t="str">
            <v>D</v>
          </cell>
          <cell r="H526" t="str">
            <v>A</v>
          </cell>
          <cell r="I526" t="str">
            <v>B</v>
          </cell>
          <cell r="J526" t="str">
            <v>C</v>
          </cell>
          <cell r="K526" t="str">
            <v>D</v>
          </cell>
          <cell r="L526" t="str">
            <v>B</v>
          </cell>
          <cell r="M526" t="str">
            <v>B</v>
          </cell>
          <cell r="N526" t="str">
            <v>B</v>
          </cell>
          <cell r="O526" t="str">
            <v>A</v>
          </cell>
          <cell r="P526" t="str">
            <v>A</v>
          </cell>
          <cell r="Q526" t="str">
            <v>C</v>
          </cell>
          <cell r="R526" t="str">
            <v>C</v>
          </cell>
          <cell r="X526">
            <v>49.7</v>
          </cell>
        </row>
        <row r="527">
          <cell r="C527">
            <v>39790927</v>
          </cell>
          <cell r="D527" t="str">
            <v>ТОВ "АНВ - АГРО"</v>
          </cell>
          <cell r="E527">
            <v>45848.534299999999</v>
          </cell>
          <cell r="F527">
            <v>45658</v>
          </cell>
          <cell r="G527" t="str">
            <v>E</v>
          </cell>
          <cell r="H527" t="str">
            <v>C</v>
          </cell>
          <cell r="I527" t="str">
            <v>C</v>
          </cell>
          <cell r="J527" t="str">
            <v>A</v>
          </cell>
          <cell r="K527" t="str">
            <v>D</v>
          </cell>
          <cell r="L527" t="str">
            <v>B</v>
          </cell>
          <cell r="M527" t="str">
            <v>A</v>
          </cell>
          <cell r="N527" t="str">
            <v>B</v>
          </cell>
          <cell r="O527" t="str">
            <v>B</v>
          </cell>
          <cell r="P527" t="str">
            <v>A</v>
          </cell>
          <cell r="Q527" t="str">
            <v>C</v>
          </cell>
          <cell r="R527" t="str">
            <v>C</v>
          </cell>
          <cell r="X527">
            <v>31.299999999999997</v>
          </cell>
        </row>
        <row r="528">
          <cell r="C528">
            <v>39802853</v>
          </cell>
          <cell r="D528" t="str">
            <v>ТОВ "ДИСТРЕКО"</v>
          </cell>
          <cell r="E528">
            <v>45902.58</v>
          </cell>
          <cell r="F528">
            <v>45839</v>
          </cell>
          <cell r="G528" t="str">
            <v>E</v>
          </cell>
          <cell r="H528" t="str">
            <v>B</v>
          </cell>
          <cell r="I528" t="str">
            <v>A</v>
          </cell>
          <cell r="J528" t="str">
            <v>A</v>
          </cell>
          <cell r="K528" t="str">
            <v>D</v>
          </cell>
          <cell r="L528" t="str">
            <v>A</v>
          </cell>
          <cell r="M528" t="str">
            <v>A</v>
          </cell>
          <cell r="N528" t="str">
            <v>B</v>
          </cell>
          <cell r="O528" t="str">
            <v>B</v>
          </cell>
          <cell r="P528" t="str">
            <v>C</v>
          </cell>
          <cell r="Q528" t="str">
            <v>B</v>
          </cell>
          <cell r="R528" t="str">
            <v>A</v>
          </cell>
          <cell r="X528">
            <v>44.9</v>
          </cell>
        </row>
        <row r="529">
          <cell r="C529">
            <v>39820081</v>
          </cell>
          <cell r="D529" t="str">
            <v>ТОВ "ТБ "НОВААГРО"</v>
          </cell>
          <cell r="E529">
            <v>45904</v>
          </cell>
          <cell r="F529">
            <v>45658</v>
          </cell>
          <cell r="G529" t="str">
            <v>E</v>
          </cell>
          <cell r="H529" t="str">
            <v>B</v>
          </cell>
          <cell r="I529" t="str">
            <v>C</v>
          </cell>
          <cell r="J529" t="str">
            <v>D</v>
          </cell>
          <cell r="K529" t="str">
            <v>D</v>
          </cell>
          <cell r="L529" t="str">
            <v>B</v>
          </cell>
          <cell r="M529" t="str">
            <v>B</v>
          </cell>
          <cell r="N529" t="str">
            <v>B</v>
          </cell>
          <cell r="O529" t="str">
            <v>B</v>
          </cell>
          <cell r="P529" t="str">
            <v>C</v>
          </cell>
          <cell r="Q529" t="str">
            <v>B</v>
          </cell>
          <cell r="R529" t="str">
            <v>A</v>
          </cell>
          <cell r="X529">
            <v>38.1</v>
          </cell>
        </row>
        <row r="530">
          <cell r="C530">
            <v>39825870</v>
          </cell>
          <cell r="D530" t="str">
            <v>ТОВ "ПОРТТРАНСБУД"</v>
          </cell>
          <cell r="E530">
            <v>45902.750800000002</v>
          </cell>
          <cell r="F530">
            <v>45658</v>
          </cell>
          <cell r="G530" t="str">
            <v>D</v>
          </cell>
          <cell r="H530" t="str">
            <v>B</v>
          </cell>
          <cell r="I530" t="str">
            <v>B</v>
          </cell>
          <cell r="J530" t="str">
            <v>C</v>
          </cell>
          <cell r="K530" t="str">
            <v>E</v>
          </cell>
          <cell r="L530" t="str">
            <v>B</v>
          </cell>
          <cell r="M530" t="str">
            <v>B</v>
          </cell>
          <cell r="N530" t="str">
            <v>D</v>
          </cell>
          <cell r="O530" t="str">
            <v>B</v>
          </cell>
          <cell r="P530" t="str">
            <v>C</v>
          </cell>
          <cell r="Q530" t="str">
            <v>C</v>
          </cell>
          <cell r="R530" t="str">
            <v>A</v>
          </cell>
          <cell r="X530">
            <v>41.6</v>
          </cell>
        </row>
        <row r="531">
          <cell r="C531">
            <v>39864747</v>
          </cell>
          <cell r="D531" t="str">
            <v>ТОВ "ЗАВОД ПОЛІМЕРНИХ ВИРОБІВ "ФАРУТТІ"</v>
          </cell>
          <cell r="E531">
            <v>45876.708599999998</v>
          </cell>
          <cell r="F531">
            <v>45748</v>
          </cell>
          <cell r="G531" t="str">
            <v>E</v>
          </cell>
          <cell r="H531" t="str">
            <v>A</v>
          </cell>
          <cell r="I531" t="str">
            <v>B</v>
          </cell>
          <cell r="J531" t="str">
            <v>A</v>
          </cell>
          <cell r="K531" t="str">
            <v>D</v>
          </cell>
          <cell r="L531" t="str">
            <v>B</v>
          </cell>
          <cell r="M531" t="str">
            <v>A</v>
          </cell>
          <cell r="N531" t="str">
            <v>B</v>
          </cell>
          <cell r="O531" t="str">
            <v>A</v>
          </cell>
          <cell r="P531" t="str">
            <v>C</v>
          </cell>
          <cell r="Q531" t="str">
            <v>C</v>
          </cell>
          <cell r="R531" t="str">
            <v>A</v>
          </cell>
          <cell r="X531">
            <v>48.699999999999996</v>
          </cell>
        </row>
        <row r="532">
          <cell r="C532">
            <v>39880947</v>
          </cell>
          <cell r="D532" t="str">
            <v>ТОВ "СЕРВІС ПРОФІ ПЛЮС"</v>
          </cell>
          <cell r="E532">
            <v>45852.507299999997</v>
          </cell>
          <cell r="F532">
            <v>45748</v>
          </cell>
          <cell r="G532" t="str">
            <v>D</v>
          </cell>
          <cell r="H532" t="str">
            <v>A</v>
          </cell>
          <cell r="I532" t="str">
            <v>B</v>
          </cell>
          <cell r="J532" t="str">
            <v>C</v>
          </cell>
          <cell r="K532" t="str">
            <v>D</v>
          </cell>
          <cell r="L532" t="str">
            <v>B</v>
          </cell>
          <cell r="M532" t="str">
            <v>B</v>
          </cell>
          <cell r="N532" t="str">
            <v>B</v>
          </cell>
          <cell r="O532" t="str">
            <v>A</v>
          </cell>
          <cell r="P532" t="str">
            <v>A</v>
          </cell>
          <cell r="Q532" t="str">
            <v>C</v>
          </cell>
          <cell r="R532" t="str">
            <v>C</v>
          </cell>
          <cell r="X532">
            <v>49.7</v>
          </cell>
        </row>
        <row r="533">
          <cell r="C533">
            <v>39895178</v>
          </cell>
          <cell r="D533" t="str">
            <v>ТОВ "КРОКУС-АГРО ГРУП"</v>
          </cell>
          <cell r="E533">
            <v>45763.569499999998</v>
          </cell>
          <cell r="F533">
            <v>45658</v>
          </cell>
          <cell r="G533" t="str">
            <v>E</v>
          </cell>
          <cell r="H533" t="str">
            <v>B</v>
          </cell>
          <cell r="I533" t="str">
            <v>B</v>
          </cell>
          <cell r="J533" t="str">
            <v>A</v>
          </cell>
          <cell r="K533" t="str">
            <v>B</v>
          </cell>
          <cell r="L533" t="str">
            <v>B</v>
          </cell>
          <cell r="M533" t="str">
            <v>A</v>
          </cell>
          <cell r="N533" t="str">
            <v>C</v>
          </cell>
          <cell r="O533" t="str">
            <v>B</v>
          </cell>
          <cell r="P533" t="str">
            <v>D</v>
          </cell>
          <cell r="Q533" t="str">
            <v>C</v>
          </cell>
          <cell r="R533" t="str">
            <v>A</v>
          </cell>
          <cell r="X533">
            <v>43</v>
          </cell>
        </row>
        <row r="534">
          <cell r="C534">
            <v>39910709</v>
          </cell>
          <cell r="D534" t="str">
            <v>ТОВ "ЛУЦЬКА АГРАРНА КОМПАНІЯ"</v>
          </cell>
          <cell r="E534">
            <v>45685.544800000003</v>
          </cell>
          <cell r="F534">
            <v>45566</v>
          </cell>
          <cell r="G534" t="str">
            <v>D</v>
          </cell>
          <cell r="H534" t="str">
            <v>C</v>
          </cell>
          <cell r="I534" t="str">
            <v>D</v>
          </cell>
          <cell r="J534" t="str">
            <v>A</v>
          </cell>
          <cell r="K534" t="str">
            <v>C</v>
          </cell>
          <cell r="L534" t="str">
            <v>A</v>
          </cell>
          <cell r="M534" t="str">
            <v>A</v>
          </cell>
          <cell r="N534" t="str">
            <v>C</v>
          </cell>
          <cell r="O534" t="str">
            <v>A</v>
          </cell>
          <cell r="P534" t="str">
            <v>C</v>
          </cell>
          <cell r="Q534" t="str">
            <v>B</v>
          </cell>
          <cell r="R534" t="str">
            <v>B</v>
          </cell>
          <cell r="X534">
            <v>45.8</v>
          </cell>
        </row>
        <row r="535">
          <cell r="C535">
            <v>39935896</v>
          </cell>
          <cell r="D535" t="str">
            <v>ПП "КОНТИНЕНТ 15"</v>
          </cell>
          <cell r="E535">
            <v>45854.771399999998</v>
          </cell>
          <cell r="F535">
            <v>45658</v>
          </cell>
          <cell r="G535" t="str">
            <v>E</v>
          </cell>
          <cell r="H535" t="str">
            <v>C</v>
          </cell>
          <cell r="I535" t="str">
            <v>B</v>
          </cell>
          <cell r="J535" t="str">
            <v>D</v>
          </cell>
          <cell r="K535" t="str">
            <v>D</v>
          </cell>
          <cell r="L535" t="str">
            <v>B</v>
          </cell>
          <cell r="M535" t="str">
            <v>A</v>
          </cell>
          <cell r="N535" t="str">
            <v>A</v>
          </cell>
          <cell r="O535" t="str">
            <v>A</v>
          </cell>
          <cell r="P535" t="str">
            <v>C</v>
          </cell>
          <cell r="Q535" t="str">
            <v>C</v>
          </cell>
          <cell r="R535" t="str">
            <v>A</v>
          </cell>
          <cell r="X535">
            <v>55.999999999999993</v>
          </cell>
        </row>
        <row r="536">
          <cell r="C536">
            <v>39946871</v>
          </cell>
          <cell r="D536" t="str">
            <v>ТОВ "ЕФІ-АГРО"</v>
          </cell>
          <cell r="E536">
            <v>45639.601300000002</v>
          </cell>
          <cell r="F536">
            <v>45566</v>
          </cell>
          <cell r="G536" t="str">
            <v>E</v>
          </cell>
          <cell r="H536" t="str">
            <v>A</v>
          </cell>
          <cell r="I536" t="str">
            <v>B</v>
          </cell>
          <cell r="J536" t="str">
            <v>C</v>
          </cell>
          <cell r="K536" t="str">
            <v>C</v>
          </cell>
          <cell r="L536" t="str">
            <v>B</v>
          </cell>
          <cell r="M536" t="str">
            <v>A</v>
          </cell>
          <cell r="N536" t="str">
            <v>B</v>
          </cell>
          <cell r="O536" t="str">
            <v>A</v>
          </cell>
          <cell r="P536" t="str">
            <v>B</v>
          </cell>
          <cell r="Q536" t="str">
            <v>B</v>
          </cell>
          <cell r="R536" t="str">
            <v>B</v>
          </cell>
          <cell r="X536">
            <v>57.1</v>
          </cell>
        </row>
        <row r="537">
          <cell r="C537">
            <v>39968434</v>
          </cell>
          <cell r="D537" t="str">
            <v xml:space="preserve">ТОВ "ТК ГЕНЕРАЦІЯ" </v>
          </cell>
          <cell r="E537">
            <v>45730.731500000002</v>
          </cell>
          <cell r="F537">
            <v>45474</v>
          </cell>
          <cell r="G537" t="str">
            <v>E</v>
          </cell>
          <cell r="H537" t="str">
            <v>C</v>
          </cell>
          <cell r="I537" t="str">
            <v>B</v>
          </cell>
          <cell r="J537" t="str">
            <v>A</v>
          </cell>
          <cell r="K537" t="str">
            <v>D</v>
          </cell>
          <cell r="L537" t="str">
            <v>A</v>
          </cell>
          <cell r="M537" t="str">
            <v>A</v>
          </cell>
          <cell r="N537" t="str">
            <v>B</v>
          </cell>
          <cell r="O537" t="str">
            <v>A</v>
          </cell>
          <cell r="P537" t="str">
            <v>C</v>
          </cell>
          <cell r="Q537" t="str">
            <v>B</v>
          </cell>
          <cell r="R537" t="str">
            <v>A</v>
          </cell>
          <cell r="X537">
            <v>51.3</v>
          </cell>
        </row>
        <row r="538">
          <cell r="C538">
            <v>39977229</v>
          </cell>
          <cell r="D538" t="str">
            <v>ТОВ "ТАГО ТРЕЙД"</v>
          </cell>
          <cell r="E538">
            <v>45534.444499999998</v>
          </cell>
          <cell r="F538">
            <v>45474</v>
          </cell>
          <cell r="G538" t="str">
            <v>E</v>
          </cell>
          <cell r="H538" t="str">
            <v>B</v>
          </cell>
          <cell r="I538" t="str">
            <v>B</v>
          </cell>
          <cell r="J538" t="str">
            <v>A</v>
          </cell>
          <cell r="K538" t="str">
            <v>E</v>
          </cell>
          <cell r="L538" t="str">
            <v>B</v>
          </cell>
          <cell r="M538" t="str">
            <v>A</v>
          </cell>
          <cell r="N538" t="str">
            <v>B</v>
          </cell>
          <cell r="O538" t="str">
            <v>A</v>
          </cell>
          <cell r="P538" t="str">
            <v>C</v>
          </cell>
          <cell r="Q538" t="str">
            <v>B</v>
          </cell>
          <cell r="R538" t="str">
            <v>B</v>
          </cell>
          <cell r="X538">
            <v>43.3</v>
          </cell>
        </row>
        <row r="539">
          <cell r="C539">
            <v>39988885</v>
          </cell>
          <cell r="D539" t="str">
            <v>ТОВ "ЗЕРНОПРОМ АГРО"</v>
          </cell>
          <cell r="E539">
            <v>45902.750800000002</v>
          </cell>
          <cell r="F539">
            <v>45658</v>
          </cell>
          <cell r="G539" t="str">
            <v>D</v>
          </cell>
          <cell r="H539" t="str">
            <v>B</v>
          </cell>
          <cell r="I539" t="str">
            <v>B</v>
          </cell>
          <cell r="J539" t="str">
            <v>C</v>
          </cell>
          <cell r="K539" t="str">
            <v>E</v>
          </cell>
          <cell r="L539" t="str">
            <v>B</v>
          </cell>
          <cell r="M539" t="str">
            <v>B</v>
          </cell>
          <cell r="N539" t="str">
            <v>D</v>
          </cell>
          <cell r="O539" t="str">
            <v>B</v>
          </cell>
          <cell r="P539" t="str">
            <v>C</v>
          </cell>
          <cell r="Q539" t="str">
            <v>C</v>
          </cell>
          <cell r="R539" t="str">
            <v>A</v>
          </cell>
          <cell r="X539">
            <v>41.6</v>
          </cell>
        </row>
        <row r="540">
          <cell r="C540">
            <v>39994946</v>
          </cell>
          <cell r="D540" t="str">
            <v>ТОВ "-АГРО СЕРВІС-"</v>
          </cell>
          <cell r="E540">
            <v>45902.750800000002</v>
          </cell>
          <cell r="F540">
            <v>45658</v>
          </cell>
          <cell r="G540" t="str">
            <v>D</v>
          </cell>
          <cell r="H540" t="str">
            <v>B</v>
          </cell>
          <cell r="I540" t="str">
            <v>B</v>
          </cell>
          <cell r="J540" t="str">
            <v>C</v>
          </cell>
          <cell r="K540" t="str">
            <v>E</v>
          </cell>
          <cell r="L540" t="str">
            <v>B</v>
          </cell>
          <cell r="M540" t="str">
            <v>B</v>
          </cell>
          <cell r="N540" t="str">
            <v>D</v>
          </cell>
          <cell r="O540" t="str">
            <v>B</v>
          </cell>
          <cell r="P540" t="str">
            <v>C</v>
          </cell>
          <cell r="Q540" t="str">
            <v>C</v>
          </cell>
          <cell r="R540" t="str">
            <v>A</v>
          </cell>
          <cell r="X540">
            <v>41.6</v>
          </cell>
        </row>
        <row r="541">
          <cell r="C541">
            <v>39995206</v>
          </cell>
          <cell r="D541" t="str">
            <v>ТОВ "Дистрибуційна компанія Агротех"</v>
          </cell>
          <cell r="E541">
            <v>45902.750800000002</v>
          </cell>
          <cell r="F541">
            <v>45658</v>
          </cell>
          <cell r="G541" t="str">
            <v>D</v>
          </cell>
          <cell r="H541" t="str">
            <v>B</v>
          </cell>
          <cell r="I541" t="str">
            <v>B</v>
          </cell>
          <cell r="J541" t="str">
            <v>C</v>
          </cell>
          <cell r="K541" t="str">
            <v>E</v>
          </cell>
          <cell r="L541" t="str">
            <v>B</v>
          </cell>
          <cell r="M541" t="str">
            <v>B</v>
          </cell>
          <cell r="N541" t="str">
            <v>D</v>
          </cell>
          <cell r="O541" t="str">
            <v>B</v>
          </cell>
          <cell r="P541" t="str">
            <v>C</v>
          </cell>
          <cell r="Q541" t="str">
            <v>C</v>
          </cell>
          <cell r="R541" t="str">
            <v>A</v>
          </cell>
          <cell r="X541">
            <v>41.6</v>
          </cell>
        </row>
        <row r="542">
          <cell r="C542">
            <v>40011416</v>
          </cell>
          <cell r="D542" t="str">
            <v>ТОВ "АНТЕЙ."</v>
          </cell>
          <cell r="E542">
            <v>45940.321499999998</v>
          </cell>
          <cell r="F542">
            <v>45839</v>
          </cell>
          <cell r="G542" t="str">
            <v>E</v>
          </cell>
          <cell r="H542" t="str">
            <v>D</v>
          </cell>
          <cell r="I542" t="str">
            <v>B</v>
          </cell>
          <cell r="J542" t="str">
            <v>A</v>
          </cell>
          <cell r="K542" t="str">
            <v>D</v>
          </cell>
          <cell r="L542" t="str">
            <v>B</v>
          </cell>
          <cell r="M542" t="str">
            <v>A</v>
          </cell>
          <cell r="N542" t="str">
            <v>B</v>
          </cell>
          <cell r="O542" t="str">
            <v>B</v>
          </cell>
          <cell r="P542" t="str">
            <v>B</v>
          </cell>
          <cell r="Q542" t="str">
            <v>C</v>
          </cell>
          <cell r="R542" t="str">
            <v>B</v>
          </cell>
          <cell r="X542">
            <v>35.29999999999999</v>
          </cell>
        </row>
        <row r="543">
          <cell r="C543">
            <v>40042088</v>
          </cell>
          <cell r="D543" t="str">
            <v>ТОВ "МАРТІН ТРЕЙД"</v>
          </cell>
          <cell r="E543">
            <v>45709</v>
          </cell>
          <cell r="F543">
            <v>45566</v>
          </cell>
          <cell r="G543" t="str">
            <v>D</v>
          </cell>
          <cell r="H543" t="str">
            <v>B</v>
          </cell>
          <cell r="I543" t="str">
            <v>A</v>
          </cell>
          <cell r="J543" t="str">
            <v>C</v>
          </cell>
          <cell r="K543" t="str">
            <v>B</v>
          </cell>
          <cell r="L543" t="str">
            <v>A</v>
          </cell>
          <cell r="M543" t="str">
            <v>A</v>
          </cell>
          <cell r="N543" t="str">
            <v>B</v>
          </cell>
          <cell r="O543" t="str">
            <v>A</v>
          </cell>
          <cell r="P543" t="str">
            <v>A</v>
          </cell>
          <cell r="Q543" t="str">
            <v>B</v>
          </cell>
          <cell r="R543" t="str">
            <v>B</v>
          </cell>
          <cell r="X543">
            <v>61.900000000000006</v>
          </cell>
        </row>
        <row r="544">
          <cell r="C544">
            <v>40055034</v>
          </cell>
          <cell r="D544" t="str">
            <v>ТОВ "НоваПей Кредит"</v>
          </cell>
          <cell r="E544">
            <v>45909.691200000001</v>
          </cell>
          <cell r="F544">
            <v>45658</v>
          </cell>
          <cell r="G544" t="str">
            <v>A</v>
          </cell>
          <cell r="H544" t="str">
            <v>B</v>
          </cell>
          <cell r="I544" t="str">
            <v>B</v>
          </cell>
          <cell r="J544" t="str">
            <v>B</v>
          </cell>
          <cell r="K544" t="str">
            <v>A</v>
          </cell>
          <cell r="L544" t="str">
            <v>A</v>
          </cell>
          <cell r="M544" t="str">
            <v>A</v>
          </cell>
          <cell r="N544" t="str">
            <v>A</v>
          </cell>
          <cell r="O544" t="str">
            <v>A</v>
          </cell>
          <cell r="P544" t="str">
            <v>C</v>
          </cell>
          <cell r="Q544" t="str">
            <v>B</v>
          </cell>
          <cell r="R544" t="str">
            <v>A</v>
          </cell>
          <cell r="X544">
            <v>70.199999999999989</v>
          </cell>
        </row>
        <row r="545">
          <cell r="C545">
            <v>40056284</v>
          </cell>
          <cell r="D545" t="str">
            <v>ТОВ "ЮТК"</v>
          </cell>
          <cell r="E545">
            <v>45538</v>
          </cell>
          <cell r="F545">
            <v>45474</v>
          </cell>
          <cell r="G545" t="str">
            <v>E</v>
          </cell>
          <cell r="H545" t="str">
            <v>B</v>
          </cell>
          <cell r="I545" t="str">
            <v>A</v>
          </cell>
          <cell r="J545" t="str">
            <v>A</v>
          </cell>
          <cell r="K545" t="str">
            <v>D</v>
          </cell>
          <cell r="L545" t="str">
            <v>A</v>
          </cell>
          <cell r="M545" t="str">
            <v>A</v>
          </cell>
          <cell r="N545" t="str">
            <v>B</v>
          </cell>
          <cell r="O545" t="str">
            <v>A</v>
          </cell>
          <cell r="P545" t="str">
            <v>C</v>
          </cell>
          <cell r="Q545" t="str">
            <v>B</v>
          </cell>
          <cell r="R545" t="str">
            <v>A</v>
          </cell>
          <cell r="X545">
            <v>48.5</v>
          </cell>
        </row>
        <row r="546">
          <cell r="C546">
            <v>40069665</v>
          </cell>
          <cell r="D546" t="str">
            <v>ТОВ "Фрателлі Консорціум"</v>
          </cell>
          <cell r="E546">
            <v>45548.633800000003</v>
          </cell>
          <cell r="F546">
            <v>45474</v>
          </cell>
          <cell r="G546" t="str">
            <v>E</v>
          </cell>
          <cell r="H546" t="str">
            <v>A</v>
          </cell>
          <cell r="I546" t="str">
            <v>B</v>
          </cell>
          <cell r="J546" t="str">
            <v>A</v>
          </cell>
          <cell r="K546" t="str">
            <v>B</v>
          </cell>
          <cell r="L546" t="str">
            <v>A</v>
          </cell>
          <cell r="M546" t="str">
            <v>A</v>
          </cell>
          <cell r="N546" t="str">
            <v>B</v>
          </cell>
          <cell r="O546" t="str">
            <v>A</v>
          </cell>
          <cell r="P546" t="str">
            <v>C</v>
          </cell>
          <cell r="Q546" t="str">
            <v>C</v>
          </cell>
          <cell r="R546" t="str">
            <v>A</v>
          </cell>
          <cell r="X546">
            <v>57.099999999999994</v>
          </cell>
        </row>
        <row r="547">
          <cell r="C547">
            <v>40106324</v>
          </cell>
          <cell r="D547" t="str">
            <v>ТОВ "СВОЇ ВІТАМІНИ"</v>
          </cell>
          <cell r="E547">
            <v>45953.698700000001</v>
          </cell>
          <cell r="F547">
            <v>45839</v>
          </cell>
          <cell r="G547" t="str">
            <v>E</v>
          </cell>
          <cell r="H547" t="str">
            <v>B</v>
          </cell>
          <cell r="I547" t="str">
            <v>B</v>
          </cell>
          <cell r="J547" t="str">
            <v>A</v>
          </cell>
          <cell r="K547" t="str">
            <v>E</v>
          </cell>
          <cell r="L547" t="str">
            <v>A</v>
          </cell>
          <cell r="M547" t="str">
            <v>A</v>
          </cell>
          <cell r="N547" t="str">
            <v>B</v>
          </cell>
          <cell r="O547" t="str">
            <v>A</v>
          </cell>
          <cell r="P547" t="str">
            <v>C</v>
          </cell>
          <cell r="Q547" t="str">
            <v>B</v>
          </cell>
          <cell r="R547" t="str">
            <v>B</v>
          </cell>
          <cell r="X547">
            <v>48.1</v>
          </cell>
        </row>
        <row r="548">
          <cell r="C548">
            <v>40124047</v>
          </cell>
          <cell r="D548" t="str">
            <v>ТОВ "ЯСНО ЕНЕРГОЕФЕКТИВНІСТЬ"</v>
          </cell>
          <cell r="E548">
            <v>45885</v>
          </cell>
          <cell r="F548">
            <v>45658</v>
          </cell>
          <cell r="G548" t="str">
            <v>D</v>
          </cell>
          <cell r="H548" t="str">
            <v>A</v>
          </cell>
          <cell r="I548" t="str">
            <v>B</v>
          </cell>
          <cell r="J548" t="str">
            <v>C</v>
          </cell>
          <cell r="K548" t="str">
            <v>D</v>
          </cell>
          <cell r="L548" t="str">
            <v>A</v>
          </cell>
          <cell r="M548" t="str">
            <v>A</v>
          </cell>
          <cell r="N548" t="str">
            <v>A</v>
          </cell>
          <cell r="O548" t="str">
            <v>A</v>
          </cell>
          <cell r="P548" t="str">
            <v>B</v>
          </cell>
          <cell r="Q548" t="str">
            <v>B</v>
          </cell>
          <cell r="R548" t="str">
            <v>A</v>
          </cell>
          <cell r="X548">
            <v>69.600000000000009</v>
          </cell>
        </row>
        <row r="549">
          <cell r="C549">
            <v>40152779</v>
          </cell>
          <cell r="D549" t="str">
            <v>ТОВ "АЙСБЕРГ-ГРУП"</v>
          </cell>
          <cell r="E549">
            <v>45555.732900000003</v>
          </cell>
          <cell r="F549">
            <v>45474</v>
          </cell>
          <cell r="G549" t="str">
            <v>D</v>
          </cell>
          <cell r="H549" t="str">
            <v>C</v>
          </cell>
          <cell r="I549" t="str">
            <v>B</v>
          </cell>
          <cell r="J549" t="str">
            <v>A</v>
          </cell>
          <cell r="K549" t="str">
            <v>B</v>
          </cell>
          <cell r="L549" t="str">
            <v>B</v>
          </cell>
          <cell r="M549" t="str">
            <v>A</v>
          </cell>
          <cell r="N549" t="str">
            <v>A</v>
          </cell>
          <cell r="O549" t="str">
            <v>A</v>
          </cell>
          <cell r="P549" t="str">
            <v>C</v>
          </cell>
          <cell r="Q549" t="str">
            <v>B</v>
          </cell>
          <cell r="R549" t="str">
            <v>C</v>
          </cell>
          <cell r="X549">
            <v>50.999999999999993</v>
          </cell>
        </row>
        <row r="550">
          <cell r="C550">
            <v>40183037</v>
          </cell>
          <cell r="D550" t="str">
            <v>ТОВ "МАХАОН-ІНВЕСТ"</v>
          </cell>
          <cell r="E550">
            <v>45854.645900000003</v>
          </cell>
          <cell r="F550">
            <v>45748</v>
          </cell>
          <cell r="G550" t="str">
            <v>E</v>
          </cell>
          <cell r="H550" t="str">
            <v>B</v>
          </cell>
          <cell r="I550" t="str">
            <v>B</v>
          </cell>
          <cell r="J550" t="str">
            <v>B</v>
          </cell>
          <cell r="K550" t="str">
            <v>D</v>
          </cell>
          <cell r="L550" t="str">
            <v>B</v>
          </cell>
          <cell r="M550" t="str">
            <v>A</v>
          </cell>
          <cell r="N550" t="str">
            <v>B</v>
          </cell>
          <cell r="O550" t="str">
            <v>A</v>
          </cell>
          <cell r="P550" t="str">
            <v>C</v>
          </cell>
          <cell r="Q550" t="str">
            <v>B</v>
          </cell>
          <cell r="R550" t="str">
            <v>B</v>
          </cell>
          <cell r="X550">
            <v>47.3</v>
          </cell>
        </row>
        <row r="551">
          <cell r="C551">
            <v>40211006</v>
          </cell>
          <cell r="D551" t="str">
            <v>ТОВ"ФУДЕКСПРЕС"</v>
          </cell>
          <cell r="E551">
            <v>45736.537700000001</v>
          </cell>
          <cell r="F551">
            <v>45658</v>
          </cell>
          <cell r="G551" t="str">
            <v>E</v>
          </cell>
          <cell r="H551" t="str">
            <v>C</v>
          </cell>
          <cell r="I551" t="str">
            <v>B</v>
          </cell>
          <cell r="J551" t="str">
            <v>A</v>
          </cell>
          <cell r="K551" t="str">
            <v>D</v>
          </cell>
          <cell r="L551" t="str">
            <v>A</v>
          </cell>
          <cell r="M551" t="str">
            <v>A</v>
          </cell>
          <cell r="N551" t="str">
            <v>B</v>
          </cell>
          <cell r="O551" t="str">
            <v>A</v>
          </cell>
          <cell r="P551" t="str">
            <v>C</v>
          </cell>
          <cell r="Q551" t="str">
            <v>B</v>
          </cell>
          <cell r="R551" t="str">
            <v>A</v>
          </cell>
          <cell r="X551">
            <v>51.3</v>
          </cell>
        </row>
        <row r="552">
          <cell r="C552">
            <v>40225789</v>
          </cell>
          <cell r="D552" t="str">
            <v>ТОВ "КОНДИТЕРСЬКА МАГІЯ"</v>
          </cell>
          <cell r="E552">
            <v>45939.7232</v>
          </cell>
          <cell r="F552">
            <v>45839</v>
          </cell>
          <cell r="G552" t="str">
            <v>E</v>
          </cell>
          <cell r="H552" t="str">
            <v>B</v>
          </cell>
          <cell r="I552" t="str">
            <v>B</v>
          </cell>
          <cell r="J552" t="str">
            <v>A</v>
          </cell>
          <cell r="K552" t="str">
            <v>B</v>
          </cell>
          <cell r="L552" t="str">
            <v>A</v>
          </cell>
          <cell r="M552" t="str">
            <v>A</v>
          </cell>
          <cell r="N552" t="str">
            <v>A</v>
          </cell>
          <cell r="O552" t="str">
            <v>A</v>
          </cell>
          <cell r="P552" t="str">
            <v>C</v>
          </cell>
          <cell r="Q552" t="str">
            <v>B</v>
          </cell>
          <cell r="R552" t="str">
            <v>A</v>
          </cell>
          <cell r="X552">
            <v>59.800000000000004</v>
          </cell>
        </row>
        <row r="553">
          <cell r="C553">
            <v>40242097</v>
          </cell>
          <cell r="D553" t="str">
            <v>ТОВ "АЛЬФА ГРУП КИЇВ"</v>
          </cell>
          <cell r="E553">
            <v>45770.491300000002</v>
          </cell>
          <cell r="F553">
            <v>45658</v>
          </cell>
          <cell r="G553" t="str">
            <v>E</v>
          </cell>
          <cell r="H553" t="str">
            <v>A</v>
          </cell>
          <cell r="I553" t="str">
            <v>B</v>
          </cell>
          <cell r="J553" t="str">
            <v>C</v>
          </cell>
          <cell r="K553" t="str">
            <v>F</v>
          </cell>
          <cell r="L553" t="str">
            <v>A</v>
          </cell>
          <cell r="M553" t="str">
            <v>B</v>
          </cell>
          <cell r="N553" t="str">
            <v>C</v>
          </cell>
          <cell r="O553" t="str">
            <v>A</v>
          </cell>
          <cell r="P553" t="str">
            <v>C</v>
          </cell>
          <cell r="Q553" t="str">
            <v>C</v>
          </cell>
          <cell r="R553" t="str">
            <v>C</v>
          </cell>
          <cell r="X553">
            <v>42</v>
          </cell>
        </row>
        <row r="554">
          <cell r="C554">
            <v>40247818</v>
          </cell>
          <cell r="D554" t="str">
            <v>ТОВ "АЛЬТЕРРА ГРУП"</v>
          </cell>
          <cell r="E554">
            <v>45881.411899999999</v>
          </cell>
          <cell r="F554">
            <v>45658</v>
          </cell>
          <cell r="G554" t="str">
            <v>E</v>
          </cell>
          <cell r="H554" t="str">
            <v>B</v>
          </cell>
          <cell r="I554" t="str">
            <v>B</v>
          </cell>
          <cell r="J554" t="str">
            <v>A</v>
          </cell>
          <cell r="K554" t="str">
            <v>C</v>
          </cell>
          <cell r="L554" t="str">
            <v>B</v>
          </cell>
          <cell r="M554" t="str">
            <v>A</v>
          </cell>
          <cell r="N554" t="str">
            <v>A</v>
          </cell>
          <cell r="O554" t="str">
            <v>B</v>
          </cell>
          <cell r="P554" t="str">
            <v>B</v>
          </cell>
          <cell r="Q554" t="str">
            <v>B</v>
          </cell>
          <cell r="R554" t="str">
            <v>C</v>
          </cell>
          <cell r="X554">
            <v>46.4</v>
          </cell>
        </row>
        <row r="555">
          <cell r="C555">
            <v>40256576</v>
          </cell>
          <cell r="D555" t="str">
            <v>ТОВ "РЕЗОН ТРЕЙД"</v>
          </cell>
          <cell r="E555">
            <v>45758.446100000001</v>
          </cell>
          <cell r="F555">
            <v>45658</v>
          </cell>
          <cell r="G555" t="str">
            <v>E</v>
          </cell>
          <cell r="H555" t="str">
            <v>C</v>
          </cell>
          <cell r="I555" t="str">
            <v>B</v>
          </cell>
          <cell r="J555" t="str">
            <v>C</v>
          </cell>
          <cell r="K555" t="str">
            <v>D</v>
          </cell>
          <cell r="L555" t="str">
            <v>A</v>
          </cell>
          <cell r="M555" t="str">
            <v>B</v>
          </cell>
          <cell r="N555" t="str">
            <v>B</v>
          </cell>
          <cell r="O555" t="str">
            <v>B</v>
          </cell>
          <cell r="P555" t="str">
            <v>B</v>
          </cell>
          <cell r="Q555" t="str">
            <v>B</v>
          </cell>
          <cell r="R555" t="str">
            <v>C</v>
          </cell>
          <cell r="X555">
            <v>42.7</v>
          </cell>
        </row>
        <row r="556">
          <cell r="C556">
            <v>40265219</v>
          </cell>
          <cell r="D556" t="str">
            <v>ТОВ "КАЛЬХЕОН"</v>
          </cell>
          <cell r="E556">
            <v>45673.796600000001</v>
          </cell>
          <cell r="F556">
            <v>45566</v>
          </cell>
          <cell r="G556" t="str">
            <v>E</v>
          </cell>
          <cell r="H556" t="str">
            <v>B</v>
          </cell>
          <cell r="I556" t="str">
            <v>A</v>
          </cell>
          <cell r="J556" t="str">
            <v>A</v>
          </cell>
          <cell r="K556" t="str">
            <v>A</v>
          </cell>
          <cell r="L556" t="str">
            <v>A</v>
          </cell>
          <cell r="M556" t="str">
            <v>A</v>
          </cell>
          <cell r="N556" t="str">
            <v>A</v>
          </cell>
          <cell r="O556" t="str">
            <v>A</v>
          </cell>
          <cell r="P556" t="str">
            <v>B</v>
          </cell>
          <cell r="Q556" t="str">
            <v>B</v>
          </cell>
          <cell r="R556" t="str">
            <v>C</v>
          </cell>
          <cell r="X556">
            <v>52.400000000000006</v>
          </cell>
        </row>
        <row r="557">
          <cell r="C557">
            <v>40266212</v>
          </cell>
          <cell r="D557" t="str">
            <v>ПП "ТД АГРО"</v>
          </cell>
          <cell r="E557">
            <v>45958.760799999996</v>
          </cell>
          <cell r="F557">
            <v>45658</v>
          </cell>
          <cell r="G557" t="str">
            <v>E</v>
          </cell>
          <cell r="H557" t="str">
            <v>A</v>
          </cell>
          <cell r="I557" t="str">
            <v>B</v>
          </cell>
          <cell r="J557" t="str">
            <v>B</v>
          </cell>
          <cell r="K557" t="str">
            <v>D</v>
          </cell>
          <cell r="L557" t="str">
            <v>A</v>
          </cell>
          <cell r="M557" t="str">
            <v>A</v>
          </cell>
          <cell r="N557" t="str">
            <v>B</v>
          </cell>
          <cell r="O557" t="str">
            <v>A</v>
          </cell>
          <cell r="P557" t="str">
            <v>C</v>
          </cell>
          <cell r="Q557" t="str">
            <v>B</v>
          </cell>
          <cell r="R557" t="str">
            <v>A</v>
          </cell>
          <cell r="X557">
            <v>58.1</v>
          </cell>
        </row>
        <row r="558">
          <cell r="C558">
            <v>40292090</v>
          </cell>
          <cell r="D558" t="str">
            <v>ТОВ "ЮГФУД"</v>
          </cell>
          <cell r="E558">
            <v>45933.5193</v>
          </cell>
          <cell r="F558">
            <v>45839</v>
          </cell>
          <cell r="G558" t="str">
            <v>E</v>
          </cell>
          <cell r="H558" t="str">
            <v>C</v>
          </cell>
          <cell r="I558" t="str">
            <v>B</v>
          </cell>
          <cell r="J558" t="str">
            <v>A</v>
          </cell>
          <cell r="K558" t="str">
            <v>D</v>
          </cell>
          <cell r="L558" t="str">
            <v>A</v>
          </cell>
          <cell r="M558" t="str">
            <v>A</v>
          </cell>
          <cell r="N558" t="str">
            <v>B</v>
          </cell>
          <cell r="O558" t="str">
            <v>A</v>
          </cell>
          <cell r="P558" t="str">
            <v>A</v>
          </cell>
          <cell r="Q558" t="str">
            <v>B</v>
          </cell>
          <cell r="R558" t="str">
            <v>A</v>
          </cell>
          <cell r="X558">
            <v>55.5</v>
          </cell>
        </row>
        <row r="559">
          <cell r="C559">
            <v>40334203</v>
          </cell>
          <cell r="D559" t="str">
            <v>ТОВ "ВІННЕР ЛІЗИНГ"</v>
          </cell>
          <cell r="E559">
            <v>45595.714899999999</v>
          </cell>
          <cell r="F559">
            <v>45474</v>
          </cell>
          <cell r="G559" t="str">
            <v>D</v>
          </cell>
          <cell r="H559" t="str">
            <v>B</v>
          </cell>
          <cell r="I559" t="str">
            <v>A</v>
          </cell>
          <cell r="J559" t="str">
            <v>A</v>
          </cell>
          <cell r="K559" t="str">
            <v>A</v>
          </cell>
          <cell r="L559" t="str">
            <v>A</v>
          </cell>
          <cell r="M559" t="str">
            <v>A</v>
          </cell>
          <cell r="N559" t="str">
            <v>A</v>
          </cell>
          <cell r="O559" t="str">
            <v>A</v>
          </cell>
          <cell r="P559" t="str">
            <v>A</v>
          </cell>
          <cell r="Q559" t="str">
            <v>A</v>
          </cell>
          <cell r="R559" t="str">
            <v>C</v>
          </cell>
          <cell r="X559">
            <v>60.8</v>
          </cell>
        </row>
        <row r="560">
          <cell r="C560">
            <v>40383893</v>
          </cell>
          <cell r="D560" t="str">
            <v>ТОВ "БРУКЛАНД"</v>
          </cell>
          <cell r="E560">
            <v>45948.830699999999</v>
          </cell>
          <cell r="F560">
            <v>45658</v>
          </cell>
          <cell r="G560" t="str">
            <v>E</v>
          </cell>
          <cell r="H560" t="str">
            <v>B</v>
          </cell>
          <cell r="I560" t="str">
            <v>B</v>
          </cell>
          <cell r="J560" t="str">
            <v>A</v>
          </cell>
          <cell r="K560" t="str">
            <v>D</v>
          </cell>
          <cell r="L560" t="str">
            <v>B</v>
          </cell>
          <cell r="M560" t="str">
            <v>B</v>
          </cell>
          <cell r="N560" t="str">
            <v>B</v>
          </cell>
          <cell r="O560" t="str">
            <v>A</v>
          </cell>
          <cell r="P560" t="str">
            <v>C</v>
          </cell>
          <cell r="Q560" t="str">
            <v>B</v>
          </cell>
          <cell r="R560" t="str">
            <v>A</v>
          </cell>
          <cell r="X560">
            <v>41.7</v>
          </cell>
        </row>
        <row r="561">
          <cell r="C561">
            <v>40427343</v>
          </cell>
          <cell r="D561" t="str">
            <v>ТОВ «ІСЛА СЕРВІС»</v>
          </cell>
          <cell r="E561">
            <v>45840.4689</v>
          </cell>
          <cell r="F561">
            <v>45748</v>
          </cell>
          <cell r="G561" t="str">
            <v>E</v>
          </cell>
          <cell r="H561" t="str">
            <v>C</v>
          </cell>
          <cell r="I561" t="str">
            <v>A</v>
          </cell>
          <cell r="J561" t="str">
            <v>A</v>
          </cell>
          <cell r="K561" t="str">
            <v>D</v>
          </cell>
          <cell r="L561" t="str">
            <v>B</v>
          </cell>
          <cell r="M561" t="str">
            <v>A</v>
          </cell>
          <cell r="N561" t="str">
            <v>B</v>
          </cell>
          <cell r="O561" t="str">
            <v>A</v>
          </cell>
          <cell r="P561" t="str">
            <v>D</v>
          </cell>
          <cell r="Q561" t="str">
            <v>B</v>
          </cell>
          <cell r="R561" t="str">
            <v>A</v>
          </cell>
          <cell r="X561">
            <v>40.299999999999997</v>
          </cell>
        </row>
        <row r="562">
          <cell r="C562">
            <v>40428872</v>
          </cell>
          <cell r="D562" t="str">
            <v>ТОВ "УКРАГРОПРОТЕКТ"</v>
          </cell>
          <cell r="E562">
            <v>45951.531300000002</v>
          </cell>
          <cell r="F562">
            <v>45839</v>
          </cell>
          <cell r="G562" t="str">
            <v>C</v>
          </cell>
          <cell r="H562" t="str">
            <v>B</v>
          </cell>
          <cell r="I562" t="str">
            <v>B</v>
          </cell>
          <cell r="J562" t="str">
            <v>A</v>
          </cell>
          <cell r="K562" t="str">
            <v>E</v>
          </cell>
          <cell r="L562" t="str">
            <v>A</v>
          </cell>
          <cell r="M562" t="str">
            <v>A</v>
          </cell>
          <cell r="N562" t="str">
            <v>B</v>
          </cell>
          <cell r="O562" t="str">
            <v>A</v>
          </cell>
          <cell r="P562" t="str">
            <v>C</v>
          </cell>
          <cell r="Q562" t="str">
            <v>B</v>
          </cell>
          <cell r="R562" t="str">
            <v>A</v>
          </cell>
          <cell r="X562">
            <v>55.7</v>
          </cell>
        </row>
        <row r="563">
          <cell r="C563">
            <v>40434268</v>
          </cell>
          <cell r="D563" t="str">
            <v>ТОВ "СП ДОВІРА"</v>
          </cell>
          <cell r="E563">
            <v>45951.869899999998</v>
          </cell>
          <cell r="F563">
            <v>45839</v>
          </cell>
          <cell r="G563" t="str">
            <v>E</v>
          </cell>
          <cell r="H563" t="str">
            <v>B</v>
          </cell>
          <cell r="I563" t="str">
            <v>B</v>
          </cell>
          <cell r="J563" t="str">
            <v>A</v>
          </cell>
          <cell r="K563" t="str">
            <v>D</v>
          </cell>
          <cell r="L563" t="str">
            <v>B</v>
          </cell>
          <cell r="M563" t="str">
            <v>C</v>
          </cell>
          <cell r="N563" t="str">
            <v>B</v>
          </cell>
          <cell r="O563" t="str">
            <v>A</v>
          </cell>
          <cell r="P563" t="str">
            <v>C</v>
          </cell>
          <cell r="Q563" t="str">
            <v>C</v>
          </cell>
          <cell r="R563" t="str">
            <v>A</v>
          </cell>
          <cell r="X563">
            <v>38.699999999999996</v>
          </cell>
        </row>
        <row r="564">
          <cell r="C564">
            <v>40469416</v>
          </cell>
          <cell r="D564" t="str">
            <v>ТОВ "СКІФ"</v>
          </cell>
          <cell r="E564">
            <v>45736.444600000003</v>
          </cell>
          <cell r="F564">
            <v>45566</v>
          </cell>
          <cell r="G564" t="str">
            <v>D</v>
          </cell>
          <cell r="H564" t="str">
            <v>C</v>
          </cell>
          <cell r="I564" t="str">
            <v>D</v>
          </cell>
          <cell r="J564" t="str">
            <v>D</v>
          </cell>
          <cell r="K564" t="str">
            <v>D</v>
          </cell>
          <cell r="L564" t="str">
            <v>A</v>
          </cell>
          <cell r="M564" t="str">
            <v>C</v>
          </cell>
          <cell r="N564" t="str">
            <v>B</v>
          </cell>
          <cell r="O564" t="str">
            <v>B</v>
          </cell>
          <cell r="P564" t="str">
            <v>C</v>
          </cell>
          <cell r="Q564" t="str">
            <v>C</v>
          </cell>
          <cell r="R564" t="str">
            <v>A</v>
          </cell>
          <cell r="X564">
            <v>43.099999999999987</v>
          </cell>
        </row>
        <row r="565">
          <cell r="C565">
            <v>40535483</v>
          </cell>
          <cell r="D565" t="str">
            <v>ТОВ "ВІМЕКСІМ ТРЕЙД"</v>
          </cell>
          <cell r="E565">
            <v>45828.481200000002</v>
          </cell>
          <cell r="F565">
            <v>45658</v>
          </cell>
          <cell r="G565" t="str">
            <v>E</v>
          </cell>
          <cell r="H565" t="str">
            <v>C</v>
          </cell>
          <cell r="I565" t="str">
            <v>A</v>
          </cell>
          <cell r="J565" t="str">
            <v>A</v>
          </cell>
          <cell r="K565" t="str">
            <v>D</v>
          </cell>
          <cell r="L565" t="str">
            <v>B</v>
          </cell>
          <cell r="M565" t="str">
            <v>A</v>
          </cell>
          <cell r="N565" t="str">
            <v>B</v>
          </cell>
          <cell r="O565" t="str">
            <v>A</v>
          </cell>
          <cell r="P565" t="str">
            <v>B</v>
          </cell>
          <cell r="Q565" t="str">
            <v>B</v>
          </cell>
          <cell r="R565" t="str">
            <v>B</v>
          </cell>
          <cell r="X565">
            <v>40.299999999999997</v>
          </cell>
        </row>
        <row r="566">
          <cell r="C566">
            <v>40709221</v>
          </cell>
          <cell r="D566" t="str">
            <v>ТОВ "КОМПАНІЯ ІНТЕР-ЛІС"</v>
          </cell>
          <cell r="E566">
            <v>45915.628199999999</v>
          </cell>
          <cell r="F566">
            <v>45839</v>
          </cell>
          <cell r="G566" t="str">
            <v>E</v>
          </cell>
          <cell r="H566" t="str">
            <v>C</v>
          </cell>
          <cell r="I566" t="str">
            <v>B</v>
          </cell>
          <cell r="J566" t="str">
            <v>A</v>
          </cell>
          <cell r="K566" t="str">
            <v>D</v>
          </cell>
          <cell r="L566" t="str">
            <v>B</v>
          </cell>
          <cell r="M566" t="str">
            <v>A</v>
          </cell>
          <cell r="N566" t="str">
            <v>B</v>
          </cell>
          <cell r="O566" t="str">
            <v>A</v>
          </cell>
          <cell r="P566" t="str">
            <v>C</v>
          </cell>
          <cell r="Q566" t="str">
            <v>C</v>
          </cell>
          <cell r="R566" t="str">
            <v>C</v>
          </cell>
          <cell r="X566">
            <v>38.699999999999989</v>
          </cell>
        </row>
        <row r="567">
          <cell r="C567">
            <v>40720198</v>
          </cell>
          <cell r="D567" t="str">
            <v>ТОВ "СІЛЬПО-ФУД"</v>
          </cell>
          <cell r="E567">
            <v>45840.463900000002</v>
          </cell>
          <cell r="F567">
            <v>45658</v>
          </cell>
          <cell r="G567" t="str">
            <v>C</v>
          </cell>
          <cell r="H567" t="str">
            <v>D</v>
          </cell>
          <cell r="I567" t="str">
            <v>D</v>
          </cell>
          <cell r="J567" t="str">
            <v>D</v>
          </cell>
          <cell r="K567" t="str">
            <v>C</v>
          </cell>
          <cell r="L567" t="str">
            <v>A</v>
          </cell>
          <cell r="M567" t="str">
            <v>B</v>
          </cell>
          <cell r="N567" t="str">
            <v>A</v>
          </cell>
          <cell r="O567" t="str">
            <v>A</v>
          </cell>
          <cell r="P567" t="str">
            <v>A</v>
          </cell>
          <cell r="Q567" t="str">
            <v>B</v>
          </cell>
          <cell r="R567" t="str">
            <v>A</v>
          </cell>
          <cell r="X567">
            <v>56.4</v>
          </cell>
        </row>
        <row r="568">
          <cell r="C568">
            <v>40779917</v>
          </cell>
          <cell r="D568" t="str">
            <v>ТОВ "ЮА-ФАРМ"</v>
          </cell>
          <cell r="E568">
            <v>45700.668400000002</v>
          </cell>
          <cell r="F568">
            <v>45566</v>
          </cell>
          <cell r="G568" t="str">
            <v>E</v>
          </cell>
          <cell r="H568" t="str">
            <v>B</v>
          </cell>
          <cell r="I568" t="str">
            <v>B</v>
          </cell>
          <cell r="J568" t="str">
            <v>A</v>
          </cell>
          <cell r="K568" t="str">
            <v>B</v>
          </cell>
          <cell r="L568" t="str">
            <v>A</v>
          </cell>
          <cell r="M568" t="str">
            <v>A</v>
          </cell>
          <cell r="N568" t="str">
            <v>B</v>
          </cell>
          <cell r="O568" t="str">
            <v>A</v>
          </cell>
          <cell r="P568" t="str">
            <v>C</v>
          </cell>
          <cell r="Q568" t="str">
            <v>B</v>
          </cell>
          <cell r="R568" t="str">
            <v>A</v>
          </cell>
          <cell r="X568">
            <v>56.500000000000007</v>
          </cell>
        </row>
        <row r="569">
          <cell r="C569">
            <v>40822312</v>
          </cell>
          <cell r="D569" t="str">
            <v>ТзОВ "ПОДОРОЖНИК СТАНІСЛАВ"</v>
          </cell>
          <cell r="E569">
            <v>45812</v>
          </cell>
          <cell r="F569">
            <v>45658</v>
          </cell>
          <cell r="G569" t="str">
            <v>B</v>
          </cell>
          <cell r="H569" t="str">
            <v>B</v>
          </cell>
          <cell r="I569" t="str">
            <v>B</v>
          </cell>
          <cell r="J569" t="str">
            <v>A</v>
          </cell>
          <cell r="K569" t="str">
            <v>A</v>
          </cell>
          <cell r="L569" t="str">
            <v>A</v>
          </cell>
          <cell r="M569" t="str">
            <v>A</v>
          </cell>
          <cell r="N569" t="str">
            <v>A</v>
          </cell>
          <cell r="O569" t="str">
            <v>A</v>
          </cell>
          <cell r="P569" t="str">
            <v>A</v>
          </cell>
          <cell r="Q569" t="str">
            <v>A</v>
          </cell>
          <cell r="R569" t="str">
            <v>C</v>
          </cell>
          <cell r="X569">
            <v>69.599999999999994</v>
          </cell>
        </row>
        <row r="570">
          <cell r="C570">
            <v>40828948</v>
          </cell>
          <cell r="D570" t="str">
            <v>ТОВ "НАШ ПАПІР ПЛЮС"</v>
          </cell>
          <cell r="E570">
            <v>45776.485999999997</v>
          </cell>
          <cell r="F570">
            <v>45658</v>
          </cell>
          <cell r="G570" t="str">
            <v>E</v>
          </cell>
          <cell r="H570" t="str">
            <v>A</v>
          </cell>
          <cell r="I570" t="str">
            <v>B</v>
          </cell>
          <cell r="J570" t="str">
            <v>A</v>
          </cell>
          <cell r="K570" t="str">
            <v>C</v>
          </cell>
          <cell r="L570" t="str">
            <v>A</v>
          </cell>
          <cell r="M570" t="str">
            <v>A</v>
          </cell>
          <cell r="N570" t="str">
            <v>B</v>
          </cell>
          <cell r="O570" t="str">
            <v>A</v>
          </cell>
          <cell r="P570" t="str">
            <v>C</v>
          </cell>
          <cell r="Q570" t="str">
            <v>B</v>
          </cell>
          <cell r="R570" t="str">
            <v>A</v>
          </cell>
          <cell r="X570">
            <v>58.1</v>
          </cell>
        </row>
        <row r="571">
          <cell r="C571">
            <v>40849224</v>
          </cell>
          <cell r="D571" t="str">
            <v>ТОВ "ІЗМАЇЛ-ТРАНСБАЛКТЕРМІНАЛ"</v>
          </cell>
          <cell r="E571">
            <v>45880.410499999998</v>
          </cell>
          <cell r="F571">
            <v>45748</v>
          </cell>
          <cell r="G571" t="str">
            <v>E</v>
          </cell>
          <cell r="H571" t="str">
            <v>B</v>
          </cell>
          <cell r="I571" t="str">
            <v>B</v>
          </cell>
          <cell r="J571" t="str">
            <v>D</v>
          </cell>
          <cell r="K571" t="str">
            <v>D</v>
          </cell>
          <cell r="L571" t="str">
            <v>B</v>
          </cell>
          <cell r="M571" t="str">
            <v>A</v>
          </cell>
          <cell r="N571" t="str">
            <v>B</v>
          </cell>
          <cell r="O571" t="str">
            <v>B</v>
          </cell>
          <cell r="P571" t="str">
            <v>B</v>
          </cell>
          <cell r="Q571" t="str">
            <v>B</v>
          </cell>
          <cell r="R571" t="str">
            <v>C</v>
          </cell>
          <cell r="X571">
            <v>48.300000000000004</v>
          </cell>
        </row>
        <row r="572">
          <cell r="C572">
            <v>40853644</v>
          </cell>
          <cell r="D572" t="str">
            <v>ТОВ "ВСМК-ТРЕЙД"</v>
          </cell>
          <cell r="E572">
            <v>45707.530100000004</v>
          </cell>
          <cell r="F572">
            <v>45566</v>
          </cell>
          <cell r="G572" t="str">
            <v>C</v>
          </cell>
          <cell r="H572" t="str">
            <v>C</v>
          </cell>
          <cell r="I572" t="str">
            <v>B</v>
          </cell>
          <cell r="J572" t="str">
            <v>C</v>
          </cell>
          <cell r="K572" t="str">
            <v>D</v>
          </cell>
          <cell r="L572" t="str">
            <v>B</v>
          </cell>
          <cell r="M572" t="str">
            <v>B</v>
          </cell>
          <cell r="N572" t="str">
            <v>B</v>
          </cell>
          <cell r="O572" t="str">
            <v>B</v>
          </cell>
          <cell r="P572" t="str">
            <v>C</v>
          </cell>
          <cell r="Q572" t="str">
            <v>C</v>
          </cell>
          <cell r="R572" t="str">
            <v>B</v>
          </cell>
          <cell r="X572">
            <v>40.699999999999996</v>
          </cell>
        </row>
        <row r="573">
          <cell r="C573">
            <v>40856467</v>
          </cell>
          <cell r="D573" t="str">
            <v>ТОВ "КУБЛИЧ ГРЕЙН"</v>
          </cell>
          <cell r="E573">
            <v>45853</v>
          </cell>
          <cell r="F573">
            <v>45658</v>
          </cell>
          <cell r="G573" t="str">
            <v>E</v>
          </cell>
          <cell r="H573" t="str">
            <v>B</v>
          </cell>
          <cell r="I573" t="str">
            <v>B</v>
          </cell>
          <cell r="J573" t="str">
            <v>B</v>
          </cell>
          <cell r="K573" t="str">
            <v>D</v>
          </cell>
          <cell r="L573" t="str">
            <v>B</v>
          </cell>
          <cell r="M573" t="str">
            <v>A</v>
          </cell>
          <cell r="N573" t="str">
            <v>B</v>
          </cell>
          <cell r="O573" t="str">
            <v>A</v>
          </cell>
          <cell r="P573" t="str">
            <v>B</v>
          </cell>
          <cell r="Q573" t="str">
            <v>B</v>
          </cell>
          <cell r="R573" t="str">
            <v>C</v>
          </cell>
          <cell r="X573">
            <v>46.7</v>
          </cell>
        </row>
        <row r="574">
          <cell r="C574">
            <v>40866700</v>
          </cell>
          <cell r="D574" t="str">
            <v>ТОВ "АМІКУМ ФАРМА"</v>
          </cell>
          <cell r="E574">
            <v>45681.486799999999</v>
          </cell>
          <cell r="F574">
            <v>45566</v>
          </cell>
          <cell r="G574" t="str">
            <v>E</v>
          </cell>
          <cell r="H574" t="str">
            <v>B</v>
          </cell>
          <cell r="I574" t="str">
            <v>C</v>
          </cell>
          <cell r="J574" t="str">
            <v>B</v>
          </cell>
          <cell r="K574" t="str">
            <v>D</v>
          </cell>
          <cell r="L574" t="str">
            <v>B</v>
          </cell>
          <cell r="M574" t="str">
            <v>A</v>
          </cell>
          <cell r="N574" t="str">
            <v>B</v>
          </cell>
          <cell r="O574" t="str">
            <v>A</v>
          </cell>
          <cell r="P574" t="str">
            <v>C</v>
          </cell>
          <cell r="Q574" t="str">
            <v>B</v>
          </cell>
          <cell r="R574" t="str">
            <v>A</v>
          </cell>
          <cell r="X574">
            <v>42.9</v>
          </cell>
        </row>
        <row r="575">
          <cell r="C575">
            <v>40890272</v>
          </cell>
          <cell r="D575" t="str">
            <v>ТОВ "Олмас"</v>
          </cell>
          <cell r="E575">
            <v>45949.937700000002</v>
          </cell>
          <cell r="F575">
            <v>45658</v>
          </cell>
          <cell r="G575" t="str">
            <v>D</v>
          </cell>
          <cell r="H575" t="str">
            <v>B</v>
          </cell>
          <cell r="I575" t="str">
            <v>B</v>
          </cell>
          <cell r="J575" t="str">
            <v>B</v>
          </cell>
          <cell r="K575" t="str">
            <v>B</v>
          </cell>
          <cell r="L575" t="str">
            <v>A</v>
          </cell>
          <cell r="M575" t="str">
            <v>A</v>
          </cell>
          <cell r="N575" t="str">
            <v>B</v>
          </cell>
          <cell r="O575" t="str">
            <v>A</v>
          </cell>
          <cell r="P575" t="str">
            <v>A</v>
          </cell>
          <cell r="Q575" t="str">
            <v>B</v>
          </cell>
          <cell r="R575" t="str">
            <v>A</v>
          </cell>
          <cell r="X575">
            <v>67.100000000000009</v>
          </cell>
        </row>
        <row r="576">
          <cell r="C576">
            <v>40902628</v>
          </cell>
          <cell r="D576" t="str">
            <v>ТОВ "КІЦМАНСЬКА СЕС"</v>
          </cell>
          <cell r="E576">
            <v>45596.7359</v>
          </cell>
          <cell r="F576">
            <v>45474</v>
          </cell>
          <cell r="G576" t="str">
            <v>E</v>
          </cell>
          <cell r="H576" t="str">
            <v>C</v>
          </cell>
          <cell r="I576" t="str">
            <v>B</v>
          </cell>
          <cell r="J576" t="str">
            <v>B</v>
          </cell>
          <cell r="K576" t="str">
            <v>A</v>
          </cell>
          <cell r="L576" t="str">
            <v>A</v>
          </cell>
          <cell r="M576" t="str">
            <v>A</v>
          </cell>
          <cell r="N576" t="str">
            <v>A</v>
          </cell>
          <cell r="O576" t="str">
            <v>A</v>
          </cell>
          <cell r="P576" t="str">
            <v>D</v>
          </cell>
          <cell r="Q576" t="str">
            <v>B</v>
          </cell>
          <cell r="R576" t="str">
            <v>C</v>
          </cell>
          <cell r="X576">
            <v>54.4</v>
          </cell>
        </row>
        <row r="577">
          <cell r="C577">
            <v>40916284</v>
          </cell>
          <cell r="D577" t="str">
            <v>ТОВ "ЮГ-ТРАНСПОРТ ЛТД"</v>
          </cell>
          <cell r="E577">
            <v>45561.710299999999</v>
          </cell>
          <cell r="F577">
            <v>45474</v>
          </cell>
          <cell r="G577" t="str">
            <v>E</v>
          </cell>
          <cell r="H577" t="str">
            <v>B</v>
          </cell>
          <cell r="I577" t="str">
            <v>D</v>
          </cell>
          <cell r="J577" t="str">
            <v>A</v>
          </cell>
          <cell r="K577" t="str">
            <v>D</v>
          </cell>
          <cell r="L577" t="str">
            <v>B</v>
          </cell>
          <cell r="M577" t="str">
            <v>A</v>
          </cell>
          <cell r="N577" t="str">
            <v>B</v>
          </cell>
          <cell r="O577" t="str">
            <v>A</v>
          </cell>
          <cell r="P577" t="str">
            <v>C</v>
          </cell>
          <cell r="Q577" t="str">
            <v>C</v>
          </cell>
          <cell r="R577" t="str">
            <v>B</v>
          </cell>
          <cell r="X577">
            <v>35.9</v>
          </cell>
        </row>
        <row r="578">
          <cell r="C578">
            <v>40933551</v>
          </cell>
          <cell r="D578" t="str">
            <v>ТзОВ "Імпері Моторз"</v>
          </cell>
          <cell r="E578">
            <v>45832.630499999999</v>
          </cell>
          <cell r="F578">
            <v>45748</v>
          </cell>
          <cell r="G578" t="str">
            <v>E</v>
          </cell>
          <cell r="H578" t="str">
            <v>B</v>
          </cell>
          <cell r="I578" t="str">
            <v>B</v>
          </cell>
          <cell r="J578" t="str">
            <v>B</v>
          </cell>
          <cell r="K578" t="str">
            <v>D</v>
          </cell>
          <cell r="L578" t="str">
            <v>A</v>
          </cell>
          <cell r="M578" t="str">
            <v>B</v>
          </cell>
          <cell r="N578" t="str">
            <v>B</v>
          </cell>
          <cell r="O578" t="str">
            <v>A</v>
          </cell>
          <cell r="P578" t="str">
            <v>C</v>
          </cell>
          <cell r="Q578" t="str">
            <v>B</v>
          </cell>
          <cell r="R578" t="str">
            <v>A</v>
          </cell>
          <cell r="X578">
            <v>49.300000000000004</v>
          </cell>
        </row>
        <row r="579">
          <cell r="C579">
            <v>40950713</v>
          </cell>
          <cell r="D579" t="str">
            <v>ТОВ "ТЕРМАСТІЛ ЛСТК"</v>
          </cell>
          <cell r="E579">
            <v>45800.503100000002</v>
          </cell>
          <cell r="F579">
            <v>45566</v>
          </cell>
          <cell r="G579" t="str">
            <v>E</v>
          </cell>
          <cell r="H579" t="str">
            <v>B</v>
          </cell>
          <cell r="I579" t="str">
            <v>B</v>
          </cell>
          <cell r="J579" t="str">
            <v>B</v>
          </cell>
          <cell r="K579" t="str">
            <v>D</v>
          </cell>
          <cell r="L579" t="str">
            <v>B</v>
          </cell>
          <cell r="M579" t="str">
            <v>A</v>
          </cell>
          <cell r="N579" t="str">
            <v>B</v>
          </cell>
          <cell r="O579" t="str">
            <v>A</v>
          </cell>
          <cell r="P579" t="str">
            <v>C</v>
          </cell>
          <cell r="Q579" t="str">
            <v>C</v>
          </cell>
          <cell r="R579" t="str">
            <v>B</v>
          </cell>
          <cell r="X579">
            <v>45.499999999999993</v>
          </cell>
        </row>
        <row r="580">
          <cell r="C580">
            <v>40951041</v>
          </cell>
          <cell r="D580" t="str">
            <v>ТОВ "ТЕРМАСТІЛ ПРОФІЛЬ"</v>
          </cell>
          <cell r="E580">
            <v>45800.503100000002</v>
          </cell>
          <cell r="F580">
            <v>45566</v>
          </cell>
          <cell r="G580" t="str">
            <v>E</v>
          </cell>
          <cell r="H580" t="str">
            <v>B</v>
          </cell>
          <cell r="I580" t="str">
            <v>B</v>
          </cell>
          <cell r="J580" t="str">
            <v>B</v>
          </cell>
          <cell r="K580" t="str">
            <v>D</v>
          </cell>
          <cell r="L580" t="str">
            <v>B</v>
          </cell>
          <cell r="M580" t="str">
            <v>A</v>
          </cell>
          <cell r="N580" t="str">
            <v>B</v>
          </cell>
          <cell r="O580" t="str">
            <v>A</v>
          </cell>
          <cell r="P580" t="str">
            <v>C</v>
          </cell>
          <cell r="Q580" t="str">
            <v>C</v>
          </cell>
          <cell r="R580" t="str">
            <v>B</v>
          </cell>
          <cell r="X580">
            <v>45.499999999999993</v>
          </cell>
        </row>
        <row r="581">
          <cell r="C581">
            <v>40968046</v>
          </cell>
          <cell r="D581" t="str">
            <v>ТОВ "КРОНАС-ТРЕЙД"</v>
          </cell>
          <cell r="E581">
            <v>45860.739300000001</v>
          </cell>
          <cell r="F581">
            <v>45748</v>
          </cell>
          <cell r="G581" t="str">
            <v>E</v>
          </cell>
          <cell r="H581" t="str">
            <v>C</v>
          </cell>
          <cell r="I581" t="str">
            <v>B</v>
          </cell>
          <cell r="J581" t="str">
            <v>D</v>
          </cell>
          <cell r="K581" t="str">
            <v>D</v>
          </cell>
          <cell r="L581" t="str">
            <v>A</v>
          </cell>
          <cell r="M581" t="str">
            <v>A</v>
          </cell>
          <cell r="N581" t="str">
            <v>B</v>
          </cell>
          <cell r="O581" t="str">
            <v>A</v>
          </cell>
          <cell r="P581" t="str">
            <v>C</v>
          </cell>
          <cell r="Q581" t="str">
            <v>B</v>
          </cell>
          <cell r="R581" t="str">
            <v>B</v>
          </cell>
          <cell r="X581">
            <v>55.7</v>
          </cell>
        </row>
        <row r="582">
          <cell r="C582">
            <v>40969787</v>
          </cell>
          <cell r="D582" t="str">
            <v>ТОВ "Алма Фасіліті Груп"</v>
          </cell>
          <cell r="E582">
            <v>45792.5386</v>
          </cell>
          <cell r="F582">
            <v>45658</v>
          </cell>
          <cell r="G582" t="str">
            <v>E</v>
          </cell>
          <cell r="H582" t="str">
            <v>C</v>
          </cell>
          <cell r="I582" t="str">
            <v>B</v>
          </cell>
          <cell r="J582" t="str">
            <v>A</v>
          </cell>
          <cell r="K582" t="str">
            <v>D</v>
          </cell>
          <cell r="L582" t="str">
            <v>A</v>
          </cell>
          <cell r="M582" t="str">
            <v>A</v>
          </cell>
          <cell r="N582" t="str">
            <v>B</v>
          </cell>
          <cell r="O582" t="str">
            <v>A</v>
          </cell>
          <cell r="P582" t="str">
            <v>C</v>
          </cell>
          <cell r="Q582" t="str">
            <v>B</v>
          </cell>
          <cell r="R582" t="str">
            <v>A</v>
          </cell>
          <cell r="X582">
            <v>51.3</v>
          </cell>
        </row>
        <row r="583">
          <cell r="C583">
            <v>40995492</v>
          </cell>
          <cell r="D583" t="str">
            <v>ТОВ  "СВІТ СТАР"</v>
          </cell>
          <cell r="E583">
            <v>45581</v>
          </cell>
          <cell r="F583">
            <v>45474</v>
          </cell>
          <cell r="G583" t="str">
            <v>E</v>
          </cell>
          <cell r="H583" t="str">
            <v>A</v>
          </cell>
          <cell r="I583" t="str">
            <v>B</v>
          </cell>
          <cell r="J583" t="str">
            <v>C</v>
          </cell>
          <cell r="K583" t="str">
            <v>B</v>
          </cell>
          <cell r="L583" t="str">
            <v>A</v>
          </cell>
          <cell r="M583" t="str">
            <v>A</v>
          </cell>
          <cell r="N583" t="str">
            <v>B</v>
          </cell>
          <cell r="O583" t="str">
            <v>A</v>
          </cell>
          <cell r="P583" t="str">
            <v>C</v>
          </cell>
          <cell r="Q583" t="str">
            <v>B</v>
          </cell>
          <cell r="R583" t="str">
            <v>A</v>
          </cell>
          <cell r="X583">
            <v>64.5</v>
          </cell>
        </row>
        <row r="584">
          <cell r="C584">
            <v>41003486</v>
          </cell>
          <cell r="D584" t="str">
            <v>ТОВ "ІТ-ДЕВЕЛОПМЕНТ"</v>
          </cell>
          <cell r="E584">
            <v>45660.003700000001</v>
          </cell>
          <cell r="F584">
            <v>45566</v>
          </cell>
          <cell r="G584" t="str">
            <v>E</v>
          </cell>
          <cell r="H584" t="str">
            <v>A</v>
          </cell>
          <cell r="I584" t="str">
            <v>B</v>
          </cell>
          <cell r="J584" t="str">
            <v>B</v>
          </cell>
          <cell r="K584" t="str">
            <v>D</v>
          </cell>
          <cell r="L584" t="str">
            <v>A</v>
          </cell>
          <cell r="M584" t="str">
            <v>A</v>
          </cell>
          <cell r="N584" t="str">
            <v>B</v>
          </cell>
          <cell r="O584" t="str">
            <v>A</v>
          </cell>
          <cell r="P584" t="str">
            <v>B</v>
          </cell>
          <cell r="Q584" t="str">
            <v>B</v>
          </cell>
          <cell r="R584" t="str">
            <v>A</v>
          </cell>
          <cell r="X584">
            <v>59.900000000000006</v>
          </cell>
        </row>
        <row r="585">
          <cell r="C585">
            <v>41030906</v>
          </cell>
          <cell r="D585" t="str">
            <v>ТОВ "АРТ-ЛЕКС ЛТД"</v>
          </cell>
          <cell r="E585">
            <v>45785.753100000002</v>
          </cell>
          <cell r="F585">
            <v>45658</v>
          </cell>
          <cell r="G585" t="str">
            <v>E</v>
          </cell>
          <cell r="H585" t="str">
            <v>B</v>
          </cell>
          <cell r="I585" t="str">
            <v>B</v>
          </cell>
          <cell r="J585" t="str">
            <v>A</v>
          </cell>
          <cell r="K585" t="str">
            <v>D</v>
          </cell>
          <cell r="L585" t="str">
            <v>B</v>
          </cell>
          <cell r="M585" t="str">
            <v>A</v>
          </cell>
          <cell r="N585" t="str">
            <v>C</v>
          </cell>
          <cell r="O585" t="str">
            <v>A</v>
          </cell>
          <cell r="P585" t="str">
            <v>C</v>
          </cell>
          <cell r="Q585" t="str">
            <v>B</v>
          </cell>
          <cell r="R585" t="str">
            <v>C</v>
          </cell>
          <cell r="X585">
            <v>40.6</v>
          </cell>
        </row>
        <row r="586">
          <cell r="C586">
            <v>41051402</v>
          </cell>
          <cell r="D586" t="str">
            <v>ТОВ "ВСЕСВІТ-ОЙЛ-ГРУП "</v>
          </cell>
          <cell r="E586">
            <v>45594.640299999999</v>
          </cell>
          <cell r="F586">
            <v>45474</v>
          </cell>
          <cell r="G586" t="str">
            <v>E</v>
          </cell>
          <cell r="H586" t="str">
            <v>B</v>
          </cell>
          <cell r="I586" t="str">
            <v>B</v>
          </cell>
          <cell r="J586" t="str">
            <v>B</v>
          </cell>
          <cell r="K586" t="str">
            <v>E</v>
          </cell>
          <cell r="L586" t="str">
            <v>B</v>
          </cell>
          <cell r="M586" t="str">
            <v>A</v>
          </cell>
          <cell r="N586" t="str">
            <v>B</v>
          </cell>
          <cell r="O586" t="str">
            <v>A</v>
          </cell>
          <cell r="P586" t="str">
            <v>C</v>
          </cell>
          <cell r="Q586" t="str">
            <v>B</v>
          </cell>
          <cell r="R586" t="str">
            <v>C</v>
          </cell>
          <cell r="X586">
            <v>43.7</v>
          </cell>
        </row>
        <row r="587">
          <cell r="C587">
            <v>41065242</v>
          </cell>
          <cell r="D587" t="str">
            <v>ТОВ "АГРІКОН-ПІВДЕНЬ"</v>
          </cell>
          <cell r="E587">
            <v>45912.671999999999</v>
          </cell>
          <cell r="F587">
            <v>45839</v>
          </cell>
          <cell r="G587" t="str">
            <v>E</v>
          </cell>
          <cell r="H587" t="str">
            <v>A</v>
          </cell>
          <cell r="I587" t="str">
            <v>B</v>
          </cell>
          <cell r="J587" t="str">
            <v>A</v>
          </cell>
          <cell r="K587" t="str">
            <v>C</v>
          </cell>
          <cell r="L587" t="str">
            <v>A</v>
          </cell>
          <cell r="M587" t="str">
            <v>A</v>
          </cell>
          <cell r="N587" t="str">
            <v>B</v>
          </cell>
          <cell r="O587" t="str">
            <v>A</v>
          </cell>
          <cell r="P587" t="str">
            <v>C</v>
          </cell>
          <cell r="Q587" t="str">
            <v>B</v>
          </cell>
          <cell r="R587" t="str">
            <v>A</v>
          </cell>
          <cell r="X587">
            <v>58.1</v>
          </cell>
        </row>
        <row r="588">
          <cell r="C588">
            <v>41071408</v>
          </cell>
          <cell r="D588" t="str">
            <v>ТОВ "ГРЕЙН-ТРАНСШИПМЕНТ"</v>
          </cell>
          <cell r="E588">
            <v>45940.369500000001</v>
          </cell>
          <cell r="F588">
            <v>45839</v>
          </cell>
          <cell r="G588" t="str">
            <v>E</v>
          </cell>
          <cell r="H588" t="str">
            <v>B</v>
          </cell>
          <cell r="I588" t="str">
            <v>A</v>
          </cell>
          <cell r="J588" t="str">
            <v>C</v>
          </cell>
          <cell r="K588" t="str">
            <v>F</v>
          </cell>
          <cell r="L588" t="str">
            <v>B</v>
          </cell>
          <cell r="M588" t="str">
            <v>A</v>
          </cell>
          <cell r="N588" t="str">
            <v>B</v>
          </cell>
          <cell r="O588" t="str">
            <v>A</v>
          </cell>
          <cell r="P588" t="str">
            <v>C</v>
          </cell>
          <cell r="Q588" t="str">
            <v>C</v>
          </cell>
          <cell r="R588" t="str">
            <v>B</v>
          </cell>
          <cell r="X588">
            <v>40.699999999999996</v>
          </cell>
        </row>
        <row r="589">
          <cell r="C589">
            <v>41072621</v>
          </cell>
          <cell r="D589" t="str">
            <v>ТОВ "ТД "Егрітек"</v>
          </cell>
          <cell r="E589">
            <v>45825</v>
          </cell>
          <cell r="F589">
            <v>45658</v>
          </cell>
          <cell r="G589" t="str">
            <v>B</v>
          </cell>
          <cell r="H589" t="str">
            <v>B</v>
          </cell>
          <cell r="I589" t="str">
            <v>B</v>
          </cell>
          <cell r="J589" t="str">
            <v>C</v>
          </cell>
          <cell r="K589" t="str">
            <v>D</v>
          </cell>
          <cell r="L589" t="str">
            <v>A</v>
          </cell>
          <cell r="M589" t="str">
            <v>C</v>
          </cell>
          <cell r="N589" t="str">
            <v>A</v>
          </cell>
          <cell r="O589" t="str">
            <v>A</v>
          </cell>
          <cell r="P589" t="str">
            <v>C</v>
          </cell>
          <cell r="Q589" t="str">
            <v>B</v>
          </cell>
          <cell r="R589" t="str">
            <v>A</v>
          </cell>
          <cell r="X589">
            <v>62.2</v>
          </cell>
        </row>
        <row r="590">
          <cell r="C590">
            <v>41091712</v>
          </cell>
          <cell r="D590" t="str">
            <v>ТОВ "АГРО-СОНЦЕ"</v>
          </cell>
          <cell r="E590">
            <v>45666</v>
          </cell>
          <cell r="F590">
            <v>45474</v>
          </cell>
          <cell r="G590" t="str">
            <v>E</v>
          </cell>
          <cell r="H590" t="str">
            <v>C</v>
          </cell>
          <cell r="I590" t="str">
            <v>B</v>
          </cell>
          <cell r="J590" t="str">
            <v>B</v>
          </cell>
          <cell r="K590" t="str">
            <v>E</v>
          </cell>
          <cell r="L590" t="str">
            <v>B</v>
          </cell>
          <cell r="M590" t="str">
            <v>B</v>
          </cell>
          <cell r="N590" t="str">
            <v>B</v>
          </cell>
          <cell r="O590" t="str">
            <v>A</v>
          </cell>
          <cell r="P590" t="str">
            <v>C</v>
          </cell>
          <cell r="Q590" t="str">
            <v>C</v>
          </cell>
          <cell r="R590" t="str">
            <v>A</v>
          </cell>
          <cell r="X590">
            <v>39.9</v>
          </cell>
        </row>
        <row r="591">
          <cell r="C591">
            <v>41099127</v>
          </cell>
          <cell r="D591" t="str">
            <v>ТОВ "ЗАХІДНА АГРОВИРОБНИЧА КОМПАНІЯ"</v>
          </cell>
          <cell r="E591">
            <v>45902.750800000002</v>
          </cell>
          <cell r="F591">
            <v>45658</v>
          </cell>
          <cell r="G591" t="str">
            <v>D</v>
          </cell>
          <cell r="H591" t="str">
            <v>B</v>
          </cell>
          <cell r="I591" t="str">
            <v>B</v>
          </cell>
          <cell r="J591" t="str">
            <v>C</v>
          </cell>
          <cell r="K591" t="str">
            <v>E</v>
          </cell>
          <cell r="L591" t="str">
            <v>B</v>
          </cell>
          <cell r="M591" t="str">
            <v>B</v>
          </cell>
          <cell r="N591" t="str">
            <v>D</v>
          </cell>
          <cell r="O591" t="str">
            <v>B</v>
          </cell>
          <cell r="P591" t="str">
            <v>C</v>
          </cell>
          <cell r="Q591" t="str">
            <v>C</v>
          </cell>
          <cell r="R591" t="str">
            <v>A</v>
          </cell>
          <cell r="X591">
            <v>41.6</v>
          </cell>
        </row>
        <row r="592">
          <cell r="C592">
            <v>41102844</v>
          </cell>
          <cell r="D592" t="str">
            <v>ТОВ "ВП "ПОЛІССЯ"</v>
          </cell>
          <cell r="E592">
            <v>45902.750800000002</v>
          </cell>
          <cell r="F592">
            <v>45658</v>
          </cell>
          <cell r="G592" t="str">
            <v>D</v>
          </cell>
          <cell r="H592" t="str">
            <v>B</v>
          </cell>
          <cell r="I592" t="str">
            <v>B</v>
          </cell>
          <cell r="J592" t="str">
            <v>C</v>
          </cell>
          <cell r="K592" t="str">
            <v>E</v>
          </cell>
          <cell r="L592" t="str">
            <v>B</v>
          </cell>
          <cell r="M592" t="str">
            <v>B</v>
          </cell>
          <cell r="N592" t="str">
            <v>D</v>
          </cell>
          <cell r="O592" t="str">
            <v>B</v>
          </cell>
          <cell r="P592" t="str">
            <v>C</v>
          </cell>
          <cell r="Q592" t="str">
            <v>C</v>
          </cell>
          <cell r="R592" t="str">
            <v>A</v>
          </cell>
          <cell r="X592">
            <v>41.6</v>
          </cell>
        </row>
        <row r="593">
          <cell r="C593">
            <v>41103827</v>
          </cell>
          <cell r="D593" t="str">
            <v>ТОВ "АГРО-КРАЙ"</v>
          </cell>
          <cell r="E593">
            <v>45902.750800000002</v>
          </cell>
          <cell r="F593">
            <v>45658</v>
          </cell>
          <cell r="G593" t="str">
            <v>D</v>
          </cell>
          <cell r="H593" t="str">
            <v>B</v>
          </cell>
          <cell r="I593" t="str">
            <v>B</v>
          </cell>
          <cell r="J593" t="str">
            <v>C</v>
          </cell>
          <cell r="K593" t="str">
            <v>E</v>
          </cell>
          <cell r="L593" t="str">
            <v>B</v>
          </cell>
          <cell r="M593" t="str">
            <v>B</v>
          </cell>
          <cell r="N593" t="str">
            <v>D</v>
          </cell>
          <cell r="O593" t="str">
            <v>B</v>
          </cell>
          <cell r="P593" t="str">
            <v>C</v>
          </cell>
          <cell r="Q593" t="str">
            <v>C</v>
          </cell>
          <cell r="R593" t="str">
            <v>A</v>
          </cell>
          <cell r="X593">
            <v>41.6</v>
          </cell>
        </row>
        <row r="594">
          <cell r="C594">
            <v>41104731</v>
          </cell>
          <cell r="D594" t="str">
            <v>ТОВ "РАЙЗ-СХІД"</v>
          </cell>
          <cell r="E594">
            <v>45902.750800000002</v>
          </cell>
          <cell r="F594">
            <v>45658</v>
          </cell>
          <cell r="G594" t="str">
            <v>D</v>
          </cell>
          <cell r="H594" t="str">
            <v>B</v>
          </cell>
          <cell r="I594" t="str">
            <v>B</v>
          </cell>
          <cell r="J594" t="str">
            <v>C</v>
          </cell>
          <cell r="K594" t="str">
            <v>E</v>
          </cell>
          <cell r="L594" t="str">
            <v>B</v>
          </cell>
          <cell r="M594" t="str">
            <v>B</v>
          </cell>
          <cell r="N594" t="str">
            <v>D</v>
          </cell>
          <cell r="O594" t="str">
            <v>B</v>
          </cell>
          <cell r="P594" t="str">
            <v>C</v>
          </cell>
          <cell r="Q594" t="str">
            <v>C</v>
          </cell>
          <cell r="R594" t="str">
            <v>A</v>
          </cell>
          <cell r="X594">
            <v>41.6</v>
          </cell>
        </row>
        <row r="595">
          <cell r="C595">
            <v>41104967</v>
          </cell>
          <cell r="D595" t="str">
            <v>ТОВ "ПОДІЛЛЯ АГРОПРОДУКТ"</v>
          </cell>
          <cell r="E595">
            <v>45902.750800000002</v>
          </cell>
          <cell r="F595">
            <v>45658</v>
          </cell>
          <cell r="G595" t="str">
            <v>D</v>
          </cell>
          <cell r="H595" t="str">
            <v>B</v>
          </cell>
          <cell r="I595" t="str">
            <v>B</v>
          </cell>
          <cell r="J595" t="str">
            <v>C</v>
          </cell>
          <cell r="K595" t="str">
            <v>E</v>
          </cell>
          <cell r="L595" t="str">
            <v>B</v>
          </cell>
          <cell r="M595" t="str">
            <v>B</v>
          </cell>
          <cell r="N595" t="str">
            <v>D</v>
          </cell>
          <cell r="O595" t="str">
            <v>B</v>
          </cell>
          <cell r="P595" t="str">
            <v>C</v>
          </cell>
          <cell r="Q595" t="str">
            <v>C</v>
          </cell>
          <cell r="R595" t="str">
            <v>A</v>
          </cell>
          <cell r="X595">
            <v>41.6</v>
          </cell>
        </row>
        <row r="596">
          <cell r="C596">
            <v>41119376</v>
          </cell>
          <cell r="D596" t="str">
            <v>ТОВ "ЕС ДЖЕЙ ПРОФІЛЬ УКРАЇНА"</v>
          </cell>
          <cell r="E596">
            <v>45742.4493</v>
          </cell>
          <cell r="F596">
            <v>45566</v>
          </cell>
          <cell r="G596" t="str">
            <v>E</v>
          </cell>
          <cell r="H596" t="str">
            <v>C</v>
          </cell>
          <cell r="I596" t="str">
            <v>B</v>
          </cell>
          <cell r="J596" t="str">
            <v>B</v>
          </cell>
          <cell r="K596" t="str">
            <v>D</v>
          </cell>
          <cell r="L596" t="str">
            <v>B</v>
          </cell>
          <cell r="M596" t="str">
            <v>A</v>
          </cell>
          <cell r="N596" t="str">
            <v>A</v>
          </cell>
          <cell r="O596" t="str">
            <v>A</v>
          </cell>
          <cell r="P596" t="str">
            <v>C</v>
          </cell>
          <cell r="Q596" t="str">
            <v>B</v>
          </cell>
          <cell r="R596" t="str">
            <v>B</v>
          </cell>
          <cell r="X596">
            <v>49</v>
          </cell>
        </row>
        <row r="597">
          <cell r="C597">
            <v>41133867</v>
          </cell>
          <cell r="D597" t="str">
            <v>ТОВ "АГРО КОНТИНЕНТАЛЬ"</v>
          </cell>
          <cell r="E597">
            <v>45960.427199999998</v>
          </cell>
          <cell r="F597">
            <v>45839</v>
          </cell>
          <cell r="G597" t="str">
            <v>E</v>
          </cell>
          <cell r="H597" t="str">
            <v>A</v>
          </cell>
          <cell r="I597" t="str">
            <v>B</v>
          </cell>
          <cell r="J597" t="str">
            <v>A</v>
          </cell>
          <cell r="K597" t="str">
            <v>D</v>
          </cell>
          <cell r="L597" t="str">
            <v>B</v>
          </cell>
          <cell r="M597" t="str">
            <v>A</v>
          </cell>
          <cell r="N597" t="str">
            <v>B</v>
          </cell>
          <cell r="O597" t="str">
            <v>A</v>
          </cell>
          <cell r="P597" t="str">
            <v>C</v>
          </cell>
          <cell r="Q597" t="str">
            <v>C</v>
          </cell>
          <cell r="R597" t="str">
            <v>A</v>
          </cell>
          <cell r="X597">
            <v>48.699999999999996</v>
          </cell>
        </row>
        <row r="598">
          <cell r="C598">
            <v>41141616</v>
          </cell>
          <cell r="D598" t="str">
            <v>ПП "СМАК-ЛЮКС-Т"</v>
          </cell>
          <cell r="E598">
            <v>45932.666899999997</v>
          </cell>
          <cell r="F598">
            <v>45839</v>
          </cell>
          <cell r="G598" t="str">
            <v>E</v>
          </cell>
          <cell r="H598" t="str">
            <v>A</v>
          </cell>
          <cell r="I598" t="str">
            <v>B</v>
          </cell>
          <cell r="J598" t="str">
            <v>A</v>
          </cell>
          <cell r="K598" t="str">
            <v>D</v>
          </cell>
          <cell r="L598" t="str">
            <v>A</v>
          </cell>
          <cell r="M598" t="str">
            <v>A</v>
          </cell>
          <cell r="N598" t="str">
            <v>B</v>
          </cell>
          <cell r="O598" t="str">
            <v>A</v>
          </cell>
          <cell r="P598" t="str">
            <v>C</v>
          </cell>
          <cell r="Q598" t="str">
            <v>B</v>
          </cell>
          <cell r="R598" t="str">
            <v>A</v>
          </cell>
          <cell r="X598">
            <v>55.300000000000004</v>
          </cell>
        </row>
        <row r="599">
          <cell r="C599">
            <v>41160377</v>
          </cell>
          <cell r="D599" t="str">
            <v>ТОВ "ОРАНЖ ЕЛ ПІ ДЖІ"</v>
          </cell>
          <cell r="E599">
            <v>45777.461000000003</v>
          </cell>
          <cell r="F599">
            <v>45658</v>
          </cell>
          <cell r="G599" t="str">
            <v>E</v>
          </cell>
          <cell r="H599" t="str">
            <v>D</v>
          </cell>
          <cell r="I599" t="str">
            <v>B</v>
          </cell>
          <cell r="J599" t="str">
            <v>A</v>
          </cell>
          <cell r="K599" t="str">
            <v>D</v>
          </cell>
          <cell r="L599" t="str">
            <v>A</v>
          </cell>
          <cell r="M599" t="str">
            <v>A</v>
          </cell>
          <cell r="N599" t="str">
            <v>C</v>
          </cell>
          <cell r="O599" t="str">
            <v>A</v>
          </cell>
          <cell r="P599" t="str">
            <v>C</v>
          </cell>
          <cell r="Q599" t="str">
            <v>B</v>
          </cell>
          <cell r="R599" t="str">
            <v>A</v>
          </cell>
          <cell r="X599">
            <v>45.8</v>
          </cell>
        </row>
        <row r="600">
          <cell r="C600">
            <v>41199650</v>
          </cell>
          <cell r="D600" t="str">
            <v>ТЗОВ "ПОДОРОЖНИК КИЇВ"</v>
          </cell>
          <cell r="E600">
            <v>45812</v>
          </cell>
          <cell r="F600">
            <v>45658</v>
          </cell>
          <cell r="G600" t="str">
            <v>B</v>
          </cell>
          <cell r="H600" t="str">
            <v>B</v>
          </cell>
          <cell r="I600" t="str">
            <v>B</v>
          </cell>
          <cell r="J600" t="str">
            <v>A</v>
          </cell>
          <cell r="K600" t="str">
            <v>A</v>
          </cell>
          <cell r="L600" t="str">
            <v>A</v>
          </cell>
          <cell r="M600" t="str">
            <v>A</v>
          </cell>
          <cell r="N600" t="str">
            <v>A</v>
          </cell>
          <cell r="O600" t="str">
            <v>A</v>
          </cell>
          <cell r="P600" t="str">
            <v>A</v>
          </cell>
          <cell r="Q600" t="str">
            <v>A</v>
          </cell>
          <cell r="R600" t="str">
            <v>C</v>
          </cell>
          <cell r="X600">
            <v>69.599999999999994</v>
          </cell>
        </row>
        <row r="601">
          <cell r="C601">
            <v>41240043</v>
          </cell>
          <cell r="D601" t="str">
            <v>ТОВ "МУСТАНГ МОТОРС"</v>
          </cell>
          <cell r="E601">
            <v>45777.672400000003</v>
          </cell>
          <cell r="F601">
            <v>45658</v>
          </cell>
          <cell r="G601" t="str">
            <v>E</v>
          </cell>
          <cell r="H601" t="str">
            <v>A</v>
          </cell>
          <cell r="I601" t="str">
            <v>C</v>
          </cell>
          <cell r="J601" t="str">
            <v>C</v>
          </cell>
          <cell r="K601" t="str">
            <v>A</v>
          </cell>
          <cell r="L601" t="str">
            <v>A</v>
          </cell>
          <cell r="M601" t="str">
            <v>A</v>
          </cell>
          <cell r="N601" t="str">
            <v>A</v>
          </cell>
          <cell r="O601" t="str">
            <v>A</v>
          </cell>
          <cell r="P601" t="str">
            <v>C</v>
          </cell>
          <cell r="Q601" t="str">
            <v>B</v>
          </cell>
          <cell r="R601" t="str">
            <v>A</v>
          </cell>
          <cell r="X601">
            <v>61</v>
          </cell>
        </row>
        <row r="602">
          <cell r="C602">
            <v>41243442</v>
          </cell>
          <cell r="D602" t="str">
            <v>ТОВ "С-ГРЕЙН УКРАЇНА"</v>
          </cell>
          <cell r="E602">
            <v>45951.869899999998</v>
          </cell>
          <cell r="F602">
            <v>45839</v>
          </cell>
          <cell r="G602" t="str">
            <v>E</v>
          </cell>
          <cell r="H602" t="str">
            <v>B</v>
          </cell>
          <cell r="I602" t="str">
            <v>B</v>
          </cell>
          <cell r="J602" t="str">
            <v>A</v>
          </cell>
          <cell r="K602" t="str">
            <v>D</v>
          </cell>
          <cell r="L602" t="str">
            <v>B</v>
          </cell>
          <cell r="M602" t="str">
            <v>C</v>
          </cell>
          <cell r="N602" t="str">
            <v>B</v>
          </cell>
          <cell r="O602" t="str">
            <v>A</v>
          </cell>
          <cell r="P602" t="str">
            <v>C</v>
          </cell>
          <cell r="Q602" t="str">
            <v>C</v>
          </cell>
          <cell r="R602" t="str">
            <v>A</v>
          </cell>
          <cell r="X602">
            <v>38.699999999999996</v>
          </cell>
        </row>
        <row r="603">
          <cell r="C603">
            <v>41261498</v>
          </cell>
          <cell r="D603" t="str">
            <v>ТОВ "МФК АГРО"</v>
          </cell>
          <cell r="E603">
            <v>45705.498099999997</v>
          </cell>
          <cell r="F603">
            <v>45566</v>
          </cell>
          <cell r="G603" t="str">
            <v>E</v>
          </cell>
          <cell r="H603" t="str">
            <v>C</v>
          </cell>
          <cell r="I603" t="str">
            <v>B</v>
          </cell>
          <cell r="J603" t="str">
            <v>C</v>
          </cell>
          <cell r="K603" t="str">
            <v>D</v>
          </cell>
          <cell r="L603" t="str">
            <v>B</v>
          </cell>
          <cell r="M603" t="str">
            <v>B</v>
          </cell>
          <cell r="N603" t="str">
            <v>C</v>
          </cell>
          <cell r="O603" t="str">
            <v>A</v>
          </cell>
          <cell r="P603" t="str">
            <v>C</v>
          </cell>
          <cell r="Q603" t="str">
            <v>C</v>
          </cell>
          <cell r="R603" t="str">
            <v>C</v>
          </cell>
          <cell r="X603">
            <v>36.399999999999991</v>
          </cell>
        </row>
        <row r="604">
          <cell r="C604">
            <v>41277885</v>
          </cell>
          <cell r="D604" t="str">
            <v>ТОВ "ТЕГРА ЛОДЖИСТІКС"</v>
          </cell>
          <cell r="E604">
            <v>45730.524599999997</v>
          </cell>
          <cell r="F604">
            <v>45566</v>
          </cell>
          <cell r="G604" t="str">
            <v>E</v>
          </cell>
          <cell r="H604" t="str">
            <v>B</v>
          </cell>
          <cell r="I604" t="str">
            <v>C</v>
          </cell>
          <cell r="J604" t="str">
            <v>C</v>
          </cell>
          <cell r="K604" t="str">
            <v>E</v>
          </cell>
          <cell r="L604" t="str">
            <v>C</v>
          </cell>
          <cell r="M604" t="str">
            <v>B</v>
          </cell>
          <cell r="N604" t="str">
            <v>B</v>
          </cell>
          <cell r="O604" t="str">
            <v>A</v>
          </cell>
          <cell r="P604" t="str">
            <v>C</v>
          </cell>
          <cell r="Q604" t="str">
            <v>B</v>
          </cell>
          <cell r="R604" t="str">
            <v>B</v>
          </cell>
          <cell r="X604">
            <v>33.700000000000003</v>
          </cell>
        </row>
        <row r="605">
          <cell r="C605">
            <v>41280201</v>
          </cell>
          <cell r="D605" t="str">
            <v>ТОВ "ТЕХНІКС СЕЙЛС"</v>
          </cell>
          <cell r="E605">
            <v>45618.6999</v>
          </cell>
          <cell r="F605">
            <v>45474</v>
          </cell>
          <cell r="G605" t="str">
            <v>E</v>
          </cell>
          <cell r="H605" t="str">
            <v>B</v>
          </cell>
          <cell r="I605" t="str">
            <v>B</v>
          </cell>
          <cell r="J605" t="str">
            <v>B</v>
          </cell>
          <cell r="K605" t="str">
            <v>C</v>
          </cell>
          <cell r="L605" t="str">
            <v>A</v>
          </cell>
          <cell r="M605" t="str">
            <v>B</v>
          </cell>
          <cell r="N605" t="str">
            <v>B</v>
          </cell>
          <cell r="O605" t="str">
            <v>A</v>
          </cell>
          <cell r="P605" t="str">
            <v>C</v>
          </cell>
          <cell r="Q605" t="str">
            <v>C</v>
          </cell>
          <cell r="R605" t="str">
            <v>A</v>
          </cell>
          <cell r="X605">
            <v>50.3</v>
          </cell>
        </row>
        <row r="606">
          <cell r="C606">
            <v>41310873</v>
          </cell>
          <cell r="D606" t="str">
            <v>ТОВ "АВТОДІМ АТЛАНТ"</v>
          </cell>
          <cell r="E606">
            <v>45946.6394</v>
          </cell>
          <cell r="F606">
            <v>45658</v>
          </cell>
          <cell r="G606" t="str">
            <v>D</v>
          </cell>
          <cell r="H606" t="str">
            <v>C</v>
          </cell>
          <cell r="I606" t="str">
            <v>B</v>
          </cell>
          <cell r="J606" t="str">
            <v>D</v>
          </cell>
          <cell r="K606" t="str">
            <v>D</v>
          </cell>
          <cell r="L606" t="str">
            <v>A</v>
          </cell>
          <cell r="M606" t="str">
            <v>A</v>
          </cell>
          <cell r="N606" t="str">
            <v>B</v>
          </cell>
          <cell r="O606" t="str">
            <v>A</v>
          </cell>
          <cell r="P606" t="str">
            <v>C</v>
          </cell>
          <cell r="Q606" t="str">
            <v>B</v>
          </cell>
          <cell r="R606" t="str">
            <v>C</v>
          </cell>
          <cell r="X606">
            <v>56.9</v>
          </cell>
        </row>
        <row r="607">
          <cell r="C607">
            <v>41335022</v>
          </cell>
          <cell r="D607" t="str">
            <v>ТОВ "ЗАЙДЕКС УА"</v>
          </cell>
          <cell r="E607">
            <v>45765.688199999997</v>
          </cell>
          <cell r="F607">
            <v>45658</v>
          </cell>
          <cell r="G607" t="str">
            <v>E</v>
          </cell>
          <cell r="H607" t="str">
            <v>C</v>
          </cell>
          <cell r="I607" t="str">
            <v>A</v>
          </cell>
          <cell r="J607" t="str">
            <v>A</v>
          </cell>
          <cell r="K607" t="str">
            <v>D</v>
          </cell>
          <cell r="L607" t="str">
            <v>A</v>
          </cell>
          <cell r="M607" t="str">
            <v>A</v>
          </cell>
          <cell r="N607" t="str">
            <v>B</v>
          </cell>
          <cell r="O607" t="str">
            <v>A</v>
          </cell>
          <cell r="P607" t="str">
            <v>C</v>
          </cell>
          <cell r="Q607" t="str">
            <v>C</v>
          </cell>
          <cell r="R607" t="str">
            <v>A</v>
          </cell>
          <cell r="X607">
            <v>45.099999999999994</v>
          </cell>
        </row>
        <row r="608">
          <cell r="C608">
            <v>41377761</v>
          </cell>
          <cell r="D608" t="str">
            <v>ТОВ "КОДИМА ЕНЕРДЖИ"</v>
          </cell>
          <cell r="E608">
            <v>45831.7336</v>
          </cell>
          <cell r="F608">
            <v>45748</v>
          </cell>
          <cell r="G608" t="str">
            <v>E</v>
          </cell>
          <cell r="H608" t="str">
            <v>B</v>
          </cell>
          <cell r="I608" t="str">
            <v>A</v>
          </cell>
          <cell r="J608" t="str">
            <v>C</v>
          </cell>
          <cell r="K608" t="str">
            <v>D</v>
          </cell>
          <cell r="L608" t="str">
            <v>A</v>
          </cell>
          <cell r="M608" t="str">
            <v>C</v>
          </cell>
          <cell r="N608" t="str">
            <v>A</v>
          </cell>
          <cell r="O608" t="str">
            <v>A</v>
          </cell>
          <cell r="P608" t="str">
            <v>B</v>
          </cell>
          <cell r="Q608" t="str">
            <v>B</v>
          </cell>
          <cell r="R608" t="str">
            <v>B</v>
          </cell>
          <cell r="X608">
            <v>48</v>
          </cell>
        </row>
        <row r="609">
          <cell r="C609">
            <v>41437757</v>
          </cell>
          <cell r="D609" t="str">
            <v>ТОВ "РІСТОН ОЙЛ"</v>
          </cell>
          <cell r="E609">
            <v>45743.484499999999</v>
          </cell>
          <cell r="F609">
            <v>45474</v>
          </cell>
          <cell r="G609" t="str">
            <v>D</v>
          </cell>
          <cell r="H609" t="str">
            <v>B</v>
          </cell>
          <cell r="I609" t="str">
            <v>B</v>
          </cell>
          <cell r="J609" t="str">
            <v>C</v>
          </cell>
          <cell r="K609" t="str">
            <v>A</v>
          </cell>
          <cell r="L609" t="str">
            <v>A</v>
          </cell>
          <cell r="M609" t="str">
            <v>A</v>
          </cell>
          <cell r="N609" t="str">
            <v>A</v>
          </cell>
          <cell r="O609" t="str">
            <v>A</v>
          </cell>
          <cell r="P609" t="str">
            <v>A</v>
          </cell>
          <cell r="Q609" t="str">
            <v>A</v>
          </cell>
          <cell r="R609" t="str">
            <v>B</v>
          </cell>
          <cell r="X609">
            <v>73.200000000000017</v>
          </cell>
        </row>
        <row r="610">
          <cell r="C610">
            <v>41442306</v>
          </cell>
          <cell r="D610" t="str">
            <v>ТОВ "СОЛАР ФАРМ - 4"</v>
          </cell>
          <cell r="E610">
            <v>45939.542600000001</v>
          </cell>
          <cell r="F610">
            <v>45658</v>
          </cell>
          <cell r="G610" t="str">
            <v>C</v>
          </cell>
          <cell r="H610" t="str">
            <v>D</v>
          </cell>
          <cell r="I610" t="str">
            <v>D</v>
          </cell>
          <cell r="J610" t="str">
            <v>A</v>
          </cell>
          <cell r="K610" t="str">
            <v>D</v>
          </cell>
          <cell r="L610" t="str">
            <v>A</v>
          </cell>
          <cell r="M610" t="str">
            <v>A</v>
          </cell>
          <cell r="N610" t="str">
            <v>A</v>
          </cell>
          <cell r="O610" t="str">
            <v>A</v>
          </cell>
          <cell r="P610" t="str">
            <v>C</v>
          </cell>
          <cell r="Q610" t="str">
            <v>A</v>
          </cell>
          <cell r="R610" t="str">
            <v>A</v>
          </cell>
          <cell r="X610">
            <v>50.199999999999996</v>
          </cell>
        </row>
        <row r="611">
          <cell r="C611">
            <v>41468654</v>
          </cell>
          <cell r="D611" t="str">
            <v>ТОВ "ФПК "РЕСУРСГРУП"</v>
          </cell>
          <cell r="E611">
            <v>45890.640099999997</v>
          </cell>
          <cell r="F611">
            <v>45839</v>
          </cell>
          <cell r="G611" t="str">
            <v>E</v>
          </cell>
          <cell r="H611" t="str">
            <v>A</v>
          </cell>
          <cell r="I611" t="str">
            <v>B</v>
          </cell>
          <cell r="J611" t="str">
            <v>A</v>
          </cell>
          <cell r="K611" t="str">
            <v>D</v>
          </cell>
          <cell r="L611" t="str">
            <v>A</v>
          </cell>
          <cell r="M611" t="str">
            <v>A</v>
          </cell>
          <cell r="N611" t="str">
            <v>B</v>
          </cell>
          <cell r="O611" t="str">
            <v>A</v>
          </cell>
          <cell r="P611" t="str">
            <v>C</v>
          </cell>
          <cell r="Q611" t="str">
            <v>B</v>
          </cell>
          <cell r="R611" t="str">
            <v>A</v>
          </cell>
          <cell r="X611">
            <v>55.300000000000004</v>
          </cell>
        </row>
        <row r="612">
          <cell r="C612">
            <v>41481188</v>
          </cell>
          <cell r="D612" t="str">
            <v>ТОВ "АГРОКОМПАНІЯ ПРИКАРПАТТЯ"</v>
          </cell>
          <cell r="E612">
            <v>45902.750800000002</v>
          </cell>
          <cell r="F612">
            <v>45658</v>
          </cell>
          <cell r="G612" t="str">
            <v>D</v>
          </cell>
          <cell r="H612" t="str">
            <v>B</v>
          </cell>
          <cell r="I612" t="str">
            <v>B</v>
          </cell>
          <cell r="J612" t="str">
            <v>C</v>
          </cell>
          <cell r="K612" t="str">
            <v>E</v>
          </cell>
          <cell r="L612" t="str">
            <v>B</v>
          </cell>
          <cell r="M612" t="str">
            <v>B</v>
          </cell>
          <cell r="N612" t="str">
            <v>D</v>
          </cell>
          <cell r="O612" t="str">
            <v>B</v>
          </cell>
          <cell r="P612" t="str">
            <v>C</v>
          </cell>
          <cell r="Q612" t="str">
            <v>C</v>
          </cell>
          <cell r="R612" t="str">
            <v>A</v>
          </cell>
          <cell r="X612">
            <v>41.6</v>
          </cell>
        </row>
        <row r="613">
          <cell r="C613">
            <v>41481738</v>
          </cell>
          <cell r="D613" t="str">
            <v>ТОВ "ІНКОМПАС"</v>
          </cell>
          <cell r="E613">
            <v>45713.586900000002</v>
          </cell>
          <cell r="F613">
            <v>45566</v>
          </cell>
          <cell r="G613" t="str">
            <v>D</v>
          </cell>
          <cell r="H613" t="str">
            <v>B</v>
          </cell>
          <cell r="I613" t="str">
            <v>B</v>
          </cell>
          <cell r="J613" t="str">
            <v>A</v>
          </cell>
          <cell r="K613" t="str">
            <v>C</v>
          </cell>
          <cell r="L613" t="str">
            <v>A</v>
          </cell>
          <cell r="M613" t="str">
            <v>A</v>
          </cell>
          <cell r="N613" t="str">
            <v>B</v>
          </cell>
          <cell r="O613" t="str">
            <v>A</v>
          </cell>
          <cell r="P613" t="str">
            <v>C</v>
          </cell>
          <cell r="Q613" t="str">
            <v>B</v>
          </cell>
          <cell r="R613" t="str">
            <v>B</v>
          </cell>
          <cell r="X613">
            <v>55.7</v>
          </cell>
        </row>
        <row r="614">
          <cell r="C614">
            <v>41489796</v>
          </cell>
          <cell r="D614" t="str">
            <v>ТОВ "СГВП "ОЧАКІВСЬКЕ"</v>
          </cell>
          <cell r="E614">
            <v>45965.373500000002</v>
          </cell>
          <cell r="F614">
            <v>45839</v>
          </cell>
          <cell r="G614" t="str">
            <v>D</v>
          </cell>
          <cell r="H614" t="str">
            <v>B</v>
          </cell>
          <cell r="I614" t="str">
            <v>B</v>
          </cell>
          <cell r="J614" t="str">
            <v>B</v>
          </cell>
          <cell r="K614" t="str">
            <v>C</v>
          </cell>
          <cell r="L614" t="str">
            <v>B</v>
          </cell>
          <cell r="M614" t="str">
            <v>A</v>
          </cell>
          <cell r="N614" t="str">
            <v>A</v>
          </cell>
          <cell r="O614" t="str">
            <v>A</v>
          </cell>
          <cell r="P614" t="str">
            <v>C</v>
          </cell>
          <cell r="Q614" t="str">
            <v>C</v>
          </cell>
          <cell r="R614" t="str">
            <v>A</v>
          </cell>
          <cell r="X614">
            <v>58.8</v>
          </cell>
        </row>
        <row r="615">
          <cell r="C615">
            <v>41489873</v>
          </cell>
          <cell r="D615" t="str">
            <v>ТОВ "СГВП "МИКОЛАЇВСЬКЕ"</v>
          </cell>
          <cell r="E615">
            <v>45965.373500000002</v>
          </cell>
          <cell r="F615">
            <v>45839</v>
          </cell>
          <cell r="G615" t="str">
            <v>D</v>
          </cell>
          <cell r="H615" t="str">
            <v>B</v>
          </cell>
          <cell r="I615" t="str">
            <v>B</v>
          </cell>
          <cell r="J615" t="str">
            <v>B</v>
          </cell>
          <cell r="K615" t="str">
            <v>C</v>
          </cell>
          <cell r="L615" t="str">
            <v>B</v>
          </cell>
          <cell r="M615" t="str">
            <v>A</v>
          </cell>
          <cell r="N615" t="str">
            <v>A</v>
          </cell>
          <cell r="O615" t="str">
            <v>A</v>
          </cell>
          <cell r="P615" t="str">
            <v>C</v>
          </cell>
          <cell r="Q615" t="str">
            <v>C</v>
          </cell>
          <cell r="R615" t="str">
            <v>A</v>
          </cell>
          <cell r="X615">
            <v>58.8</v>
          </cell>
        </row>
        <row r="616">
          <cell r="C616">
            <v>41537413</v>
          </cell>
          <cell r="D616" t="str">
            <v>ТОВ ''СТРАЙП УКРАЇНА''</v>
          </cell>
          <cell r="E616">
            <v>45881.635000000002</v>
          </cell>
          <cell r="F616">
            <v>45658</v>
          </cell>
          <cell r="G616" t="str">
            <v>E</v>
          </cell>
          <cell r="H616" t="str">
            <v>B</v>
          </cell>
          <cell r="I616" t="str">
            <v>B</v>
          </cell>
          <cell r="J616" t="str">
            <v>D</v>
          </cell>
          <cell r="K616" t="str">
            <v>D</v>
          </cell>
          <cell r="L616" t="str">
            <v>B</v>
          </cell>
          <cell r="M616" t="str">
            <v>A</v>
          </cell>
          <cell r="N616" t="str">
            <v>B</v>
          </cell>
          <cell r="O616" t="str">
            <v>A</v>
          </cell>
          <cell r="P616" t="str">
            <v>C</v>
          </cell>
          <cell r="Q616" t="str">
            <v>B</v>
          </cell>
          <cell r="R616" t="str">
            <v>A</v>
          </cell>
          <cell r="X616">
            <v>56.1</v>
          </cell>
        </row>
        <row r="617">
          <cell r="C617">
            <v>41569555</v>
          </cell>
          <cell r="D617" t="str">
            <v>КОРПОРАЦІЯ "ЕКВАТОР"</v>
          </cell>
          <cell r="E617">
            <v>45770.931499999999</v>
          </cell>
          <cell r="F617">
            <v>45658</v>
          </cell>
          <cell r="G617" t="str">
            <v>E</v>
          </cell>
          <cell r="H617" t="str">
            <v>C</v>
          </cell>
          <cell r="I617" t="str">
            <v>A</v>
          </cell>
          <cell r="J617" t="str">
            <v>B</v>
          </cell>
          <cell r="K617" t="str">
            <v>E</v>
          </cell>
          <cell r="L617" t="str">
            <v>B</v>
          </cell>
          <cell r="M617" t="str">
            <v>B</v>
          </cell>
          <cell r="N617" t="str">
            <v>B</v>
          </cell>
          <cell r="O617" t="str">
            <v>A</v>
          </cell>
          <cell r="P617" t="str">
            <v>C</v>
          </cell>
          <cell r="Q617" t="str">
            <v>B</v>
          </cell>
          <cell r="R617" t="str">
            <v>A</v>
          </cell>
          <cell r="X617">
            <v>37.300000000000004</v>
          </cell>
        </row>
        <row r="618">
          <cell r="C618">
            <v>41571302</v>
          </cell>
          <cell r="D618" t="str">
            <v>ТОВ "КЛЕВЕР ЕНЕРДЖИ"</v>
          </cell>
          <cell r="E618">
            <v>45705.6607</v>
          </cell>
          <cell r="F618">
            <v>45658</v>
          </cell>
          <cell r="G618" t="str">
            <v>E</v>
          </cell>
          <cell r="H618" t="str">
            <v>B</v>
          </cell>
          <cell r="I618" t="str">
            <v>A</v>
          </cell>
          <cell r="J618" t="str">
            <v>A</v>
          </cell>
          <cell r="K618" t="str">
            <v>C</v>
          </cell>
          <cell r="L618" t="str">
            <v>B</v>
          </cell>
          <cell r="M618" t="str">
            <v>A</v>
          </cell>
          <cell r="N618" t="str">
            <v>B</v>
          </cell>
          <cell r="O618" t="str">
            <v>A</v>
          </cell>
          <cell r="P618" t="str">
            <v>C</v>
          </cell>
          <cell r="Q618" t="str">
            <v>B</v>
          </cell>
          <cell r="R618" t="str">
            <v>A</v>
          </cell>
          <cell r="X618">
            <v>46.5</v>
          </cell>
        </row>
        <row r="619">
          <cell r="C619">
            <v>41576871</v>
          </cell>
          <cell r="D619" t="str">
            <v>ТОВ"КИЇВСЬКИЙ ПЕКАРНИЙ ДІМ"</v>
          </cell>
          <cell r="E619">
            <v>45715.644999999997</v>
          </cell>
          <cell r="F619">
            <v>45566</v>
          </cell>
          <cell r="G619" t="str">
            <v>C</v>
          </cell>
          <cell r="H619" t="str">
            <v>B</v>
          </cell>
          <cell r="I619" t="str">
            <v>B</v>
          </cell>
          <cell r="J619" t="str">
            <v>A</v>
          </cell>
          <cell r="K619" t="str">
            <v>D</v>
          </cell>
          <cell r="L619" t="str">
            <v>B</v>
          </cell>
          <cell r="M619" t="str">
            <v>A</v>
          </cell>
          <cell r="N619" t="str">
            <v>B</v>
          </cell>
          <cell r="O619" t="str">
            <v>A</v>
          </cell>
          <cell r="P619" t="str">
            <v>B</v>
          </cell>
          <cell r="Q619" t="str">
            <v>B</v>
          </cell>
          <cell r="R619" t="str">
            <v>B</v>
          </cell>
          <cell r="X619">
            <v>50.300000000000004</v>
          </cell>
        </row>
        <row r="620">
          <cell r="C620">
            <v>41624008</v>
          </cell>
          <cell r="D620" t="str">
            <v>ТОВ "ДІСАМ"</v>
          </cell>
          <cell r="E620">
            <v>45775.377999999997</v>
          </cell>
          <cell r="F620">
            <v>45658</v>
          </cell>
          <cell r="G620" t="str">
            <v>E</v>
          </cell>
          <cell r="H620" t="str">
            <v>B</v>
          </cell>
          <cell r="I620" t="str">
            <v>B</v>
          </cell>
          <cell r="J620" t="str">
            <v>A</v>
          </cell>
          <cell r="K620" t="str">
            <v>D</v>
          </cell>
          <cell r="L620" t="str">
            <v>A</v>
          </cell>
          <cell r="M620" t="str">
            <v>A</v>
          </cell>
          <cell r="N620" t="str">
            <v>A</v>
          </cell>
          <cell r="O620" t="str">
            <v>A</v>
          </cell>
          <cell r="P620" t="str">
            <v>C</v>
          </cell>
          <cell r="Q620" t="str">
            <v>B</v>
          </cell>
          <cell r="R620" t="str">
            <v>A</v>
          </cell>
          <cell r="X620">
            <v>56.199999999999996</v>
          </cell>
        </row>
        <row r="621">
          <cell r="C621">
            <v>41635016</v>
          </cell>
          <cell r="D621" t="str">
            <v>ТОВ "ГЕРМЕС ТРЕЙД КОМПАНІ"</v>
          </cell>
          <cell r="E621">
            <v>45688.652699999999</v>
          </cell>
          <cell r="F621">
            <v>45566</v>
          </cell>
          <cell r="G621" t="str">
            <v>E</v>
          </cell>
          <cell r="H621" t="str">
            <v>B</v>
          </cell>
          <cell r="I621" t="str">
            <v>B</v>
          </cell>
          <cell r="J621" t="str">
            <v>B</v>
          </cell>
          <cell r="K621" t="str">
            <v>D</v>
          </cell>
          <cell r="L621" t="str">
            <v>B</v>
          </cell>
          <cell r="M621" t="str">
            <v>A</v>
          </cell>
          <cell r="N621" t="str">
            <v>A</v>
          </cell>
          <cell r="O621" t="str">
            <v>B</v>
          </cell>
          <cell r="P621" t="str">
            <v>C</v>
          </cell>
          <cell r="Q621" t="str">
            <v>B</v>
          </cell>
          <cell r="R621" t="str">
            <v>B</v>
          </cell>
          <cell r="X621">
            <v>46.999999999999993</v>
          </cell>
        </row>
        <row r="622">
          <cell r="C622">
            <v>41668883</v>
          </cell>
          <cell r="D622" t="str">
            <v>ТОВ "ОСНОВА ЕНЕРГО"</v>
          </cell>
          <cell r="E622">
            <v>45867.477200000001</v>
          </cell>
          <cell r="F622">
            <v>45748</v>
          </cell>
          <cell r="G622" t="str">
            <v>E</v>
          </cell>
          <cell r="H622" t="str">
            <v>B</v>
          </cell>
          <cell r="I622" t="str">
            <v>A</v>
          </cell>
          <cell r="J622" t="str">
            <v>A</v>
          </cell>
          <cell r="K622" t="str">
            <v>C</v>
          </cell>
          <cell r="L622" t="str">
            <v>A</v>
          </cell>
          <cell r="M622" t="str">
            <v>A</v>
          </cell>
          <cell r="N622" t="str">
            <v>A</v>
          </cell>
          <cell r="O622" t="str">
            <v>A</v>
          </cell>
          <cell r="P622" t="str">
            <v>D</v>
          </cell>
          <cell r="Q622" t="str">
            <v>B</v>
          </cell>
          <cell r="R622" t="str">
            <v>B</v>
          </cell>
          <cell r="X622">
            <v>49.2</v>
          </cell>
        </row>
        <row r="623">
          <cell r="C623">
            <v>41696994</v>
          </cell>
          <cell r="D623" t="str">
            <v>ТОВ "ВІН-ГРУП"</v>
          </cell>
          <cell r="E623">
            <v>45910.625699999997</v>
          </cell>
          <cell r="F623">
            <v>45839</v>
          </cell>
          <cell r="G623" t="str">
            <v>E</v>
          </cell>
          <cell r="H623" t="str">
            <v>C</v>
          </cell>
          <cell r="I623" t="str">
            <v>B</v>
          </cell>
          <cell r="J623" t="str">
            <v>C</v>
          </cell>
          <cell r="K623" t="str">
            <v>D</v>
          </cell>
          <cell r="L623" t="str">
            <v>A</v>
          </cell>
          <cell r="M623" t="str">
            <v>A</v>
          </cell>
          <cell r="N623" t="str">
            <v>B</v>
          </cell>
          <cell r="O623" t="str">
            <v>A</v>
          </cell>
          <cell r="P623" t="str">
            <v>C</v>
          </cell>
          <cell r="Q623" t="str">
            <v>B</v>
          </cell>
          <cell r="R623" t="str">
            <v>A</v>
          </cell>
          <cell r="X623">
            <v>56.9</v>
          </cell>
        </row>
        <row r="624">
          <cell r="C624">
            <v>41725642</v>
          </cell>
          <cell r="D624" t="str">
            <v>ТОВ "Намато"</v>
          </cell>
          <cell r="E624">
            <v>45797.688699999999</v>
          </cell>
          <cell r="F624">
            <v>45658</v>
          </cell>
          <cell r="G624" t="str">
            <v>E</v>
          </cell>
          <cell r="H624" t="str">
            <v>B</v>
          </cell>
          <cell r="I624" t="str">
            <v>B</v>
          </cell>
          <cell r="J624" t="str">
            <v>A</v>
          </cell>
          <cell r="K624" t="str">
            <v>D</v>
          </cell>
          <cell r="L624" t="str">
            <v>B</v>
          </cell>
          <cell r="M624" t="str">
            <v>A</v>
          </cell>
          <cell r="N624" t="str">
            <v>A</v>
          </cell>
          <cell r="O624" t="str">
            <v>A</v>
          </cell>
          <cell r="P624" t="str">
            <v>C</v>
          </cell>
          <cell r="Q624" t="str">
            <v>B</v>
          </cell>
          <cell r="R624" t="str">
            <v>B</v>
          </cell>
          <cell r="X624">
            <v>47.8</v>
          </cell>
        </row>
        <row r="625">
          <cell r="C625">
            <v>41732597</v>
          </cell>
          <cell r="D625" t="str">
            <v>ТЗОВ ТВК "ГАРМОНІЯ"</v>
          </cell>
          <cell r="E625">
            <v>45875.450700000001</v>
          </cell>
          <cell r="F625">
            <v>45748</v>
          </cell>
          <cell r="G625" t="str">
            <v>D</v>
          </cell>
          <cell r="H625" t="str">
            <v>B</v>
          </cell>
          <cell r="I625" t="str">
            <v>D</v>
          </cell>
          <cell r="J625" t="str">
            <v>C</v>
          </cell>
          <cell r="K625" t="str">
            <v>C</v>
          </cell>
          <cell r="L625" t="str">
            <v>B</v>
          </cell>
          <cell r="M625" t="str">
            <v>A</v>
          </cell>
          <cell r="N625" t="str">
            <v>A</v>
          </cell>
          <cell r="O625" t="str">
            <v>A</v>
          </cell>
          <cell r="P625" t="str">
            <v>A</v>
          </cell>
          <cell r="Q625" t="str">
            <v>A</v>
          </cell>
          <cell r="R625" t="str">
            <v>A</v>
          </cell>
          <cell r="X625">
            <v>63.2</v>
          </cell>
        </row>
        <row r="626">
          <cell r="C626">
            <v>41736298</v>
          </cell>
          <cell r="D626" t="str">
            <v>ТОВ "ТО "ПРОМЕТЕЙ АГРО"</v>
          </cell>
          <cell r="E626">
            <v>45751.750599999999</v>
          </cell>
          <cell r="F626">
            <v>45566</v>
          </cell>
          <cell r="G626" t="str">
            <v>E</v>
          </cell>
          <cell r="H626" t="str">
            <v>B</v>
          </cell>
          <cell r="I626" t="str">
            <v>B</v>
          </cell>
          <cell r="J626" t="str">
            <v>A</v>
          </cell>
          <cell r="K626" t="str">
            <v>F</v>
          </cell>
          <cell r="L626" t="str">
            <v>B</v>
          </cell>
          <cell r="M626" t="str">
            <v>A</v>
          </cell>
          <cell r="N626" t="str">
            <v>B</v>
          </cell>
          <cell r="O626" t="str">
            <v>B</v>
          </cell>
          <cell r="P626" t="str">
            <v>C</v>
          </cell>
          <cell r="Q626" t="str">
            <v>B</v>
          </cell>
          <cell r="R626" t="str">
            <v>A</v>
          </cell>
          <cell r="X626">
            <v>41.3</v>
          </cell>
        </row>
        <row r="627">
          <cell r="C627">
            <v>41749789</v>
          </cell>
          <cell r="D627" t="str">
            <v>ТОВ "АВТОДІМ АТЛАНТ ДНІПРО"</v>
          </cell>
          <cell r="E627">
            <v>45946.6394</v>
          </cell>
          <cell r="F627">
            <v>45658</v>
          </cell>
          <cell r="G627" t="str">
            <v>D</v>
          </cell>
          <cell r="H627" t="str">
            <v>C</v>
          </cell>
          <cell r="I627" t="str">
            <v>B</v>
          </cell>
          <cell r="J627" t="str">
            <v>D</v>
          </cell>
          <cell r="K627" t="str">
            <v>D</v>
          </cell>
          <cell r="L627" t="str">
            <v>A</v>
          </cell>
          <cell r="M627" t="str">
            <v>A</v>
          </cell>
          <cell r="N627" t="str">
            <v>B</v>
          </cell>
          <cell r="O627" t="str">
            <v>A</v>
          </cell>
          <cell r="P627" t="str">
            <v>C</v>
          </cell>
          <cell r="Q627" t="str">
            <v>B</v>
          </cell>
          <cell r="R627" t="str">
            <v>C</v>
          </cell>
          <cell r="X627">
            <v>56.9</v>
          </cell>
        </row>
        <row r="628">
          <cell r="C628">
            <v>41798710</v>
          </cell>
          <cell r="D628" t="str">
            <v>ТОВ "ЛАН-МІЛК"</v>
          </cell>
          <cell r="E628">
            <v>45803.992400000003</v>
          </cell>
          <cell r="F628">
            <v>45658</v>
          </cell>
          <cell r="G628" t="str">
            <v>E</v>
          </cell>
          <cell r="H628" t="str">
            <v>B</v>
          </cell>
          <cell r="I628" t="str">
            <v>B</v>
          </cell>
          <cell r="J628" t="str">
            <v>A</v>
          </cell>
          <cell r="K628" t="str">
            <v>D</v>
          </cell>
          <cell r="L628" t="str">
            <v>B</v>
          </cell>
          <cell r="M628" t="str">
            <v>A</v>
          </cell>
          <cell r="N628" t="str">
            <v>B</v>
          </cell>
          <cell r="O628" t="str">
            <v>A</v>
          </cell>
          <cell r="P628" t="str">
            <v>A</v>
          </cell>
          <cell r="Q628" t="str">
            <v>B</v>
          </cell>
          <cell r="R628" t="str">
            <v>A</v>
          </cell>
          <cell r="X628">
            <v>52.300000000000004</v>
          </cell>
        </row>
        <row r="629">
          <cell r="C629">
            <v>41803091</v>
          </cell>
          <cell r="D629" t="str">
            <v>ПП "ІНТЕР ОВОЧІ"</v>
          </cell>
          <cell r="E629">
            <v>45668.767200000002</v>
          </cell>
          <cell r="F629">
            <v>45566</v>
          </cell>
          <cell r="G629" t="str">
            <v>E</v>
          </cell>
          <cell r="H629" t="str">
            <v>C</v>
          </cell>
          <cell r="I629" t="str">
            <v>B</v>
          </cell>
          <cell r="J629" t="str">
            <v>B</v>
          </cell>
          <cell r="K629" t="str">
            <v>B</v>
          </cell>
          <cell r="L629" t="str">
            <v>B</v>
          </cell>
          <cell r="M629" t="str">
            <v>A</v>
          </cell>
          <cell r="N629" t="str">
            <v>B</v>
          </cell>
          <cell r="O629" t="str">
            <v>A</v>
          </cell>
          <cell r="P629" t="str">
            <v>B</v>
          </cell>
          <cell r="Q629" t="str">
            <v>B</v>
          </cell>
          <cell r="R629" t="str">
            <v>B</v>
          </cell>
          <cell r="X629">
            <v>51.1</v>
          </cell>
        </row>
        <row r="630">
          <cell r="C630">
            <v>41810664</v>
          </cell>
          <cell r="D630" t="str">
            <v>ТОВ "АГРОТРЕЙД-ВИРОБНИЦТВО"</v>
          </cell>
          <cell r="E630">
            <v>45874.671999999999</v>
          </cell>
          <cell r="F630">
            <v>45748</v>
          </cell>
          <cell r="G630" t="str">
            <v>D</v>
          </cell>
          <cell r="H630" t="str">
            <v>B</v>
          </cell>
          <cell r="I630" t="str">
            <v>C</v>
          </cell>
          <cell r="J630" t="str">
            <v>C</v>
          </cell>
          <cell r="K630" t="str">
            <v>D</v>
          </cell>
          <cell r="L630" t="str">
            <v>B</v>
          </cell>
          <cell r="M630" t="str">
            <v>E</v>
          </cell>
          <cell r="N630" t="str">
            <v>B</v>
          </cell>
          <cell r="O630" t="str">
            <v>A</v>
          </cell>
          <cell r="P630" t="str">
            <v>C</v>
          </cell>
          <cell r="Q630" t="str">
            <v>B</v>
          </cell>
          <cell r="R630" t="str">
            <v>A</v>
          </cell>
          <cell r="X630">
            <v>41.3</v>
          </cell>
        </row>
        <row r="631">
          <cell r="C631">
            <v>41834596</v>
          </cell>
          <cell r="D631" t="str">
            <v>ТОВ "ВФД"</v>
          </cell>
          <cell r="E631">
            <v>45632.728600000002</v>
          </cell>
          <cell r="F631">
            <v>45566</v>
          </cell>
          <cell r="G631" t="str">
            <v>E</v>
          </cell>
          <cell r="H631" t="str">
            <v>C</v>
          </cell>
          <cell r="I631" t="str">
            <v>B</v>
          </cell>
          <cell r="J631" t="str">
            <v>B</v>
          </cell>
          <cell r="K631" t="str">
            <v>D</v>
          </cell>
          <cell r="L631" t="str">
            <v>A</v>
          </cell>
          <cell r="M631" t="str">
            <v>A</v>
          </cell>
          <cell r="N631" t="str">
            <v>A</v>
          </cell>
          <cell r="O631" t="str">
            <v>A</v>
          </cell>
          <cell r="P631" t="str">
            <v>B</v>
          </cell>
          <cell r="Q631" t="str">
            <v>B</v>
          </cell>
          <cell r="R631" t="str">
            <v>A</v>
          </cell>
          <cell r="X631">
            <v>59.2</v>
          </cell>
        </row>
        <row r="632">
          <cell r="C632">
            <v>41863915</v>
          </cell>
          <cell r="D632" t="str">
            <v>ТОВ "КЕНК"</v>
          </cell>
          <cell r="E632">
            <v>45792.691299999999</v>
          </cell>
          <cell r="F632">
            <v>45658</v>
          </cell>
          <cell r="G632" t="str">
            <v>E</v>
          </cell>
          <cell r="H632" t="str">
            <v>B</v>
          </cell>
          <cell r="I632" t="str">
            <v>B</v>
          </cell>
          <cell r="J632" t="str">
            <v>A</v>
          </cell>
          <cell r="K632" t="str">
            <v>D</v>
          </cell>
          <cell r="L632" t="str">
            <v>A</v>
          </cell>
          <cell r="M632" t="str">
            <v>A</v>
          </cell>
          <cell r="N632" t="str">
            <v>B</v>
          </cell>
          <cell r="O632" t="str">
            <v>A</v>
          </cell>
          <cell r="P632" t="str">
            <v>C</v>
          </cell>
          <cell r="Q632" t="str">
            <v>B</v>
          </cell>
          <cell r="R632" t="str">
            <v>C</v>
          </cell>
          <cell r="X632">
            <v>46.9</v>
          </cell>
        </row>
        <row r="633">
          <cell r="C633">
            <v>41915030</v>
          </cell>
          <cell r="D633" t="str">
            <v>ТОВ "ГЛОБАЛ СЕЙЛ"</v>
          </cell>
          <cell r="E633">
            <v>45833.396000000001</v>
          </cell>
          <cell r="F633">
            <v>45658</v>
          </cell>
          <cell r="G633" t="str">
            <v>D</v>
          </cell>
          <cell r="H633" t="str">
            <v>C</v>
          </cell>
          <cell r="I633" t="str">
            <v>B</v>
          </cell>
          <cell r="J633" t="str">
            <v>D</v>
          </cell>
          <cell r="K633" t="str">
            <v>D</v>
          </cell>
          <cell r="L633" t="str">
            <v>B</v>
          </cell>
          <cell r="M633" t="str">
            <v>A</v>
          </cell>
          <cell r="N633" t="str">
            <v>B</v>
          </cell>
          <cell r="O633" t="str">
            <v>A</v>
          </cell>
          <cell r="P633" t="str">
            <v>C</v>
          </cell>
          <cell r="Q633" t="str">
            <v>B</v>
          </cell>
          <cell r="R633" t="str">
            <v>B</v>
          </cell>
          <cell r="X633">
            <v>54.5</v>
          </cell>
        </row>
        <row r="634">
          <cell r="C634">
            <v>41919936</v>
          </cell>
          <cell r="D634" t="str">
            <v>ТОВ "СІТІ СОЛАР"</v>
          </cell>
          <cell r="E634">
            <v>45685.4637</v>
          </cell>
          <cell r="F634">
            <v>45566</v>
          </cell>
          <cell r="G634" t="str">
            <v>E</v>
          </cell>
          <cell r="H634" t="str">
            <v>B</v>
          </cell>
          <cell r="I634" t="str">
            <v>B</v>
          </cell>
          <cell r="J634" t="str">
            <v>A</v>
          </cell>
          <cell r="K634" t="str">
            <v>A</v>
          </cell>
          <cell r="L634" t="str">
            <v>A</v>
          </cell>
          <cell r="M634" t="str">
            <v>A</v>
          </cell>
          <cell r="N634" t="str">
            <v>B</v>
          </cell>
          <cell r="O634" t="str">
            <v>A</v>
          </cell>
          <cell r="P634" t="str">
            <v>C</v>
          </cell>
          <cell r="Q634" t="str">
            <v>B</v>
          </cell>
          <cell r="R634" t="str">
            <v>C</v>
          </cell>
          <cell r="X634">
            <v>51.7</v>
          </cell>
        </row>
        <row r="635">
          <cell r="C635">
            <v>41943031</v>
          </cell>
          <cell r="D635" t="str">
            <v>ТОВ "ПАВЕР ЕНЕРДЖИ ТРЕЙД"</v>
          </cell>
          <cell r="E635">
            <v>45779.487699999998</v>
          </cell>
          <cell r="F635">
            <v>45658</v>
          </cell>
          <cell r="G635" t="str">
            <v>E</v>
          </cell>
          <cell r="H635" t="str">
            <v>B</v>
          </cell>
          <cell r="I635" t="str">
            <v>A</v>
          </cell>
          <cell r="J635" t="str">
            <v>A</v>
          </cell>
          <cell r="K635" t="str">
            <v>D</v>
          </cell>
          <cell r="L635" t="str">
            <v>A</v>
          </cell>
          <cell r="M635" t="str">
            <v>A</v>
          </cell>
          <cell r="N635" t="str">
            <v>A</v>
          </cell>
          <cell r="O635" t="str">
            <v>A</v>
          </cell>
          <cell r="P635" t="str">
            <v>B</v>
          </cell>
          <cell r="Q635" t="str">
            <v>B</v>
          </cell>
          <cell r="R635" t="str">
            <v>B</v>
          </cell>
          <cell r="X635">
            <v>50.000000000000007</v>
          </cell>
        </row>
        <row r="636">
          <cell r="C636">
            <v>41947350</v>
          </cell>
          <cell r="D636" t="str">
            <v>ТОВ "СОЛАР ФАРМ - 6"</v>
          </cell>
          <cell r="E636">
            <v>45939.542600000001</v>
          </cell>
          <cell r="F636">
            <v>45658</v>
          </cell>
          <cell r="G636" t="str">
            <v>C</v>
          </cell>
          <cell r="H636" t="str">
            <v>D</v>
          </cell>
          <cell r="I636" t="str">
            <v>D</v>
          </cell>
          <cell r="J636" t="str">
            <v>A</v>
          </cell>
          <cell r="K636" t="str">
            <v>D</v>
          </cell>
          <cell r="L636" t="str">
            <v>A</v>
          </cell>
          <cell r="M636" t="str">
            <v>A</v>
          </cell>
          <cell r="N636" t="str">
            <v>A</v>
          </cell>
          <cell r="O636" t="str">
            <v>A</v>
          </cell>
          <cell r="P636" t="str">
            <v>C</v>
          </cell>
          <cell r="Q636" t="str">
            <v>A</v>
          </cell>
          <cell r="R636" t="str">
            <v>A</v>
          </cell>
          <cell r="X636">
            <v>50.199999999999996</v>
          </cell>
        </row>
        <row r="637">
          <cell r="C637">
            <v>41947387</v>
          </cell>
          <cell r="D637" t="str">
            <v>ТОВ  "СОЛАР ФАРМ - 7"</v>
          </cell>
          <cell r="E637">
            <v>45939.542600000001</v>
          </cell>
          <cell r="F637">
            <v>45658</v>
          </cell>
          <cell r="G637" t="str">
            <v>C</v>
          </cell>
          <cell r="H637" t="str">
            <v>D</v>
          </cell>
          <cell r="I637" t="str">
            <v>D</v>
          </cell>
          <cell r="J637" t="str">
            <v>A</v>
          </cell>
          <cell r="K637" t="str">
            <v>D</v>
          </cell>
          <cell r="L637" t="str">
            <v>A</v>
          </cell>
          <cell r="M637" t="str">
            <v>A</v>
          </cell>
          <cell r="N637" t="str">
            <v>A</v>
          </cell>
          <cell r="O637" t="str">
            <v>A</v>
          </cell>
          <cell r="P637" t="str">
            <v>C</v>
          </cell>
          <cell r="Q637" t="str">
            <v>A</v>
          </cell>
          <cell r="R637" t="str">
            <v>A</v>
          </cell>
          <cell r="X637">
            <v>50.199999999999996</v>
          </cell>
        </row>
        <row r="638">
          <cell r="C638">
            <v>41960916</v>
          </cell>
          <cell r="D638" t="str">
            <v>ТОВ "МОТОРКАР КРОПИВНИЦЬКИЙ"</v>
          </cell>
          <cell r="E638">
            <v>45905.954299999998</v>
          </cell>
          <cell r="F638">
            <v>45839</v>
          </cell>
          <cell r="G638" t="str">
            <v>E</v>
          </cell>
          <cell r="H638" t="str">
            <v>A</v>
          </cell>
          <cell r="I638" t="str">
            <v>B</v>
          </cell>
          <cell r="J638" t="str">
            <v>C</v>
          </cell>
          <cell r="K638" t="str">
            <v>D</v>
          </cell>
          <cell r="L638" t="str">
            <v>B</v>
          </cell>
          <cell r="M638" t="str">
            <v>A</v>
          </cell>
          <cell r="N638" t="str">
            <v>A</v>
          </cell>
          <cell r="O638" t="str">
            <v>A</v>
          </cell>
          <cell r="P638" t="str">
            <v>C</v>
          </cell>
          <cell r="Q638" t="str">
            <v>B</v>
          </cell>
          <cell r="R638" t="str">
            <v>B</v>
          </cell>
          <cell r="X638">
            <v>55.8</v>
          </cell>
        </row>
        <row r="639">
          <cell r="C639">
            <v>41988858</v>
          </cell>
          <cell r="D639" t="str">
            <v>ТОВ "АТЛАНТ БУД СХІД"</v>
          </cell>
          <cell r="E639">
            <v>45948.020400000001</v>
          </cell>
          <cell r="F639">
            <v>45839</v>
          </cell>
          <cell r="G639" t="str">
            <v>E</v>
          </cell>
          <cell r="H639" t="str">
            <v>A</v>
          </cell>
          <cell r="I639" t="str">
            <v>A</v>
          </cell>
          <cell r="J639" t="str">
            <v>B</v>
          </cell>
          <cell r="K639" t="str">
            <v>D</v>
          </cell>
          <cell r="L639" t="str">
            <v>A</v>
          </cell>
          <cell r="M639" t="str">
            <v>B</v>
          </cell>
          <cell r="N639" t="str">
            <v>B</v>
          </cell>
          <cell r="O639" t="str">
            <v>A</v>
          </cell>
          <cell r="P639" t="str">
            <v>C</v>
          </cell>
          <cell r="Q639" t="str">
            <v>B</v>
          </cell>
          <cell r="R639" t="str">
            <v>A</v>
          </cell>
          <cell r="X639">
            <v>47.300000000000004</v>
          </cell>
        </row>
        <row r="640">
          <cell r="C640">
            <v>42024338</v>
          </cell>
          <cell r="D640" t="str">
            <v>ТОВ "ЮТС"</v>
          </cell>
          <cell r="E640">
            <v>45778.925300000003</v>
          </cell>
          <cell r="F640">
            <v>45658</v>
          </cell>
          <cell r="G640" t="str">
            <v>E</v>
          </cell>
          <cell r="H640" t="str">
            <v>B</v>
          </cell>
          <cell r="I640" t="str">
            <v>B</v>
          </cell>
          <cell r="J640" t="str">
            <v>A</v>
          </cell>
          <cell r="K640" t="str">
            <v>E</v>
          </cell>
          <cell r="L640" t="str">
            <v>A</v>
          </cell>
          <cell r="M640" t="str">
            <v>A</v>
          </cell>
          <cell r="N640" t="str">
            <v>B</v>
          </cell>
          <cell r="O640" t="str">
            <v>A</v>
          </cell>
          <cell r="P640" t="str">
            <v>C</v>
          </cell>
          <cell r="Q640" t="str">
            <v>B</v>
          </cell>
          <cell r="R640" t="str">
            <v>A</v>
          </cell>
          <cell r="X640">
            <v>51.7</v>
          </cell>
        </row>
        <row r="641">
          <cell r="C641">
            <v>42025148</v>
          </cell>
          <cell r="D641" t="str">
            <v>ТОВ "ДТЕК БЕРДЯНСЬКА ВЕС"</v>
          </cell>
          <cell r="E641">
            <v>45939.542600000001</v>
          </cell>
          <cell r="F641">
            <v>45658</v>
          </cell>
          <cell r="G641" t="str">
            <v>C</v>
          </cell>
          <cell r="H641" t="str">
            <v>D</v>
          </cell>
          <cell r="I641" t="str">
            <v>D</v>
          </cell>
          <cell r="J641" t="str">
            <v>A</v>
          </cell>
          <cell r="K641" t="str">
            <v>D</v>
          </cell>
          <cell r="L641" t="str">
            <v>A</v>
          </cell>
          <cell r="M641" t="str">
            <v>A</v>
          </cell>
          <cell r="N641" t="str">
            <v>A</v>
          </cell>
          <cell r="O641" t="str">
            <v>A</v>
          </cell>
          <cell r="P641" t="str">
            <v>C</v>
          </cell>
          <cell r="Q641" t="str">
            <v>A</v>
          </cell>
          <cell r="R641" t="str">
            <v>A</v>
          </cell>
          <cell r="X641">
            <v>50.199999999999996</v>
          </cell>
        </row>
        <row r="642">
          <cell r="C642">
            <v>42025153</v>
          </cell>
          <cell r="D642" t="str">
            <v>ТОВ "ДТЕК ТИЛІГУЛЬСЬКА ВЕС"</v>
          </cell>
          <cell r="E642">
            <v>45939.542600000001</v>
          </cell>
          <cell r="F642">
            <v>45658</v>
          </cell>
          <cell r="G642" t="str">
            <v>C</v>
          </cell>
          <cell r="H642" t="str">
            <v>D</v>
          </cell>
          <cell r="I642" t="str">
            <v>D</v>
          </cell>
          <cell r="J642" t="str">
            <v>A</v>
          </cell>
          <cell r="K642" t="str">
            <v>D</v>
          </cell>
          <cell r="L642" t="str">
            <v>A</v>
          </cell>
          <cell r="M642" t="str">
            <v>A</v>
          </cell>
          <cell r="N642" t="str">
            <v>A</v>
          </cell>
          <cell r="O642" t="str">
            <v>A</v>
          </cell>
          <cell r="P642" t="str">
            <v>C</v>
          </cell>
          <cell r="Q642" t="str">
            <v>A</v>
          </cell>
          <cell r="R642" t="str">
            <v>A</v>
          </cell>
          <cell r="X642">
            <v>50.199999999999996</v>
          </cell>
        </row>
        <row r="643">
          <cell r="C643">
            <v>42044752</v>
          </cell>
          <cell r="D643" t="str">
            <v>ТОВ "САНРАЙС ЛОГИСТИКС"</v>
          </cell>
          <cell r="E643">
            <v>45930.6567</v>
          </cell>
          <cell r="F643">
            <v>45839</v>
          </cell>
          <cell r="G643" t="str">
            <v>E</v>
          </cell>
          <cell r="H643" t="str">
            <v>C</v>
          </cell>
          <cell r="I643" t="str">
            <v>A</v>
          </cell>
          <cell r="J643" t="str">
            <v>C</v>
          </cell>
          <cell r="K643" t="str">
            <v>D</v>
          </cell>
          <cell r="L643" t="str">
            <v>B</v>
          </cell>
          <cell r="M643" t="str">
            <v>A</v>
          </cell>
          <cell r="N643" t="str">
            <v>C</v>
          </cell>
          <cell r="O643" t="str">
            <v>B</v>
          </cell>
          <cell r="P643" t="str">
            <v>C</v>
          </cell>
          <cell r="Q643" t="str">
            <v>C</v>
          </cell>
          <cell r="R643" t="str">
            <v>A</v>
          </cell>
          <cell r="X643">
            <v>40.79999999999999</v>
          </cell>
        </row>
        <row r="644">
          <cell r="C644">
            <v>42051995</v>
          </cell>
          <cell r="D644" t="str">
            <v>ТОВ "СОЛАГРО ТРЕЙД"</v>
          </cell>
          <cell r="E644">
            <v>45980.432000000001</v>
          </cell>
          <cell r="F644">
            <v>45658</v>
          </cell>
          <cell r="G644" t="str">
            <v>E</v>
          </cell>
          <cell r="H644" t="str">
            <v>C</v>
          </cell>
          <cell r="I644" t="str">
            <v>A</v>
          </cell>
          <cell r="J644" t="str">
            <v>A</v>
          </cell>
          <cell r="K644" t="str">
            <v>F</v>
          </cell>
          <cell r="L644" t="str">
            <v>A</v>
          </cell>
          <cell r="M644" t="str">
            <v>A</v>
          </cell>
          <cell r="N644" t="str">
            <v>B</v>
          </cell>
          <cell r="O644" t="str">
            <v>B</v>
          </cell>
          <cell r="P644" t="str">
            <v>B</v>
          </cell>
          <cell r="Q644" t="str">
            <v>B</v>
          </cell>
          <cell r="R644" t="str">
            <v>A</v>
          </cell>
          <cell r="X644">
            <v>41.9</v>
          </cell>
        </row>
        <row r="645">
          <cell r="C645">
            <v>42062614</v>
          </cell>
          <cell r="D645" t="str">
            <v>ТОВ "ПРИМА СОЛАР ЕНЕРДЖІ"</v>
          </cell>
          <cell r="E645">
            <v>45595.537600000003</v>
          </cell>
          <cell r="F645">
            <v>45474</v>
          </cell>
          <cell r="G645" t="str">
            <v>E</v>
          </cell>
          <cell r="H645" t="str">
            <v>D</v>
          </cell>
          <cell r="I645" t="str">
            <v>A</v>
          </cell>
          <cell r="J645" t="str">
            <v>C</v>
          </cell>
          <cell r="K645" t="str">
            <v>D</v>
          </cell>
          <cell r="L645" t="str">
            <v>A</v>
          </cell>
          <cell r="M645" t="str">
            <v>E</v>
          </cell>
          <cell r="N645" t="str">
            <v>B</v>
          </cell>
          <cell r="O645" t="str">
            <v>A</v>
          </cell>
          <cell r="P645" t="str">
            <v>B</v>
          </cell>
          <cell r="Q645" t="str">
            <v>B</v>
          </cell>
          <cell r="R645" t="str">
            <v>C</v>
          </cell>
          <cell r="X645">
            <v>36.300000000000004</v>
          </cell>
        </row>
        <row r="646">
          <cell r="C646">
            <v>42073076</v>
          </cell>
          <cell r="D646" t="str">
            <v>ТОВ "ПРЕМІУМ ОІЛ ЛТД"</v>
          </cell>
          <cell r="E646">
            <v>45645.596799999999</v>
          </cell>
          <cell r="F646">
            <v>45566</v>
          </cell>
          <cell r="G646" t="str">
            <v>E</v>
          </cell>
          <cell r="H646" t="str">
            <v>B</v>
          </cell>
          <cell r="I646" t="str">
            <v>D</v>
          </cell>
          <cell r="J646" t="str">
            <v>C</v>
          </cell>
          <cell r="K646" t="str">
            <v>D</v>
          </cell>
          <cell r="L646" t="str">
            <v>B</v>
          </cell>
          <cell r="M646" t="str">
            <v>B</v>
          </cell>
          <cell r="N646" t="str">
            <v>C</v>
          </cell>
          <cell r="O646" t="str">
            <v>B</v>
          </cell>
          <cell r="P646" t="str">
            <v>C</v>
          </cell>
          <cell r="Q646" t="str">
            <v>B</v>
          </cell>
          <cell r="R646" t="str">
            <v>A</v>
          </cell>
          <cell r="X646">
            <v>35.4</v>
          </cell>
        </row>
        <row r="647">
          <cell r="C647">
            <v>42073579</v>
          </cell>
          <cell r="D647" t="str">
            <v>ТОВ "ТД "УНТК"</v>
          </cell>
          <cell r="E647">
            <v>45897.717799999999</v>
          </cell>
          <cell r="F647">
            <v>45839</v>
          </cell>
          <cell r="G647" t="str">
            <v>E</v>
          </cell>
          <cell r="H647" t="str">
            <v>C</v>
          </cell>
          <cell r="I647" t="str">
            <v>A</v>
          </cell>
          <cell r="J647" t="str">
            <v>D</v>
          </cell>
          <cell r="K647" t="str">
            <v>D</v>
          </cell>
          <cell r="L647" t="str">
            <v>B</v>
          </cell>
          <cell r="M647" t="str">
            <v>A</v>
          </cell>
          <cell r="N647" t="str">
            <v>B</v>
          </cell>
          <cell r="O647" t="str">
            <v>A</v>
          </cell>
          <cell r="P647" t="str">
            <v>B</v>
          </cell>
          <cell r="Q647" t="str">
            <v>C</v>
          </cell>
          <cell r="R647" t="str">
            <v>A</v>
          </cell>
          <cell r="X647">
            <v>50.1</v>
          </cell>
        </row>
        <row r="648">
          <cell r="C648">
            <v>42077065</v>
          </cell>
          <cell r="D648" t="str">
            <v>ТОВ "АВТОМИР М"</v>
          </cell>
          <cell r="E648">
            <v>45926.4833</v>
          </cell>
          <cell r="F648">
            <v>45839</v>
          </cell>
          <cell r="G648" t="str">
            <v>D</v>
          </cell>
          <cell r="H648" t="str">
            <v>A</v>
          </cell>
          <cell r="I648" t="str">
            <v>C</v>
          </cell>
          <cell r="J648" t="str">
            <v>B</v>
          </cell>
          <cell r="K648" t="str">
            <v>C</v>
          </cell>
          <cell r="L648" t="str">
            <v>A</v>
          </cell>
          <cell r="M648" t="str">
            <v>A</v>
          </cell>
          <cell r="N648" t="str">
            <v>B</v>
          </cell>
          <cell r="O648" t="str">
            <v>A</v>
          </cell>
          <cell r="P648" t="str">
            <v>A</v>
          </cell>
          <cell r="Q648" t="str">
            <v>B</v>
          </cell>
          <cell r="R648" t="str">
            <v>A</v>
          </cell>
          <cell r="X648">
            <v>60.7</v>
          </cell>
        </row>
        <row r="649">
          <cell r="C649">
            <v>42085155</v>
          </cell>
          <cell r="D649" t="str">
            <v>ТОВ"ЧЕРКАСИ-МІЛК"</v>
          </cell>
          <cell r="E649">
            <v>45803.992400000003</v>
          </cell>
          <cell r="F649">
            <v>45658</v>
          </cell>
          <cell r="G649" t="str">
            <v>E</v>
          </cell>
          <cell r="H649" t="str">
            <v>B</v>
          </cell>
          <cell r="I649" t="str">
            <v>B</v>
          </cell>
          <cell r="J649" t="str">
            <v>A</v>
          </cell>
          <cell r="K649" t="str">
            <v>D</v>
          </cell>
          <cell r="L649" t="str">
            <v>B</v>
          </cell>
          <cell r="M649" t="str">
            <v>A</v>
          </cell>
          <cell r="N649" t="str">
            <v>B</v>
          </cell>
          <cell r="O649" t="str">
            <v>A</v>
          </cell>
          <cell r="P649" t="str">
            <v>A</v>
          </cell>
          <cell r="Q649" t="str">
            <v>B</v>
          </cell>
          <cell r="R649" t="str">
            <v>A</v>
          </cell>
          <cell r="X649">
            <v>52.300000000000004</v>
          </cell>
        </row>
        <row r="650">
          <cell r="C650">
            <v>42086279</v>
          </cell>
          <cell r="D650" t="str">
            <v>ТОВ "ТВК ЕЛІНА"</v>
          </cell>
          <cell r="E650">
            <v>45705.732100000001</v>
          </cell>
          <cell r="F650">
            <v>45566</v>
          </cell>
          <cell r="G650" t="str">
            <v>E</v>
          </cell>
          <cell r="H650" t="str">
            <v>C</v>
          </cell>
          <cell r="I650" t="str">
            <v>A</v>
          </cell>
          <cell r="J650" t="str">
            <v>A</v>
          </cell>
          <cell r="K650" t="str">
            <v>D</v>
          </cell>
          <cell r="L650" t="str">
            <v>B</v>
          </cell>
          <cell r="M650" t="str">
            <v>A</v>
          </cell>
          <cell r="N650" t="str">
            <v>B</v>
          </cell>
          <cell r="O650" t="str">
            <v>A</v>
          </cell>
          <cell r="P650" t="str">
            <v>C</v>
          </cell>
          <cell r="Q650" t="str">
            <v>C</v>
          </cell>
          <cell r="R650" t="str">
            <v>A</v>
          </cell>
          <cell r="X650">
            <v>40.299999999999997</v>
          </cell>
        </row>
        <row r="651">
          <cell r="C651">
            <v>42113176</v>
          </cell>
          <cell r="D651" t="str">
            <v>ТОВ "ТД  "ГЕРМЕС ТРЕЙДІНГ"</v>
          </cell>
          <cell r="E651">
            <v>45860.589200000002</v>
          </cell>
          <cell r="F651">
            <v>45658</v>
          </cell>
          <cell r="G651" t="str">
            <v>E</v>
          </cell>
          <cell r="H651" t="str">
            <v>B</v>
          </cell>
          <cell r="I651" t="str">
            <v>A</v>
          </cell>
          <cell r="J651" t="str">
            <v>D</v>
          </cell>
          <cell r="K651" t="str">
            <v>D</v>
          </cell>
          <cell r="L651" t="str">
            <v>B</v>
          </cell>
          <cell r="M651" t="str">
            <v>B</v>
          </cell>
          <cell r="N651" t="str">
            <v>B</v>
          </cell>
          <cell r="O651" t="str">
            <v>A</v>
          </cell>
          <cell r="P651" t="str">
            <v>C</v>
          </cell>
          <cell r="Q651" t="str">
            <v>C</v>
          </cell>
          <cell r="R651" t="str">
            <v>A</v>
          </cell>
          <cell r="X651">
            <v>43.5</v>
          </cell>
        </row>
        <row r="652">
          <cell r="C652">
            <v>42124874</v>
          </cell>
          <cell r="D652" t="str">
            <v>ТОВ " ВІТ ЕНЕРДЖІ " РІПНА"</v>
          </cell>
          <cell r="E652">
            <v>45944</v>
          </cell>
          <cell r="F652">
            <v>45658</v>
          </cell>
          <cell r="G652" t="str">
            <v>D</v>
          </cell>
          <cell r="H652" t="str">
            <v>B</v>
          </cell>
          <cell r="I652" t="str">
            <v>C</v>
          </cell>
          <cell r="J652" t="str">
            <v>C</v>
          </cell>
          <cell r="K652" t="str">
            <v>D</v>
          </cell>
          <cell r="L652" t="str">
            <v>A</v>
          </cell>
          <cell r="M652" t="str">
            <v>A</v>
          </cell>
          <cell r="N652" t="str">
            <v>B</v>
          </cell>
          <cell r="O652" t="str">
            <v>B</v>
          </cell>
          <cell r="P652" t="str">
            <v>C</v>
          </cell>
          <cell r="Q652" t="str">
            <v>B</v>
          </cell>
          <cell r="R652" t="str">
            <v>A</v>
          </cell>
          <cell r="X652">
            <v>50.5</v>
          </cell>
        </row>
        <row r="653">
          <cell r="C653">
            <v>42127807</v>
          </cell>
          <cell r="D653" t="str">
            <v>ТОВ "АГРОСТАР ЮГ"</v>
          </cell>
          <cell r="E653">
            <v>45826.432000000001</v>
          </cell>
          <cell r="F653">
            <v>45748</v>
          </cell>
          <cell r="G653" t="str">
            <v>E</v>
          </cell>
          <cell r="H653" t="str">
            <v>C</v>
          </cell>
          <cell r="I653" t="str">
            <v>A</v>
          </cell>
          <cell r="J653" t="str">
            <v>A</v>
          </cell>
          <cell r="K653" t="str">
            <v>C</v>
          </cell>
          <cell r="L653" t="str">
            <v>A</v>
          </cell>
          <cell r="M653" t="str">
            <v>A</v>
          </cell>
          <cell r="N653" t="str">
            <v>A</v>
          </cell>
          <cell r="O653" t="str">
            <v>A</v>
          </cell>
          <cell r="P653" t="str">
            <v>C</v>
          </cell>
          <cell r="Q653" t="str">
            <v>B</v>
          </cell>
          <cell r="R653" t="str">
            <v>A</v>
          </cell>
          <cell r="X653">
            <v>53</v>
          </cell>
        </row>
        <row r="654">
          <cell r="C654">
            <v>42159289</v>
          </cell>
          <cell r="D654" t="str">
            <v>ТОВ "ВЕЗ"</v>
          </cell>
          <cell r="E654">
            <v>45919.419800000003</v>
          </cell>
          <cell r="F654">
            <v>45748</v>
          </cell>
          <cell r="G654" t="str">
            <v>C</v>
          </cell>
          <cell r="H654" t="str">
            <v>A</v>
          </cell>
          <cell r="I654" t="str">
            <v>A</v>
          </cell>
          <cell r="J654" t="str">
            <v>A</v>
          </cell>
          <cell r="K654" t="str">
            <v>D</v>
          </cell>
          <cell r="L654" t="str">
            <v>A</v>
          </cell>
          <cell r="M654" t="str">
            <v>A</v>
          </cell>
          <cell r="N654" t="str">
            <v>B</v>
          </cell>
          <cell r="O654" t="str">
            <v>A</v>
          </cell>
          <cell r="P654" t="str">
            <v>C</v>
          </cell>
          <cell r="Q654" t="str">
            <v>B</v>
          </cell>
          <cell r="R654" t="str">
            <v>A</v>
          </cell>
          <cell r="X654">
            <v>54.9</v>
          </cell>
        </row>
        <row r="655">
          <cell r="C655">
            <v>42163190</v>
          </cell>
          <cell r="D655" t="str">
            <v>ТОВ "НВК СКІФ"</v>
          </cell>
          <cell r="E655">
            <v>45747.585200000001</v>
          </cell>
          <cell r="F655">
            <v>45658</v>
          </cell>
          <cell r="G655" t="str">
            <v>E</v>
          </cell>
          <cell r="H655" t="str">
            <v>B</v>
          </cell>
          <cell r="I655" t="str">
            <v>B</v>
          </cell>
          <cell r="J655" t="str">
            <v>A</v>
          </cell>
          <cell r="K655" t="str">
            <v>D</v>
          </cell>
          <cell r="L655" t="str">
            <v>B</v>
          </cell>
          <cell r="M655" t="str">
            <v>A</v>
          </cell>
          <cell r="N655" t="str">
            <v>C</v>
          </cell>
          <cell r="O655" t="str">
            <v>A</v>
          </cell>
          <cell r="P655" t="str">
            <v>C</v>
          </cell>
          <cell r="Q655" t="str">
            <v>B</v>
          </cell>
          <cell r="R655" t="str">
            <v>A</v>
          </cell>
          <cell r="X655">
            <v>46.6</v>
          </cell>
        </row>
        <row r="656">
          <cell r="C656">
            <v>42173172</v>
          </cell>
          <cell r="D656" t="str">
            <v>ТОВ "СУЗІР'Я АГРО"</v>
          </cell>
          <cell r="E656">
            <v>45852.546499999997</v>
          </cell>
          <cell r="F656">
            <v>45658</v>
          </cell>
          <cell r="G656" t="str">
            <v>E</v>
          </cell>
          <cell r="H656" t="str">
            <v>B</v>
          </cell>
          <cell r="I656" t="str">
            <v>B</v>
          </cell>
          <cell r="J656" t="str">
            <v>B</v>
          </cell>
          <cell r="K656" t="str">
            <v>D</v>
          </cell>
          <cell r="L656" t="str">
            <v>A</v>
          </cell>
          <cell r="M656" t="str">
            <v>C</v>
          </cell>
          <cell r="N656" t="str">
            <v>B</v>
          </cell>
          <cell r="O656" t="str">
            <v>B</v>
          </cell>
          <cell r="P656" t="str">
            <v>C</v>
          </cell>
          <cell r="Q656" t="str">
            <v>B</v>
          </cell>
          <cell r="R656" t="str">
            <v>A</v>
          </cell>
          <cell r="X656">
            <v>44.5</v>
          </cell>
        </row>
        <row r="657">
          <cell r="C657">
            <v>42174038</v>
          </cell>
          <cell r="D657" t="str">
            <v>ТОВ "ВІНСТРЕЙД"</v>
          </cell>
          <cell r="E657">
            <v>45638.713799999998</v>
          </cell>
          <cell r="F657">
            <v>45474</v>
          </cell>
          <cell r="G657" t="str">
            <v>E</v>
          </cell>
          <cell r="H657" t="str">
            <v>C</v>
          </cell>
          <cell r="I657" t="str">
            <v>B</v>
          </cell>
          <cell r="J657" t="str">
            <v>A</v>
          </cell>
          <cell r="K657" t="str">
            <v>C</v>
          </cell>
          <cell r="L657" t="str">
            <v>B</v>
          </cell>
          <cell r="M657" t="str">
            <v>A</v>
          </cell>
          <cell r="N657" t="str">
            <v>B</v>
          </cell>
          <cell r="O657" t="str">
            <v>A</v>
          </cell>
          <cell r="P657" t="str">
            <v>C</v>
          </cell>
          <cell r="Q657" t="str">
            <v>B</v>
          </cell>
          <cell r="R657" t="str">
            <v>A</v>
          </cell>
          <cell r="X657">
            <v>49.3</v>
          </cell>
        </row>
        <row r="658">
          <cell r="C658">
            <v>42185885</v>
          </cell>
          <cell r="D658" t="str">
            <v>ТОВ "ВІНСТРЕЙД-СХІД"</v>
          </cell>
          <cell r="E658">
            <v>45638.713799999998</v>
          </cell>
          <cell r="F658">
            <v>45474</v>
          </cell>
          <cell r="G658" t="str">
            <v>E</v>
          </cell>
          <cell r="H658" t="str">
            <v>C</v>
          </cell>
          <cell r="I658" t="str">
            <v>B</v>
          </cell>
          <cell r="J658" t="str">
            <v>A</v>
          </cell>
          <cell r="K658" t="str">
            <v>C</v>
          </cell>
          <cell r="L658" t="str">
            <v>B</v>
          </cell>
          <cell r="M658" t="str">
            <v>A</v>
          </cell>
          <cell r="N658" t="str">
            <v>B</v>
          </cell>
          <cell r="O658" t="str">
            <v>A</v>
          </cell>
          <cell r="P658" t="str">
            <v>C</v>
          </cell>
          <cell r="Q658" t="str">
            <v>B</v>
          </cell>
          <cell r="R658" t="str">
            <v>A</v>
          </cell>
          <cell r="X658">
            <v>49.3</v>
          </cell>
        </row>
        <row r="659">
          <cell r="C659">
            <v>42192258</v>
          </cell>
          <cell r="D659" t="str">
            <v>ТОВ "МАРВЕЛ ПРОФІТ"</v>
          </cell>
          <cell r="E659">
            <v>45538.657599999999</v>
          </cell>
          <cell r="F659">
            <v>45474</v>
          </cell>
          <cell r="G659" t="str">
            <v>E</v>
          </cell>
          <cell r="H659" t="str">
            <v>C</v>
          </cell>
          <cell r="I659" t="str">
            <v>C</v>
          </cell>
          <cell r="J659" t="str">
            <v>A</v>
          </cell>
          <cell r="K659" t="str">
            <v>D</v>
          </cell>
          <cell r="L659" t="str">
            <v>B</v>
          </cell>
          <cell r="M659" t="str">
            <v>A</v>
          </cell>
          <cell r="N659" t="str">
            <v>B</v>
          </cell>
          <cell r="O659" t="str">
            <v>A</v>
          </cell>
          <cell r="P659" t="str">
            <v>C</v>
          </cell>
          <cell r="Q659" t="str">
            <v>B</v>
          </cell>
          <cell r="R659" t="str">
            <v>C</v>
          </cell>
          <cell r="X659">
            <v>32.5</v>
          </cell>
        </row>
        <row r="660">
          <cell r="C660">
            <v>42195018</v>
          </cell>
          <cell r="D660" t="str">
            <v>ТЗОВ "ТЕРНОВИЦЯ СОЛАР ПЛЮС"</v>
          </cell>
          <cell r="E660">
            <v>45861.676700000004</v>
          </cell>
          <cell r="F660">
            <v>45748</v>
          </cell>
          <cell r="G660" t="str">
            <v>E</v>
          </cell>
          <cell r="H660" t="str">
            <v>B</v>
          </cell>
          <cell r="I660" t="str">
            <v>A</v>
          </cell>
          <cell r="J660" t="str">
            <v>C</v>
          </cell>
          <cell r="K660" t="str">
            <v>D</v>
          </cell>
          <cell r="L660" t="str">
            <v>A</v>
          </cell>
          <cell r="M660" t="str">
            <v>A</v>
          </cell>
          <cell r="N660" t="str">
            <v>B</v>
          </cell>
          <cell r="O660" t="str">
            <v>A</v>
          </cell>
          <cell r="P660" t="str">
            <v>B</v>
          </cell>
          <cell r="Q660" t="str">
            <v>A</v>
          </cell>
          <cell r="R660" t="str">
            <v>C</v>
          </cell>
          <cell r="X660">
            <v>52.300000000000004</v>
          </cell>
        </row>
        <row r="661">
          <cell r="C661">
            <v>42234821</v>
          </cell>
          <cell r="D661" t="str">
            <v>ТОВ "ОЛІМПІУС КОНСАЛТ"</v>
          </cell>
          <cell r="E661">
            <v>45888.623200000002</v>
          </cell>
          <cell r="F661">
            <v>45839</v>
          </cell>
          <cell r="G661" t="str">
            <v>E</v>
          </cell>
          <cell r="H661" t="str">
            <v>A</v>
          </cell>
          <cell r="I661" t="str">
            <v>B</v>
          </cell>
          <cell r="J661" t="str">
            <v>A</v>
          </cell>
          <cell r="K661" t="str">
            <v>D</v>
          </cell>
          <cell r="L661" t="str">
            <v>A</v>
          </cell>
          <cell r="M661" t="str">
            <v>A</v>
          </cell>
          <cell r="N661" t="str">
            <v>A</v>
          </cell>
          <cell r="O661" t="str">
            <v>A</v>
          </cell>
          <cell r="P661" t="str">
            <v>C</v>
          </cell>
          <cell r="Q661" t="str">
            <v>B</v>
          </cell>
          <cell r="R661" t="str">
            <v>A</v>
          </cell>
          <cell r="X661">
            <v>58.6</v>
          </cell>
        </row>
        <row r="662">
          <cell r="C662">
            <v>42268028</v>
          </cell>
          <cell r="D662" t="str">
            <v>ТОВ"ІНСТАМЕД"</v>
          </cell>
          <cell r="E662">
            <v>45841</v>
          </cell>
          <cell r="F662">
            <v>45748</v>
          </cell>
          <cell r="G662" t="str">
            <v>E</v>
          </cell>
          <cell r="H662" t="str">
            <v>C</v>
          </cell>
          <cell r="I662" t="str">
            <v>C</v>
          </cell>
          <cell r="J662" t="str">
            <v>B</v>
          </cell>
          <cell r="K662" t="str">
            <v>D</v>
          </cell>
          <cell r="L662" t="str">
            <v>B</v>
          </cell>
          <cell r="M662" t="str">
            <v>A</v>
          </cell>
          <cell r="N662" t="str">
            <v>B</v>
          </cell>
          <cell r="O662" t="str">
            <v>B</v>
          </cell>
          <cell r="P662" t="str">
            <v>C</v>
          </cell>
          <cell r="Q662" t="str">
            <v>C</v>
          </cell>
          <cell r="R662" t="str">
            <v>C</v>
          </cell>
          <cell r="X662">
            <v>29.9</v>
          </cell>
        </row>
        <row r="663">
          <cell r="C663">
            <v>42291125</v>
          </cell>
          <cell r="D663" t="str">
            <v>ТОВ "ДТЕК ТИЛІГУЛЬСЬКА ВЕС-2"</v>
          </cell>
          <cell r="E663">
            <v>45939.542600000001</v>
          </cell>
          <cell r="F663">
            <v>45658</v>
          </cell>
          <cell r="G663" t="str">
            <v>C</v>
          </cell>
          <cell r="H663" t="str">
            <v>D</v>
          </cell>
          <cell r="I663" t="str">
            <v>D</v>
          </cell>
          <cell r="J663" t="str">
            <v>A</v>
          </cell>
          <cell r="K663" t="str">
            <v>D</v>
          </cell>
          <cell r="L663" t="str">
            <v>A</v>
          </cell>
          <cell r="M663" t="str">
            <v>A</v>
          </cell>
          <cell r="N663" t="str">
            <v>A</v>
          </cell>
          <cell r="O663" t="str">
            <v>A</v>
          </cell>
          <cell r="P663" t="str">
            <v>C</v>
          </cell>
          <cell r="Q663" t="str">
            <v>A</v>
          </cell>
          <cell r="R663" t="str">
            <v>A</v>
          </cell>
          <cell r="X663">
            <v>50.199999999999996</v>
          </cell>
        </row>
        <row r="664">
          <cell r="C664">
            <v>42292024</v>
          </cell>
          <cell r="D664" t="str">
            <v>ТОВ "СТІЛ ХАБ"</v>
          </cell>
          <cell r="E664">
            <v>45568.635399999999</v>
          </cell>
          <cell r="F664">
            <v>45474</v>
          </cell>
          <cell r="G664" t="str">
            <v>E</v>
          </cell>
          <cell r="H664" t="str">
            <v>C</v>
          </cell>
          <cell r="I664" t="str">
            <v>A</v>
          </cell>
          <cell r="J664" t="str">
            <v>B</v>
          </cell>
          <cell r="K664" t="str">
            <v>D</v>
          </cell>
          <cell r="L664" t="str">
            <v>B</v>
          </cell>
          <cell r="M664" t="str">
            <v>A</v>
          </cell>
          <cell r="N664" t="str">
            <v>B</v>
          </cell>
          <cell r="O664" t="str">
            <v>A</v>
          </cell>
          <cell r="P664" t="str">
            <v>C</v>
          </cell>
          <cell r="Q664" t="str">
            <v>B</v>
          </cell>
          <cell r="R664" t="str">
            <v>A</v>
          </cell>
          <cell r="X664">
            <v>44.9</v>
          </cell>
        </row>
        <row r="665">
          <cell r="C665">
            <v>42316322</v>
          </cell>
          <cell r="D665" t="str">
            <v>ТОВ "ТМР"</v>
          </cell>
          <cell r="E665">
            <v>45790.791400000002</v>
          </cell>
          <cell r="F665">
            <v>45658</v>
          </cell>
          <cell r="G665" t="str">
            <v>E</v>
          </cell>
          <cell r="H665" t="str">
            <v>B</v>
          </cell>
          <cell r="I665" t="str">
            <v>B</v>
          </cell>
          <cell r="J665" t="str">
            <v>A</v>
          </cell>
          <cell r="K665" t="str">
            <v>C</v>
          </cell>
          <cell r="L665" t="str">
            <v>B</v>
          </cell>
          <cell r="M665" t="str">
            <v>A</v>
          </cell>
          <cell r="N665" t="str">
            <v>B</v>
          </cell>
          <cell r="O665" t="str">
            <v>A</v>
          </cell>
          <cell r="P665" t="str">
            <v>C</v>
          </cell>
          <cell r="Q665" t="str">
            <v>B</v>
          </cell>
          <cell r="R665" t="str">
            <v>A</v>
          </cell>
          <cell r="X665">
            <v>50.9</v>
          </cell>
        </row>
        <row r="666">
          <cell r="C666">
            <v>42326875</v>
          </cell>
          <cell r="D666" t="str">
            <v>ТОВ "БСА"</v>
          </cell>
          <cell r="E666">
            <v>45692.6682</v>
          </cell>
          <cell r="F666">
            <v>45566</v>
          </cell>
          <cell r="G666" t="str">
            <v>E</v>
          </cell>
          <cell r="H666" t="str">
            <v>C</v>
          </cell>
          <cell r="I666" t="str">
            <v>B</v>
          </cell>
          <cell r="J666" t="str">
            <v>C</v>
          </cell>
          <cell r="K666" t="str">
            <v>D</v>
          </cell>
          <cell r="L666" t="str">
            <v>A</v>
          </cell>
          <cell r="M666" t="str">
            <v>A</v>
          </cell>
          <cell r="N666" t="str">
            <v>B</v>
          </cell>
          <cell r="O666" t="str">
            <v>A</v>
          </cell>
          <cell r="P666" t="str">
            <v>C</v>
          </cell>
          <cell r="Q666" t="str">
            <v>B</v>
          </cell>
          <cell r="R666" t="str">
            <v>C</v>
          </cell>
          <cell r="X666">
            <v>50.9</v>
          </cell>
        </row>
        <row r="667">
          <cell r="C667">
            <v>42327795</v>
          </cell>
          <cell r="D667" t="str">
            <v>ПП "ТЕХНІК-ЦЕНТР"</v>
          </cell>
          <cell r="E667">
            <v>45622.750099999997</v>
          </cell>
          <cell r="F667">
            <v>45566</v>
          </cell>
          <cell r="G667" t="str">
            <v>E</v>
          </cell>
          <cell r="H667" t="str">
            <v>C</v>
          </cell>
          <cell r="I667" t="str">
            <v>B</v>
          </cell>
          <cell r="J667" t="str">
            <v>A</v>
          </cell>
          <cell r="K667" t="str">
            <v>E</v>
          </cell>
          <cell r="L667" t="str">
            <v>B</v>
          </cell>
          <cell r="M667" t="str">
            <v>A</v>
          </cell>
          <cell r="N667" t="str">
            <v>C</v>
          </cell>
          <cell r="O667" t="str">
            <v>A</v>
          </cell>
          <cell r="P667" t="str">
            <v>C</v>
          </cell>
          <cell r="Q667" t="str">
            <v>B</v>
          </cell>
          <cell r="R667" t="str">
            <v>A</v>
          </cell>
          <cell r="X667">
            <v>43.8</v>
          </cell>
        </row>
        <row r="668">
          <cell r="C668">
            <v>42330085</v>
          </cell>
          <cell r="D668" t="str">
            <v>ТОВ "КАМ'ЯНСЬКИЙ ТРУБНИЙ ЗАВОД"</v>
          </cell>
          <cell r="E668">
            <v>45707.704599999997</v>
          </cell>
          <cell r="F668">
            <v>45566</v>
          </cell>
          <cell r="G668" t="str">
            <v>E</v>
          </cell>
          <cell r="H668" t="str">
            <v>C</v>
          </cell>
          <cell r="I668" t="str">
            <v>B</v>
          </cell>
          <cell r="J668" t="str">
            <v>A</v>
          </cell>
          <cell r="K668" t="str">
            <v>D</v>
          </cell>
          <cell r="L668" t="str">
            <v>B</v>
          </cell>
          <cell r="M668" t="str">
            <v>A</v>
          </cell>
          <cell r="N668" t="str">
            <v>B</v>
          </cell>
          <cell r="O668" t="str">
            <v>A</v>
          </cell>
          <cell r="P668" t="str">
            <v>C</v>
          </cell>
          <cell r="Q668" t="str">
            <v>C</v>
          </cell>
          <cell r="R668" t="str">
            <v>A</v>
          </cell>
          <cell r="X668">
            <v>44.699999999999989</v>
          </cell>
        </row>
        <row r="669">
          <cell r="C669">
            <v>42335277</v>
          </cell>
          <cell r="D669" t="str">
            <v>ТОВ "ДАР АГРО"</v>
          </cell>
          <cell r="E669">
            <v>45938.666799999999</v>
          </cell>
          <cell r="F669">
            <v>45839</v>
          </cell>
          <cell r="G669" t="str">
            <v>E</v>
          </cell>
          <cell r="H669" t="str">
            <v>C</v>
          </cell>
          <cell r="I669" t="str">
            <v>A</v>
          </cell>
          <cell r="J669" t="str">
            <v>A</v>
          </cell>
          <cell r="K669" t="str">
            <v>A</v>
          </cell>
          <cell r="L669" t="str">
            <v>B</v>
          </cell>
          <cell r="M669" t="str">
            <v>A</v>
          </cell>
          <cell r="N669" t="str">
            <v>B</v>
          </cell>
          <cell r="O669" t="str">
            <v>A</v>
          </cell>
          <cell r="P669" t="str">
            <v>C</v>
          </cell>
          <cell r="Q669" t="str">
            <v>C</v>
          </cell>
          <cell r="R669" t="str">
            <v>A</v>
          </cell>
          <cell r="X669">
            <v>45.099999999999994</v>
          </cell>
        </row>
        <row r="670">
          <cell r="C670">
            <v>42351807</v>
          </cell>
          <cell r="D670" t="str">
            <v>ТОВ "ПЕК"</v>
          </cell>
          <cell r="E670">
            <v>45588.492899999997</v>
          </cell>
          <cell r="F670">
            <v>45474</v>
          </cell>
          <cell r="G670" t="str">
            <v>E</v>
          </cell>
          <cell r="H670" t="str">
            <v>A</v>
          </cell>
          <cell r="I670" t="str">
            <v>A</v>
          </cell>
          <cell r="J670" t="str">
            <v>A</v>
          </cell>
          <cell r="K670" t="str">
            <v>D</v>
          </cell>
          <cell r="L670" t="str">
            <v>A</v>
          </cell>
          <cell r="M670" t="str">
            <v>A</v>
          </cell>
          <cell r="N670" t="str">
            <v>B</v>
          </cell>
          <cell r="O670" t="str">
            <v>A</v>
          </cell>
          <cell r="P670" t="str">
            <v>C</v>
          </cell>
          <cell r="Q670" t="str">
            <v>A</v>
          </cell>
          <cell r="R670" t="str">
            <v>A</v>
          </cell>
          <cell r="X670">
            <v>53.3</v>
          </cell>
        </row>
        <row r="671">
          <cell r="C671">
            <v>42409689</v>
          </cell>
          <cell r="D671" t="str">
            <v>ТОВ "СОЛЛІ ПЛЮС ХАРКІВ"</v>
          </cell>
          <cell r="E671">
            <v>45861.418100000003</v>
          </cell>
          <cell r="F671">
            <v>45748</v>
          </cell>
          <cell r="G671" t="str">
            <v>E</v>
          </cell>
          <cell r="H671" t="str">
            <v>B</v>
          </cell>
          <cell r="I671" t="str">
            <v>B</v>
          </cell>
          <cell r="J671" t="str">
            <v>C</v>
          </cell>
          <cell r="K671" t="str">
            <v>D</v>
          </cell>
          <cell r="L671" t="str">
            <v>A</v>
          </cell>
          <cell r="M671" t="str">
            <v>A</v>
          </cell>
          <cell r="N671" t="str">
            <v>B</v>
          </cell>
          <cell r="O671" t="str">
            <v>B</v>
          </cell>
          <cell r="P671" t="str">
            <v>C</v>
          </cell>
          <cell r="Q671" t="str">
            <v>B</v>
          </cell>
          <cell r="R671" t="str">
            <v>C</v>
          </cell>
          <cell r="X671">
            <v>48.900000000000006</v>
          </cell>
        </row>
        <row r="672">
          <cell r="C672">
            <v>42424288</v>
          </cell>
          <cell r="D672" t="str">
            <v>ТОВ "ФРУТАЛІЯ"</v>
          </cell>
          <cell r="E672">
            <v>45619</v>
          </cell>
          <cell r="F672">
            <v>45566</v>
          </cell>
          <cell r="G672" t="str">
            <v>E</v>
          </cell>
          <cell r="H672" t="str">
            <v>B</v>
          </cell>
          <cell r="I672" t="str">
            <v>C</v>
          </cell>
          <cell r="J672" t="str">
            <v>A</v>
          </cell>
          <cell r="K672" t="str">
            <v>D</v>
          </cell>
          <cell r="L672" t="str">
            <v>B</v>
          </cell>
          <cell r="M672" t="str">
            <v>A</v>
          </cell>
          <cell r="N672" t="str">
            <v>B</v>
          </cell>
          <cell r="O672" t="str">
            <v>A</v>
          </cell>
          <cell r="P672" t="str">
            <v>C</v>
          </cell>
          <cell r="Q672" t="str">
            <v>B</v>
          </cell>
          <cell r="R672" t="str">
            <v>A</v>
          </cell>
          <cell r="X672">
            <v>40.1</v>
          </cell>
        </row>
        <row r="673">
          <cell r="C673">
            <v>42483474</v>
          </cell>
          <cell r="D673" t="str">
            <v>ТОВ "АТМ КРОПИВНИЦЬКИЙ"</v>
          </cell>
          <cell r="E673">
            <v>45905.954299999998</v>
          </cell>
          <cell r="F673">
            <v>45839</v>
          </cell>
          <cell r="G673" t="str">
            <v>E</v>
          </cell>
          <cell r="H673" t="str">
            <v>A</v>
          </cell>
          <cell r="I673" t="str">
            <v>B</v>
          </cell>
          <cell r="J673" t="str">
            <v>C</v>
          </cell>
          <cell r="K673" t="str">
            <v>D</v>
          </cell>
          <cell r="L673" t="str">
            <v>B</v>
          </cell>
          <cell r="M673" t="str">
            <v>A</v>
          </cell>
          <cell r="N673" t="str">
            <v>A</v>
          </cell>
          <cell r="O673" t="str">
            <v>A</v>
          </cell>
          <cell r="P673" t="str">
            <v>C</v>
          </cell>
          <cell r="Q673" t="str">
            <v>B</v>
          </cell>
          <cell r="R673" t="str">
            <v>B</v>
          </cell>
          <cell r="X673">
            <v>55.8</v>
          </cell>
        </row>
        <row r="674">
          <cell r="C674">
            <v>42492838</v>
          </cell>
          <cell r="D674" t="str">
            <v>АВТО КРОК</v>
          </cell>
          <cell r="E674">
            <v>45861.418100000003</v>
          </cell>
          <cell r="F674">
            <v>45748</v>
          </cell>
          <cell r="G674" t="str">
            <v>E</v>
          </cell>
          <cell r="H674" t="str">
            <v>B</v>
          </cell>
          <cell r="I674" t="str">
            <v>B</v>
          </cell>
          <cell r="J674" t="str">
            <v>C</v>
          </cell>
          <cell r="K674" t="str">
            <v>D</v>
          </cell>
          <cell r="L674" t="str">
            <v>A</v>
          </cell>
          <cell r="M674" t="str">
            <v>A</v>
          </cell>
          <cell r="N674" t="str">
            <v>B</v>
          </cell>
          <cell r="O674" t="str">
            <v>B</v>
          </cell>
          <cell r="P674" t="str">
            <v>C</v>
          </cell>
          <cell r="Q674" t="str">
            <v>B</v>
          </cell>
          <cell r="R674" t="str">
            <v>C</v>
          </cell>
          <cell r="X674">
            <v>48.900000000000006</v>
          </cell>
        </row>
        <row r="675">
          <cell r="C675">
            <v>42493173</v>
          </cell>
          <cell r="D675" t="str">
            <v>ТОВ "СЕМЕНІВКА АГРО ПЛЮС"</v>
          </cell>
          <cell r="E675">
            <v>45693.443700000003</v>
          </cell>
          <cell r="F675">
            <v>45474</v>
          </cell>
          <cell r="G675" t="str">
            <v>E</v>
          </cell>
          <cell r="H675" t="str">
            <v>B</v>
          </cell>
          <cell r="I675" t="str">
            <v>C</v>
          </cell>
          <cell r="J675" t="str">
            <v>C</v>
          </cell>
          <cell r="K675" t="str">
            <v>D</v>
          </cell>
          <cell r="L675" t="str">
            <v>A</v>
          </cell>
          <cell r="M675" t="str">
            <v>A</v>
          </cell>
          <cell r="N675" t="str">
            <v>B</v>
          </cell>
          <cell r="O675" t="str">
            <v>A</v>
          </cell>
          <cell r="P675" t="str">
            <v>B</v>
          </cell>
          <cell r="Q675" t="str">
            <v>B</v>
          </cell>
          <cell r="R675" t="str">
            <v>C</v>
          </cell>
          <cell r="X675">
            <v>46.300000000000004</v>
          </cell>
        </row>
        <row r="676">
          <cell r="C676">
            <v>42499898</v>
          </cell>
          <cell r="D676" t="str">
            <v>ТОВ "НВО "РІСТ"</v>
          </cell>
          <cell r="E676">
            <v>45860.589200000002</v>
          </cell>
          <cell r="F676">
            <v>45658</v>
          </cell>
          <cell r="G676" t="str">
            <v>E</v>
          </cell>
          <cell r="H676" t="str">
            <v>B</v>
          </cell>
          <cell r="I676" t="str">
            <v>A</v>
          </cell>
          <cell r="J676" t="str">
            <v>D</v>
          </cell>
          <cell r="K676" t="str">
            <v>D</v>
          </cell>
          <cell r="L676" t="str">
            <v>B</v>
          </cell>
          <cell r="M676" t="str">
            <v>B</v>
          </cell>
          <cell r="N676" t="str">
            <v>B</v>
          </cell>
          <cell r="O676" t="str">
            <v>A</v>
          </cell>
          <cell r="P676" t="str">
            <v>C</v>
          </cell>
          <cell r="Q676" t="str">
            <v>C</v>
          </cell>
          <cell r="R676" t="str">
            <v>A</v>
          </cell>
          <cell r="X676">
            <v>43.5</v>
          </cell>
        </row>
        <row r="677">
          <cell r="C677">
            <v>42499966</v>
          </cell>
          <cell r="D677" t="str">
            <v>ТОВ "ТОРГОВА КОМПАНІЯ "КОДИНКА"</v>
          </cell>
          <cell r="E677">
            <v>45985.454400000002</v>
          </cell>
          <cell r="F677">
            <v>45658</v>
          </cell>
          <cell r="G677" t="str">
            <v>E</v>
          </cell>
          <cell r="H677" t="str">
            <v>B</v>
          </cell>
          <cell r="I677" t="str">
            <v>B</v>
          </cell>
          <cell r="J677" t="str">
            <v>B</v>
          </cell>
          <cell r="K677" t="str">
            <v>D</v>
          </cell>
          <cell r="L677" t="str">
            <v>A</v>
          </cell>
          <cell r="M677" t="str">
            <v>A</v>
          </cell>
          <cell r="N677" t="str">
            <v>B</v>
          </cell>
          <cell r="O677" t="str">
            <v>A</v>
          </cell>
          <cell r="P677" t="str">
            <v>C</v>
          </cell>
          <cell r="Q677" t="str">
            <v>C</v>
          </cell>
          <cell r="R677" t="str">
            <v>A</v>
          </cell>
          <cell r="X677">
            <v>53.9</v>
          </cell>
        </row>
        <row r="678">
          <cell r="C678">
            <v>42553279</v>
          </cell>
          <cell r="D678" t="str">
            <v>ТОВ "СТЕНОІЛ"</v>
          </cell>
          <cell r="E678">
            <v>45579.6276</v>
          </cell>
          <cell r="F678">
            <v>45474</v>
          </cell>
          <cell r="G678" t="str">
            <v>E</v>
          </cell>
          <cell r="H678" t="str">
            <v>B</v>
          </cell>
          <cell r="I678" t="str">
            <v>B</v>
          </cell>
          <cell r="J678" t="str">
            <v>A</v>
          </cell>
          <cell r="K678" t="str">
            <v>D</v>
          </cell>
          <cell r="L678" t="str">
            <v>A</v>
          </cell>
          <cell r="M678" t="str">
            <v>A</v>
          </cell>
          <cell r="N678" t="str">
            <v>A</v>
          </cell>
          <cell r="O678" t="str">
            <v>A</v>
          </cell>
          <cell r="P678" t="str">
            <v>C</v>
          </cell>
          <cell r="Q678" t="str">
            <v>B</v>
          </cell>
          <cell r="R678" t="str">
            <v>A</v>
          </cell>
          <cell r="X678">
            <v>56.199999999999996</v>
          </cell>
        </row>
        <row r="679">
          <cell r="C679">
            <v>42619067</v>
          </cell>
          <cell r="D679" t="str">
            <v>ТОВ "КЛІНІКА ВЕРУМ ЕКСПЕРТ"</v>
          </cell>
          <cell r="E679">
            <v>45838.537400000001</v>
          </cell>
          <cell r="F679">
            <v>45658</v>
          </cell>
          <cell r="G679" t="str">
            <v>E</v>
          </cell>
          <cell r="H679" t="str">
            <v>B</v>
          </cell>
          <cell r="I679" t="str">
            <v>D</v>
          </cell>
          <cell r="J679" t="str">
            <v>B</v>
          </cell>
          <cell r="K679" t="str">
            <v>D</v>
          </cell>
          <cell r="L679" t="str">
            <v>A</v>
          </cell>
          <cell r="M679" t="str">
            <v>A</v>
          </cell>
          <cell r="N679" t="str">
            <v>B</v>
          </cell>
          <cell r="O679" t="str">
            <v>A</v>
          </cell>
          <cell r="P679" t="str">
            <v>C</v>
          </cell>
          <cell r="Q679" t="str">
            <v>B</v>
          </cell>
          <cell r="R679" t="str">
            <v>C</v>
          </cell>
          <cell r="X679">
            <v>42.9</v>
          </cell>
        </row>
        <row r="680">
          <cell r="C680">
            <v>42623890</v>
          </cell>
          <cell r="D680" t="str">
            <v>ТОВ "БРЕНТ ОЙЛ-95"</v>
          </cell>
          <cell r="E680">
            <v>45939.6299</v>
          </cell>
          <cell r="F680">
            <v>45839</v>
          </cell>
          <cell r="G680" t="str">
            <v>E</v>
          </cell>
          <cell r="H680" t="str">
            <v>B</v>
          </cell>
          <cell r="I680" t="str">
            <v>B</v>
          </cell>
          <cell r="J680" t="str">
            <v>B</v>
          </cell>
          <cell r="K680" t="str">
            <v>D</v>
          </cell>
          <cell r="L680" t="str">
            <v>B</v>
          </cell>
          <cell r="M680" t="str">
            <v>B</v>
          </cell>
          <cell r="N680" t="str">
            <v>B</v>
          </cell>
          <cell r="O680" t="str">
            <v>B</v>
          </cell>
          <cell r="P680" t="str">
            <v>C</v>
          </cell>
          <cell r="Q680" t="str">
            <v>C</v>
          </cell>
          <cell r="R680" t="str">
            <v>B</v>
          </cell>
          <cell r="X680">
            <v>35.5</v>
          </cell>
        </row>
        <row r="681">
          <cell r="C681">
            <v>42672010</v>
          </cell>
          <cell r="D681" t="str">
            <v>ТОВ "МЕТАГРО"</v>
          </cell>
          <cell r="E681">
            <v>45898</v>
          </cell>
          <cell r="F681">
            <v>45839</v>
          </cell>
          <cell r="G681" t="str">
            <v>E</v>
          </cell>
          <cell r="H681" t="str">
            <v>C</v>
          </cell>
          <cell r="I681" t="str">
            <v>B</v>
          </cell>
          <cell r="J681" t="str">
            <v>A</v>
          </cell>
          <cell r="K681" t="str">
            <v>D</v>
          </cell>
          <cell r="L681" t="str">
            <v>A</v>
          </cell>
          <cell r="M681" t="str">
            <v>A</v>
          </cell>
          <cell r="N681" t="str">
            <v>A</v>
          </cell>
          <cell r="O681" t="str">
            <v>A</v>
          </cell>
          <cell r="P681" t="str">
            <v>C</v>
          </cell>
          <cell r="Q681" t="str">
            <v>C</v>
          </cell>
          <cell r="R681" t="str">
            <v>A</v>
          </cell>
          <cell r="X681">
            <v>52.8</v>
          </cell>
        </row>
        <row r="682">
          <cell r="C682">
            <v>42702757</v>
          </cell>
          <cell r="D682" t="str">
            <v>ТОВ "БОРКИ СОЛАР"</v>
          </cell>
          <cell r="E682">
            <v>45652.649400000002</v>
          </cell>
          <cell r="F682">
            <v>45566</v>
          </cell>
          <cell r="G682" t="str">
            <v>E</v>
          </cell>
          <cell r="H682" t="str">
            <v>B</v>
          </cell>
          <cell r="I682" t="str">
            <v>A</v>
          </cell>
          <cell r="J682" t="str">
            <v>C</v>
          </cell>
          <cell r="K682" t="str">
            <v>D</v>
          </cell>
          <cell r="L682" t="str">
            <v>A</v>
          </cell>
          <cell r="M682" t="str">
            <v>C</v>
          </cell>
          <cell r="N682" t="str">
            <v>A</v>
          </cell>
          <cell r="O682" t="str">
            <v>A</v>
          </cell>
          <cell r="P682" t="str">
            <v>B</v>
          </cell>
          <cell r="Q682" t="str">
            <v>A</v>
          </cell>
          <cell r="R682" t="str">
            <v>C</v>
          </cell>
          <cell r="X682">
            <v>48</v>
          </cell>
        </row>
        <row r="683">
          <cell r="C683">
            <v>42706683</v>
          </cell>
          <cell r="D683" t="str">
            <v>ТОВ "НВО АПЕКС ПЛАНТ"</v>
          </cell>
          <cell r="E683">
            <v>45853</v>
          </cell>
          <cell r="F683">
            <v>45748</v>
          </cell>
          <cell r="G683" t="str">
            <v>E</v>
          </cell>
          <cell r="H683" t="str">
            <v>B</v>
          </cell>
          <cell r="I683" t="str">
            <v>B</v>
          </cell>
          <cell r="J683" t="str">
            <v>A</v>
          </cell>
          <cell r="K683" t="str">
            <v>D</v>
          </cell>
          <cell r="L683" t="str">
            <v>A</v>
          </cell>
          <cell r="M683" t="str">
            <v>C</v>
          </cell>
          <cell r="N683" t="str">
            <v>B</v>
          </cell>
          <cell r="O683" t="str">
            <v>A</v>
          </cell>
          <cell r="P683" t="str">
            <v>C</v>
          </cell>
          <cell r="Q683" t="str">
            <v>C</v>
          </cell>
          <cell r="R683" t="str">
            <v>B</v>
          </cell>
          <cell r="X683">
            <v>39.899999999999991</v>
          </cell>
        </row>
        <row r="684">
          <cell r="C684">
            <v>42721146</v>
          </cell>
          <cell r="D684" t="str">
            <v>ТОВ "АВТОГРАД ОДЕСА"</v>
          </cell>
          <cell r="E684">
            <v>45777.672400000003</v>
          </cell>
          <cell r="F684">
            <v>45658</v>
          </cell>
          <cell r="G684" t="str">
            <v>E</v>
          </cell>
          <cell r="H684" t="str">
            <v>A</v>
          </cell>
          <cell r="I684" t="str">
            <v>C</v>
          </cell>
          <cell r="J684" t="str">
            <v>C</v>
          </cell>
          <cell r="K684" t="str">
            <v>A</v>
          </cell>
          <cell r="L684" t="str">
            <v>A</v>
          </cell>
          <cell r="M684" t="str">
            <v>A</v>
          </cell>
          <cell r="N684" t="str">
            <v>A</v>
          </cell>
          <cell r="O684" t="str">
            <v>A</v>
          </cell>
          <cell r="P684" t="str">
            <v>C</v>
          </cell>
          <cell r="Q684" t="str">
            <v>B</v>
          </cell>
          <cell r="R684" t="str">
            <v>A</v>
          </cell>
          <cell r="X684">
            <v>61</v>
          </cell>
        </row>
        <row r="685">
          <cell r="C685">
            <v>42751590</v>
          </cell>
          <cell r="D685" t="str">
            <v>ТОВ "ФОЗЗІ КОММЕРЦ"</v>
          </cell>
          <cell r="E685">
            <v>45840.463900000002</v>
          </cell>
          <cell r="F685">
            <v>45658</v>
          </cell>
          <cell r="G685" t="str">
            <v>C</v>
          </cell>
          <cell r="H685" t="str">
            <v>D</v>
          </cell>
          <cell r="I685" t="str">
            <v>D</v>
          </cell>
          <cell r="J685" t="str">
            <v>D</v>
          </cell>
          <cell r="K685" t="str">
            <v>C</v>
          </cell>
          <cell r="L685" t="str">
            <v>A</v>
          </cell>
          <cell r="M685" t="str">
            <v>B</v>
          </cell>
          <cell r="N685" t="str">
            <v>A</v>
          </cell>
          <cell r="O685" t="str">
            <v>A</v>
          </cell>
          <cell r="P685" t="str">
            <v>A</v>
          </cell>
          <cell r="Q685" t="str">
            <v>B</v>
          </cell>
          <cell r="R685" t="str">
            <v>A</v>
          </cell>
          <cell r="X685">
            <v>56.4</v>
          </cell>
        </row>
        <row r="686">
          <cell r="C686">
            <v>42751799</v>
          </cell>
          <cell r="D686" t="str">
            <v>ТОВ "Д.ТРЕЙДІНГ"</v>
          </cell>
          <cell r="E686">
            <v>45959.486400000002</v>
          </cell>
          <cell r="F686">
            <v>45658</v>
          </cell>
          <cell r="G686" t="str">
            <v>B</v>
          </cell>
          <cell r="H686" t="str">
            <v>C</v>
          </cell>
          <cell r="I686" t="str">
            <v>C</v>
          </cell>
          <cell r="J686" t="str">
            <v>C</v>
          </cell>
          <cell r="K686" t="str">
            <v>C</v>
          </cell>
          <cell r="L686" t="str">
            <v>A</v>
          </cell>
          <cell r="M686" t="str">
            <v>A</v>
          </cell>
          <cell r="N686" t="str">
            <v>A</v>
          </cell>
          <cell r="O686" t="str">
            <v>A</v>
          </cell>
          <cell r="P686" t="str">
            <v>C</v>
          </cell>
          <cell r="Q686" t="str">
            <v>B</v>
          </cell>
          <cell r="R686" t="str">
            <v>A</v>
          </cell>
          <cell r="X686">
            <v>63</v>
          </cell>
        </row>
        <row r="687">
          <cell r="C687">
            <v>42755772</v>
          </cell>
          <cell r="D687" t="str">
            <v>ТОВ "ФУДДЕЛІВЕРІ ТРЕЙД"</v>
          </cell>
          <cell r="E687">
            <v>45566.718999999997</v>
          </cell>
          <cell r="F687">
            <v>45474</v>
          </cell>
          <cell r="G687" t="str">
            <v>E</v>
          </cell>
          <cell r="H687" t="str">
            <v>B</v>
          </cell>
          <cell r="I687" t="str">
            <v>B</v>
          </cell>
          <cell r="J687" t="str">
            <v>A</v>
          </cell>
          <cell r="K687" t="str">
            <v>D</v>
          </cell>
          <cell r="L687" t="str">
            <v>A</v>
          </cell>
          <cell r="M687" t="str">
            <v>A</v>
          </cell>
          <cell r="N687" t="str">
            <v>B</v>
          </cell>
          <cell r="O687" t="str">
            <v>A</v>
          </cell>
          <cell r="P687" t="str">
            <v>C</v>
          </cell>
          <cell r="Q687" t="str">
            <v>B</v>
          </cell>
          <cell r="R687" t="str">
            <v>A</v>
          </cell>
          <cell r="X687">
            <v>52.9</v>
          </cell>
        </row>
        <row r="688">
          <cell r="C688">
            <v>42777178</v>
          </cell>
          <cell r="D688" t="str">
            <v>ДП "КУПЕР ЕНЕРДЖІ УКРАЇНА"</v>
          </cell>
          <cell r="E688">
            <v>45779.487699999998</v>
          </cell>
          <cell r="F688">
            <v>45658</v>
          </cell>
          <cell r="G688" t="str">
            <v>E</v>
          </cell>
          <cell r="H688" t="str">
            <v>B</v>
          </cell>
          <cell r="I688" t="str">
            <v>A</v>
          </cell>
          <cell r="J688" t="str">
            <v>A</v>
          </cell>
          <cell r="K688" t="str">
            <v>D</v>
          </cell>
          <cell r="L688" t="str">
            <v>A</v>
          </cell>
          <cell r="M688" t="str">
            <v>A</v>
          </cell>
          <cell r="N688" t="str">
            <v>A</v>
          </cell>
          <cell r="O688" t="str">
            <v>A</v>
          </cell>
          <cell r="P688" t="str">
            <v>B</v>
          </cell>
          <cell r="Q688" t="str">
            <v>B</v>
          </cell>
          <cell r="R688" t="str">
            <v>B</v>
          </cell>
          <cell r="X688">
            <v>50.000000000000007</v>
          </cell>
        </row>
        <row r="689">
          <cell r="C689">
            <v>42781357</v>
          </cell>
          <cell r="D689" t="str">
            <v>ТОВ "АСТРОБІЛД"</v>
          </cell>
          <cell r="E689">
            <v>45904.402699999999</v>
          </cell>
          <cell r="F689">
            <v>45839</v>
          </cell>
          <cell r="G689" t="str">
            <v>E</v>
          </cell>
          <cell r="H689" t="str">
            <v>C</v>
          </cell>
          <cell r="I689" t="str">
            <v>D</v>
          </cell>
          <cell r="J689" t="str">
            <v>B</v>
          </cell>
          <cell r="K689" t="str">
            <v>D</v>
          </cell>
          <cell r="L689" t="str">
            <v>B</v>
          </cell>
          <cell r="M689" t="str">
            <v>B</v>
          </cell>
          <cell r="N689" t="str">
            <v>A</v>
          </cell>
          <cell r="O689" t="str">
            <v>A</v>
          </cell>
          <cell r="P689" t="str">
            <v>C</v>
          </cell>
          <cell r="Q689" t="str">
            <v>C</v>
          </cell>
          <cell r="R689" t="str">
            <v>C</v>
          </cell>
          <cell r="X689">
            <v>31.6</v>
          </cell>
        </row>
        <row r="690">
          <cell r="C690">
            <v>42798439</v>
          </cell>
          <cell r="D690" t="str">
            <v>ТОВ "МК-РІТЕЙЛ"</v>
          </cell>
          <cell r="E690">
            <v>45723.669000000002</v>
          </cell>
          <cell r="F690">
            <v>45566</v>
          </cell>
          <cell r="G690" t="str">
            <v>E</v>
          </cell>
          <cell r="H690" t="str">
            <v>B</v>
          </cell>
          <cell r="I690" t="str">
            <v>B</v>
          </cell>
          <cell r="J690" t="str">
            <v>A</v>
          </cell>
          <cell r="K690" t="str">
            <v>D</v>
          </cell>
          <cell r="L690" t="str">
            <v>B</v>
          </cell>
          <cell r="M690" t="str">
            <v>A</v>
          </cell>
          <cell r="N690" t="str">
            <v>C</v>
          </cell>
          <cell r="O690" t="str">
            <v>B</v>
          </cell>
          <cell r="P690" t="str">
            <v>C</v>
          </cell>
          <cell r="Q690" t="str">
            <v>B</v>
          </cell>
          <cell r="R690" t="str">
            <v>C</v>
          </cell>
          <cell r="X690">
            <v>37</v>
          </cell>
        </row>
        <row r="691">
          <cell r="C691">
            <v>42803218</v>
          </cell>
          <cell r="D691" t="str">
            <v>ТОВ "РБ-ТРЕЙДИНГ"</v>
          </cell>
          <cell r="E691">
            <v>45803.8004</v>
          </cell>
          <cell r="F691">
            <v>45658</v>
          </cell>
          <cell r="G691" t="str">
            <v>E</v>
          </cell>
          <cell r="H691" t="str">
            <v>A</v>
          </cell>
          <cell r="I691" t="str">
            <v>A</v>
          </cell>
          <cell r="J691" t="str">
            <v>B</v>
          </cell>
          <cell r="K691" t="str">
            <v>E</v>
          </cell>
          <cell r="L691" t="str">
            <v>B</v>
          </cell>
          <cell r="M691" t="str">
            <v>C</v>
          </cell>
          <cell r="N691" t="str">
            <v>B</v>
          </cell>
          <cell r="O691" t="str">
            <v>A</v>
          </cell>
          <cell r="P691" t="str">
            <v>C</v>
          </cell>
          <cell r="Q691" t="str">
            <v>C</v>
          </cell>
          <cell r="R691" t="str">
            <v>A</v>
          </cell>
          <cell r="X691">
            <v>38.299999999999997</v>
          </cell>
        </row>
        <row r="692">
          <cell r="C692">
            <v>42863193</v>
          </cell>
          <cell r="D692" t="str">
            <v>ТОВ "ФУД АГРО КОМ"</v>
          </cell>
          <cell r="E692">
            <v>45545.517</v>
          </cell>
          <cell r="F692">
            <v>45474</v>
          </cell>
          <cell r="G692" t="str">
            <v>E</v>
          </cell>
          <cell r="H692" t="str">
            <v>B</v>
          </cell>
          <cell r="I692" t="str">
            <v>A</v>
          </cell>
          <cell r="J692" t="str">
            <v>B</v>
          </cell>
          <cell r="K692" t="str">
            <v>A</v>
          </cell>
          <cell r="L692" t="str">
            <v>B</v>
          </cell>
          <cell r="M692" t="str">
            <v>A</v>
          </cell>
          <cell r="N692" t="str">
            <v>C</v>
          </cell>
          <cell r="O692" t="str">
            <v>A</v>
          </cell>
          <cell r="P692" t="str">
            <v>B</v>
          </cell>
          <cell r="Q692" t="str">
            <v>B</v>
          </cell>
          <cell r="R692" t="str">
            <v>A</v>
          </cell>
          <cell r="X692">
            <v>51.6</v>
          </cell>
        </row>
        <row r="693">
          <cell r="C693">
            <v>42978615</v>
          </cell>
          <cell r="D693" t="str">
            <v>ТОВ "Євробетон Хмельницький"</v>
          </cell>
          <cell r="E693">
            <v>45748.982900000003</v>
          </cell>
          <cell r="F693">
            <v>45658</v>
          </cell>
          <cell r="G693" t="str">
            <v>E</v>
          </cell>
          <cell r="H693" t="str">
            <v>A</v>
          </cell>
          <cell r="I693" t="str">
            <v>D</v>
          </cell>
          <cell r="J693" t="str">
            <v>A</v>
          </cell>
          <cell r="K693" t="str">
            <v>D</v>
          </cell>
          <cell r="L693" t="str">
            <v>A</v>
          </cell>
          <cell r="M693" t="str">
            <v>A</v>
          </cell>
          <cell r="N693" t="str">
            <v>B</v>
          </cell>
          <cell r="O693" t="str">
            <v>A</v>
          </cell>
          <cell r="P693" t="str">
            <v>C</v>
          </cell>
          <cell r="Q693" t="str">
            <v>B</v>
          </cell>
          <cell r="R693" t="str">
            <v>A</v>
          </cell>
          <cell r="X693">
            <v>48.499999999999993</v>
          </cell>
        </row>
        <row r="694">
          <cell r="C694">
            <v>42983337</v>
          </cell>
          <cell r="D694" t="str">
            <v>ТОВ "АГРО-ОЛІМП 2006"</v>
          </cell>
          <cell r="E694">
            <v>45946.913399999998</v>
          </cell>
          <cell r="F694">
            <v>45658</v>
          </cell>
          <cell r="G694" t="str">
            <v>E</v>
          </cell>
          <cell r="H694" t="str">
            <v>A</v>
          </cell>
          <cell r="I694" t="str">
            <v>A</v>
          </cell>
          <cell r="J694" t="str">
            <v>A</v>
          </cell>
          <cell r="K694" t="str">
            <v>B</v>
          </cell>
          <cell r="L694" t="str">
            <v>A</v>
          </cell>
          <cell r="M694" t="str">
            <v>A</v>
          </cell>
          <cell r="N694" t="str">
            <v>B</v>
          </cell>
          <cell r="O694" t="str">
            <v>A</v>
          </cell>
          <cell r="P694" t="str">
            <v>C</v>
          </cell>
          <cell r="Q694" t="str">
            <v>B</v>
          </cell>
          <cell r="R694" t="str">
            <v>A</v>
          </cell>
          <cell r="X694">
            <v>54.5</v>
          </cell>
        </row>
        <row r="695">
          <cell r="C695">
            <v>43034263</v>
          </cell>
          <cell r="D695" t="str">
            <v>ТОВ "ДЕКА МОТОРС"</v>
          </cell>
          <cell r="E695">
            <v>45593.453000000001</v>
          </cell>
          <cell r="F695">
            <v>45474</v>
          </cell>
          <cell r="G695" t="str">
            <v>E</v>
          </cell>
          <cell r="H695" t="str">
            <v>B</v>
          </cell>
          <cell r="I695" t="str">
            <v>B</v>
          </cell>
          <cell r="J695" t="str">
            <v>A</v>
          </cell>
          <cell r="K695" t="str">
            <v>E</v>
          </cell>
          <cell r="L695" t="str">
            <v>A</v>
          </cell>
          <cell r="M695" t="str">
            <v>A</v>
          </cell>
          <cell r="N695" t="str">
            <v>C</v>
          </cell>
          <cell r="O695" t="str">
            <v>A</v>
          </cell>
          <cell r="P695" t="str">
            <v>C</v>
          </cell>
          <cell r="Q695" t="str">
            <v>B</v>
          </cell>
          <cell r="R695" t="str">
            <v>A</v>
          </cell>
          <cell r="X695">
            <v>50.2</v>
          </cell>
        </row>
        <row r="696">
          <cell r="C696">
            <v>43047534</v>
          </cell>
          <cell r="D696" t="str">
            <v>ТОВ "РЕНДЖИ СТАРОКОСТЯНТИНІВ"</v>
          </cell>
          <cell r="E696">
            <v>45874.419900000001</v>
          </cell>
          <cell r="F696">
            <v>45748</v>
          </cell>
          <cell r="G696" t="str">
            <v>E</v>
          </cell>
          <cell r="H696" t="str">
            <v>D</v>
          </cell>
          <cell r="I696" t="str">
            <v>D</v>
          </cell>
          <cell r="J696" t="str">
            <v>A</v>
          </cell>
          <cell r="K696" t="str">
            <v>B</v>
          </cell>
          <cell r="L696" t="str">
            <v>A</v>
          </cell>
          <cell r="M696" t="str">
            <v>A</v>
          </cell>
          <cell r="N696" t="str">
            <v>B</v>
          </cell>
          <cell r="O696" t="str">
            <v>A</v>
          </cell>
          <cell r="P696" t="str">
            <v>B</v>
          </cell>
          <cell r="Q696" t="str">
            <v>B</v>
          </cell>
          <cell r="R696" t="str">
            <v>C</v>
          </cell>
          <cell r="X696">
            <v>39.900000000000006</v>
          </cell>
        </row>
        <row r="697">
          <cell r="C697">
            <v>43084602</v>
          </cell>
          <cell r="D697" t="str">
            <v>ТОВ "ВК "ПГУ"</v>
          </cell>
          <cell r="E697">
            <v>45772.470099999999</v>
          </cell>
          <cell r="F697">
            <v>45658</v>
          </cell>
          <cell r="G697" t="str">
            <v>E</v>
          </cell>
          <cell r="H697" t="str">
            <v>B</v>
          </cell>
          <cell r="I697" t="str">
            <v>B</v>
          </cell>
          <cell r="J697" t="str">
            <v>A</v>
          </cell>
          <cell r="K697" t="str">
            <v>D</v>
          </cell>
          <cell r="L697" t="str">
            <v>B</v>
          </cell>
          <cell r="M697" t="str">
            <v>A</v>
          </cell>
          <cell r="N697" t="str">
            <v>B</v>
          </cell>
          <cell r="O697" t="str">
            <v>A</v>
          </cell>
          <cell r="P697" t="str">
            <v>C</v>
          </cell>
          <cell r="Q697" t="str">
            <v>B</v>
          </cell>
          <cell r="R697" t="str">
            <v>B</v>
          </cell>
          <cell r="X697">
            <v>44.5</v>
          </cell>
        </row>
        <row r="698">
          <cell r="C698">
            <v>43087740</v>
          </cell>
          <cell r="D698" t="str">
            <v>ТОВ "ДК БЦ2"</v>
          </cell>
          <cell r="E698">
            <v>45614.458500000001</v>
          </cell>
          <cell r="F698">
            <v>45474</v>
          </cell>
          <cell r="G698" t="str">
            <v>E</v>
          </cell>
          <cell r="H698" t="str">
            <v>C</v>
          </cell>
          <cell r="I698" t="str">
            <v>A</v>
          </cell>
          <cell r="J698" t="str">
            <v>A</v>
          </cell>
          <cell r="K698" t="str">
            <v>D</v>
          </cell>
          <cell r="L698" t="str">
            <v>A</v>
          </cell>
          <cell r="M698" t="str">
            <v>A</v>
          </cell>
          <cell r="N698" t="str">
            <v>A</v>
          </cell>
          <cell r="O698" t="str">
            <v>A</v>
          </cell>
          <cell r="P698" t="str">
            <v>B</v>
          </cell>
          <cell r="Q698" t="str">
            <v>B</v>
          </cell>
          <cell r="R698" t="str">
            <v>C</v>
          </cell>
          <cell r="X698">
            <v>46</v>
          </cell>
        </row>
        <row r="699">
          <cell r="C699">
            <v>43096424</v>
          </cell>
          <cell r="D699" t="str">
            <v>ТОВ "ВІН Б-52"</v>
          </cell>
          <cell r="E699">
            <v>45912.623</v>
          </cell>
          <cell r="F699">
            <v>45748</v>
          </cell>
          <cell r="G699" t="str">
            <v>E</v>
          </cell>
          <cell r="H699" t="str">
            <v>C</v>
          </cell>
          <cell r="I699" t="str">
            <v>B</v>
          </cell>
          <cell r="J699" t="str">
            <v>A</v>
          </cell>
          <cell r="K699" t="str">
            <v>D</v>
          </cell>
          <cell r="L699" t="str">
            <v>B</v>
          </cell>
          <cell r="M699" t="str">
            <v>A</v>
          </cell>
          <cell r="N699" t="str">
            <v>B</v>
          </cell>
          <cell r="O699" t="str">
            <v>A</v>
          </cell>
          <cell r="P699" t="str">
            <v>C</v>
          </cell>
          <cell r="Q699" t="str">
            <v>B</v>
          </cell>
          <cell r="R699" t="str">
            <v>B</v>
          </cell>
          <cell r="X699">
            <v>42.899999999999991</v>
          </cell>
        </row>
        <row r="700">
          <cell r="C700">
            <v>43162182</v>
          </cell>
          <cell r="D700" t="str">
            <v>ТОВ "ВЕНТА РІТЕЙЛ"</v>
          </cell>
          <cell r="E700">
            <v>45895.411399999997</v>
          </cell>
          <cell r="F700">
            <v>45748</v>
          </cell>
          <cell r="G700" t="str">
            <v>B</v>
          </cell>
          <cell r="H700" t="str">
            <v>A</v>
          </cell>
          <cell r="I700" t="str">
            <v>B</v>
          </cell>
          <cell r="J700" t="str">
            <v>D</v>
          </cell>
          <cell r="K700" t="str">
            <v>D</v>
          </cell>
          <cell r="L700" t="str">
            <v>B</v>
          </cell>
          <cell r="M700" t="str">
            <v>A</v>
          </cell>
          <cell r="N700" t="str">
            <v>B</v>
          </cell>
          <cell r="O700" t="str">
            <v>A</v>
          </cell>
          <cell r="P700" t="str">
            <v>C</v>
          </cell>
          <cell r="Q700" t="str">
            <v>C</v>
          </cell>
          <cell r="R700" t="str">
            <v>C</v>
          </cell>
          <cell r="X700">
            <v>58.7</v>
          </cell>
        </row>
        <row r="701">
          <cell r="C701">
            <v>43173964</v>
          </cell>
          <cell r="D701" t="str">
            <v>ТОВ"АЛД ІНЖИНІРИНГ ТА БУДІВНИЦТВО"</v>
          </cell>
          <cell r="E701">
            <v>45749.628700000001</v>
          </cell>
          <cell r="F701">
            <v>45658</v>
          </cell>
          <cell r="G701" t="str">
            <v>E</v>
          </cell>
          <cell r="H701" t="str">
            <v>B</v>
          </cell>
          <cell r="I701" t="str">
            <v>A</v>
          </cell>
          <cell r="J701" t="str">
            <v>A</v>
          </cell>
          <cell r="K701" t="str">
            <v>D</v>
          </cell>
          <cell r="L701" t="str">
            <v>A</v>
          </cell>
          <cell r="M701" t="str">
            <v>A</v>
          </cell>
          <cell r="N701" t="str">
            <v>B</v>
          </cell>
          <cell r="O701" t="str">
            <v>A</v>
          </cell>
          <cell r="P701" t="str">
            <v>B</v>
          </cell>
          <cell r="Q701" t="str">
            <v>B</v>
          </cell>
          <cell r="R701" t="str">
            <v>A</v>
          </cell>
          <cell r="X701">
            <v>50.300000000000004</v>
          </cell>
        </row>
        <row r="702">
          <cell r="C702">
            <v>43185964</v>
          </cell>
          <cell r="D702" t="str">
            <v>ТОВ "НАФТОБІЗНЕС КОНТРАКТ"</v>
          </cell>
          <cell r="E702">
            <v>45665.7255</v>
          </cell>
          <cell r="F702">
            <v>45566</v>
          </cell>
          <cell r="G702" t="str">
            <v>D</v>
          </cell>
          <cell r="H702" t="str">
            <v>B</v>
          </cell>
          <cell r="I702" t="str">
            <v>B</v>
          </cell>
          <cell r="J702" t="str">
            <v>D</v>
          </cell>
          <cell r="K702" t="str">
            <v>C</v>
          </cell>
          <cell r="L702" t="str">
            <v>A</v>
          </cell>
          <cell r="M702" t="str">
            <v>A</v>
          </cell>
          <cell r="N702" t="str">
            <v>B</v>
          </cell>
          <cell r="O702" t="str">
            <v>A</v>
          </cell>
          <cell r="P702" t="str">
            <v>C</v>
          </cell>
          <cell r="Q702" t="str">
            <v>B</v>
          </cell>
          <cell r="R702" t="str">
            <v>B</v>
          </cell>
          <cell r="X702">
            <v>63.7</v>
          </cell>
        </row>
        <row r="703">
          <cell r="C703">
            <v>43192107</v>
          </cell>
          <cell r="D703" t="str">
            <v>ТОВ "ВА АГРО ЮКРЕЙН"</v>
          </cell>
          <cell r="E703">
            <v>45845.7716</v>
          </cell>
          <cell r="F703">
            <v>45748</v>
          </cell>
          <cell r="G703" t="str">
            <v>E</v>
          </cell>
          <cell r="H703" t="str">
            <v>A</v>
          </cell>
          <cell r="I703" t="str">
            <v>A</v>
          </cell>
          <cell r="J703" t="str">
            <v>A</v>
          </cell>
          <cell r="K703" t="str">
            <v>C</v>
          </cell>
          <cell r="L703" t="str">
            <v>A</v>
          </cell>
          <cell r="M703" t="str">
            <v>A</v>
          </cell>
          <cell r="N703" t="str">
            <v>A</v>
          </cell>
          <cell r="O703" t="str">
            <v>A</v>
          </cell>
          <cell r="P703" t="str">
            <v>C</v>
          </cell>
          <cell r="Q703" t="str">
            <v>B</v>
          </cell>
          <cell r="R703" t="str">
            <v>A</v>
          </cell>
          <cell r="X703">
            <v>57</v>
          </cell>
        </row>
        <row r="704">
          <cell r="C704">
            <v>43221188</v>
          </cell>
          <cell r="D704" t="str">
            <v>ТОВ "МЕЙКАП ТРЕЙДІНГ"</v>
          </cell>
          <cell r="E704">
            <v>45869.487999999998</v>
          </cell>
          <cell r="F704">
            <v>45839</v>
          </cell>
          <cell r="G704" t="str">
            <v>C</v>
          </cell>
          <cell r="H704" t="str">
            <v>C</v>
          </cell>
          <cell r="I704" t="str">
            <v>B</v>
          </cell>
          <cell r="J704" t="str">
            <v>B</v>
          </cell>
          <cell r="K704" t="str">
            <v>B</v>
          </cell>
          <cell r="L704" t="str">
            <v>B</v>
          </cell>
          <cell r="M704" t="str">
            <v>A</v>
          </cell>
          <cell r="N704" t="str">
            <v>A</v>
          </cell>
          <cell r="O704" t="str">
            <v>A</v>
          </cell>
          <cell r="P704" t="str">
            <v>C</v>
          </cell>
          <cell r="Q704" t="str">
            <v>C</v>
          </cell>
          <cell r="R704" t="str">
            <v>A</v>
          </cell>
          <cell r="X704">
            <v>58.399999999999991</v>
          </cell>
        </row>
        <row r="705">
          <cell r="C705">
            <v>43248704</v>
          </cell>
          <cell r="D705" t="str">
            <v>ТОВ "МОДЕНА УКРАЇНА"</v>
          </cell>
          <cell r="E705">
            <v>45668.767200000002</v>
          </cell>
          <cell r="F705">
            <v>45566</v>
          </cell>
          <cell r="G705" t="str">
            <v>E</v>
          </cell>
          <cell r="H705" t="str">
            <v>C</v>
          </cell>
          <cell r="I705" t="str">
            <v>B</v>
          </cell>
          <cell r="J705" t="str">
            <v>B</v>
          </cell>
          <cell r="K705" t="str">
            <v>B</v>
          </cell>
          <cell r="L705" t="str">
            <v>B</v>
          </cell>
          <cell r="M705" t="str">
            <v>A</v>
          </cell>
          <cell r="N705" t="str">
            <v>B</v>
          </cell>
          <cell r="O705" t="str">
            <v>A</v>
          </cell>
          <cell r="P705" t="str">
            <v>B</v>
          </cell>
          <cell r="Q705" t="str">
            <v>B</v>
          </cell>
          <cell r="R705" t="str">
            <v>B</v>
          </cell>
          <cell r="X705">
            <v>51.1</v>
          </cell>
        </row>
        <row r="706">
          <cell r="C706">
            <v>43258230</v>
          </cell>
          <cell r="D706" t="str">
            <v>ТОВ "СТАНДАРТ ОЙЛ УКРАЇНА"</v>
          </cell>
          <cell r="E706">
            <v>45932</v>
          </cell>
          <cell r="F706">
            <v>45839</v>
          </cell>
          <cell r="G706" t="str">
            <v>E</v>
          </cell>
          <cell r="H706" t="str">
            <v>B</v>
          </cell>
          <cell r="I706" t="str">
            <v>A</v>
          </cell>
          <cell r="J706" t="str">
            <v>A</v>
          </cell>
          <cell r="K706" t="str">
            <v>D</v>
          </cell>
          <cell r="L706" t="str">
            <v>A</v>
          </cell>
          <cell r="M706" t="str">
            <v>A</v>
          </cell>
          <cell r="N706" t="str">
            <v>B</v>
          </cell>
          <cell r="O706" t="str">
            <v>A</v>
          </cell>
          <cell r="P706" t="str">
            <v>C</v>
          </cell>
          <cell r="Q706" t="str">
            <v>B</v>
          </cell>
          <cell r="R706" t="str">
            <v>A</v>
          </cell>
          <cell r="X706">
            <v>48.5</v>
          </cell>
        </row>
        <row r="707">
          <cell r="C707">
            <v>43265824</v>
          </cell>
          <cell r="D707" t="str">
            <v>ТОВ "Екобройлер"</v>
          </cell>
          <cell r="E707">
            <v>45958.760799999996</v>
          </cell>
          <cell r="F707">
            <v>45658</v>
          </cell>
          <cell r="G707" t="str">
            <v>E</v>
          </cell>
          <cell r="H707" t="str">
            <v>A</v>
          </cell>
          <cell r="I707" t="str">
            <v>B</v>
          </cell>
          <cell r="J707" t="str">
            <v>B</v>
          </cell>
          <cell r="K707" t="str">
            <v>D</v>
          </cell>
          <cell r="L707" t="str">
            <v>A</v>
          </cell>
          <cell r="M707" t="str">
            <v>A</v>
          </cell>
          <cell r="N707" t="str">
            <v>B</v>
          </cell>
          <cell r="O707" t="str">
            <v>A</v>
          </cell>
          <cell r="P707" t="str">
            <v>C</v>
          </cell>
          <cell r="Q707" t="str">
            <v>B</v>
          </cell>
          <cell r="R707" t="str">
            <v>A</v>
          </cell>
          <cell r="X707">
            <v>58.1</v>
          </cell>
        </row>
        <row r="708">
          <cell r="C708">
            <v>43301542</v>
          </cell>
          <cell r="D708" t="str">
            <v>ТОВ"КУЙДИЧ"</v>
          </cell>
          <cell r="E708">
            <v>45826.767599999999</v>
          </cell>
          <cell r="F708">
            <v>45748</v>
          </cell>
          <cell r="G708" t="str">
            <v>E</v>
          </cell>
          <cell r="H708" t="str">
            <v>B</v>
          </cell>
          <cell r="I708" t="str">
            <v>B</v>
          </cell>
          <cell r="J708" t="str">
            <v>A</v>
          </cell>
          <cell r="K708" t="str">
            <v>D</v>
          </cell>
          <cell r="L708" t="str">
            <v>B</v>
          </cell>
          <cell r="M708" t="str">
            <v>A</v>
          </cell>
          <cell r="N708" t="str">
            <v>B</v>
          </cell>
          <cell r="O708" t="str">
            <v>A</v>
          </cell>
          <cell r="P708" t="str">
            <v>C</v>
          </cell>
          <cell r="Q708" t="str">
            <v>C</v>
          </cell>
          <cell r="R708" t="str">
            <v>A</v>
          </cell>
          <cell r="X708">
            <v>46.3</v>
          </cell>
        </row>
        <row r="709">
          <cell r="C709">
            <v>43321291</v>
          </cell>
          <cell r="D709" t="str">
            <v>ТОВ "МІКСМАРТ"</v>
          </cell>
          <cell r="E709">
            <v>45762.612999999998</v>
          </cell>
          <cell r="F709">
            <v>45658</v>
          </cell>
          <cell r="G709" t="str">
            <v>E</v>
          </cell>
          <cell r="H709" t="str">
            <v>B</v>
          </cell>
          <cell r="I709" t="str">
            <v>A</v>
          </cell>
          <cell r="J709" t="str">
            <v>A</v>
          </cell>
          <cell r="K709" t="str">
            <v>D</v>
          </cell>
          <cell r="L709" t="str">
            <v>A</v>
          </cell>
          <cell r="M709" t="str">
            <v>A</v>
          </cell>
          <cell r="N709" t="str">
            <v>A</v>
          </cell>
          <cell r="O709" t="str">
            <v>A</v>
          </cell>
          <cell r="P709" t="str">
            <v>C</v>
          </cell>
          <cell r="Q709" t="str">
            <v>B</v>
          </cell>
          <cell r="R709" t="str">
            <v>A</v>
          </cell>
          <cell r="X709">
            <v>51.800000000000004</v>
          </cell>
        </row>
        <row r="710">
          <cell r="C710">
            <v>43325558</v>
          </cell>
          <cell r="D710" t="str">
            <v>ТОВ "КІВІСМАРТЮА"</v>
          </cell>
          <cell r="E710">
            <v>45804.666599999997</v>
          </cell>
          <cell r="F710">
            <v>45658</v>
          </cell>
          <cell r="G710" t="str">
            <v>E</v>
          </cell>
          <cell r="H710" t="str">
            <v>C</v>
          </cell>
          <cell r="I710" t="str">
            <v>A</v>
          </cell>
          <cell r="J710" t="str">
            <v>C</v>
          </cell>
          <cell r="K710" t="str">
            <v>D</v>
          </cell>
          <cell r="L710" t="str">
            <v>B</v>
          </cell>
          <cell r="M710" t="str">
            <v>B</v>
          </cell>
          <cell r="N710" t="str">
            <v>B</v>
          </cell>
          <cell r="O710" t="str">
            <v>A</v>
          </cell>
          <cell r="P710" t="str">
            <v>C</v>
          </cell>
          <cell r="Q710" t="str">
            <v>B</v>
          </cell>
          <cell r="R710" t="str">
            <v>B</v>
          </cell>
          <cell r="X710">
            <v>37.699999999999996</v>
          </cell>
        </row>
        <row r="711">
          <cell r="C711">
            <v>43338593</v>
          </cell>
          <cell r="D711" t="str">
            <v>ТОВ "НОВОТЕРМ"</v>
          </cell>
          <cell r="E711">
            <v>45764.534</v>
          </cell>
          <cell r="F711">
            <v>45658</v>
          </cell>
          <cell r="G711" t="str">
            <v>E</v>
          </cell>
          <cell r="H711" t="str">
            <v>C</v>
          </cell>
          <cell r="I711" t="str">
            <v>B</v>
          </cell>
          <cell r="J711" t="str">
            <v>B</v>
          </cell>
          <cell r="K711" t="str">
            <v>E</v>
          </cell>
          <cell r="L711" t="str">
            <v>A</v>
          </cell>
          <cell r="M711" t="str">
            <v>B</v>
          </cell>
          <cell r="N711" t="str">
            <v>A</v>
          </cell>
          <cell r="O711" t="str">
            <v>B</v>
          </cell>
          <cell r="P711" t="str">
            <v>C</v>
          </cell>
          <cell r="Q711" t="str">
            <v>B</v>
          </cell>
          <cell r="R711" t="str">
            <v>C</v>
          </cell>
          <cell r="X711">
            <v>40.200000000000003</v>
          </cell>
        </row>
        <row r="712">
          <cell r="C712">
            <v>43418783</v>
          </cell>
          <cell r="D712" t="str">
            <v>ТОВ "ОПЕРАТОР ЕНЕРГІЇ"</v>
          </cell>
          <cell r="E712">
            <v>45691</v>
          </cell>
          <cell r="F712">
            <v>45566</v>
          </cell>
          <cell r="G712" t="str">
            <v>E</v>
          </cell>
          <cell r="H712" t="str">
            <v>B</v>
          </cell>
          <cell r="I712" t="str">
            <v>B</v>
          </cell>
          <cell r="J712" t="str">
            <v>B</v>
          </cell>
          <cell r="K712" t="str">
            <v>D</v>
          </cell>
          <cell r="L712" t="str">
            <v>B</v>
          </cell>
          <cell r="M712" t="str">
            <v>A</v>
          </cell>
          <cell r="N712" t="str">
            <v>B</v>
          </cell>
          <cell r="O712" t="str">
            <v>A</v>
          </cell>
          <cell r="P712" t="str">
            <v>C</v>
          </cell>
          <cell r="Q712" t="str">
            <v>B</v>
          </cell>
          <cell r="R712" t="str">
            <v>C</v>
          </cell>
          <cell r="X712">
            <v>44.9</v>
          </cell>
        </row>
        <row r="713">
          <cell r="C713">
            <v>43433487</v>
          </cell>
          <cell r="D713" t="str">
            <v>ТОВ "ВІНДЕР"</v>
          </cell>
          <cell r="E713">
            <v>45971.514499999997</v>
          </cell>
          <cell r="F713">
            <v>45748</v>
          </cell>
          <cell r="G713" t="str">
            <v>E</v>
          </cell>
          <cell r="H713" t="str">
            <v>B</v>
          </cell>
          <cell r="I713" t="str">
            <v>B</v>
          </cell>
          <cell r="J713" t="str">
            <v>A</v>
          </cell>
          <cell r="K713" t="str">
            <v>E</v>
          </cell>
          <cell r="L713" t="str">
            <v>B</v>
          </cell>
          <cell r="M713" t="str">
            <v>A</v>
          </cell>
          <cell r="N713" t="str">
            <v>B</v>
          </cell>
          <cell r="O713" t="str">
            <v>A</v>
          </cell>
          <cell r="P713" t="str">
            <v>C</v>
          </cell>
          <cell r="Q713" t="str">
            <v>B</v>
          </cell>
          <cell r="R713" t="str">
            <v>A</v>
          </cell>
          <cell r="X713">
            <v>46.9</v>
          </cell>
        </row>
        <row r="714">
          <cell r="C714">
            <v>43438129</v>
          </cell>
          <cell r="D714" t="str">
            <v>ТОВ "СЛАВСКІ"</v>
          </cell>
          <cell r="E714">
            <v>45853.710099999997</v>
          </cell>
          <cell r="F714">
            <v>45748</v>
          </cell>
          <cell r="G714" t="str">
            <v>D</v>
          </cell>
          <cell r="H714" t="str">
            <v>C</v>
          </cell>
          <cell r="I714" t="str">
            <v>A</v>
          </cell>
          <cell r="J714" t="str">
            <v>A</v>
          </cell>
          <cell r="K714" t="str">
            <v>C</v>
          </cell>
          <cell r="L714" t="str">
            <v>A</v>
          </cell>
          <cell r="M714" t="str">
            <v>A</v>
          </cell>
          <cell r="N714" t="str">
            <v>B</v>
          </cell>
          <cell r="O714" t="str">
            <v>A</v>
          </cell>
          <cell r="P714" t="str">
            <v>B</v>
          </cell>
          <cell r="Q714" t="str">
            <v>B</v>
          </cell>
          <cell r="R714" t="str">
            <v>B</v>
          </cell>
          <cell r="X714">
            <v>51.500000000000007</v>
          </cell>
        </row>
        <row r="715">
          <cell r="C715">
            <v>43438883</v>
          </cell>
          <cell r="D715" t="str">
            <v>ТОВ "УКРКАПІТАЛ ТРЕЙД"</v>
          </cell>
          <cell r="E715">
            <v>45705.537300000004</v>
          </cell>
          <cell r="F715">
            <v>45566</v>
          </cell>
          <cell r="G715" t="str">
            <v>E</v>
          </cell>
          <cell r="H715" t="str">
            <v>B</v>
          </cell>
          <cell r="I715" t="str">
            <v>A</v>
          </cell>
          <cell r="J715" t="str">
            <v>A</v>
          </cell>
          <cell r="K715" t="str">
            <v>D</v>
          </cell>
          <cell r="L715" t="str">
            <v>A</v>
          </cell>
          <cell r="M715" t="str">
            <v>A</v>
          </cell>
          <cell r="N715" t="str">
            <v>B</v>
          </cell>
          <cell r="O715" t="str">
            <v>A</v>
          </cell>
          <cell r="P715" t="str">
            <v>B</v>
          </cell>
          <cell r="Q715" t="str">
            <v>B</v>
          </cell>
          <cell r="R715" t="str">
            <v>A</v>
          </cell>
          <cell r="X715">
            <v>50.300000000000004</v>
          </cell>
        </row>
        <row r="716">
          <cell r="C716">
            <v>43440447</v>
          </cell>
          <cell r="D716" t="str">
            <v>ТОВ "ЛЬВІВІМПОРТ"</v>
          </cell>
          <cell r="E716">
            <v>45938.493799999997</v>
          </cell>
          <cell r="F716">
            <v>45839</v>
          </cell>
          <cell r="G716" t="str">
            <v>E</v>
          </cell>
          <cell r="H716" t="str">
            <v>C</v>
          </cell>
          <cell r="I716" t="str">
            <v>B</v>
          </cell>
          <cell r="J716" t="str">
            <v>A</v>
          </cell>
          <cell r="K716" t="str">
            <v>D</v>
          </cell>
          <cell r="L716" t="str">
            <v>B</v>
          </cell>
          <cell r="M716" t="str">
            <v>B</v>
          </cell>
          <cell r="N716" t="str">
            <v>B</v>
          </cell>
          <cell r="O716" t="str">
            <v>A</v>
          </cell>
          <cell r="P716" t="str">
            <v>C</v>
          </cell>
          <cell r="Q716" t="str">
            <v>C</v>
          </cell>
          <cell r="R716" t="str">
            <v>A</v>
          </cell>
          <cell r="X716">
            <v>38.299999999999997</v>
          </cell>
        </row>
        <row r="717">
          <cell r="C717">
            <v>43469326</v>
          </cell>
          <cell r="D717" t="str">
            <v>ТОВ "НОВА ШИНА"</v>
          </cell>
          <cell r="E717">
            <v>45631.604599999999</v>
          </cell>
          <cell r="F717">
            <v>45566</v>
          </cell>
          <cell r="G717" t="str">
            <v>E</v>
          </cell>
          <cell r="H717" t="str">
            <v>B</v>
          </cell>
          <cell r="I717" t="str">
            <v>B</v>
          </cell>
          <cell r="J717" t="str">
            <v>B</v>
          </cell>
          <cell r="K717" t="str">
            <v>B</v>
          </cell>
          <cell r="L717" t="str">
            <v>A</v>
          </cell>
          <cell r="M717" t="str">
            <v>A</v>
          </cell>
          <cell r="N717" t="str">
            <v>B</v>
          </cell>
          <cell r="O717" t="str">
            <v>A</v>
          </cell>
          <cell r="P717" t="str">
            <v>A</v>
          </cell>
          <cell r="Q717" t="str">
            <v>B</v>
          </cell>
          <cell r="R717" t="str">
            <v>A</v>
          </cell>
          <cell r="X717">
            <v>63.500000000000007</v>
          </cell>
        </row>
        <row r="718">
          <cell r="C718">
            <v>43483826</v>
          </cell>
          <cell r="D718" t="str">
            <v>ТОВ "ІНТЕРДЖУС БУКОВИНА"</v>
          </cell>
          <cell r="E718">
            <v>45855.744400000003</v>
          </cell>
          <cell r="F718">
            <v>45748</v>
          </cell>
          <cell r="G718" t="str">
            <v>C</v>
          </cell>
          <cell r="H718" t="str">
            <v>B</v>
          </cell>
          <cell r="I718" t="str">
            <v>B</v>
          </cell>
          <cell r="J718" t="str">
            <v>C</v>
          </cell>
          <cell r="K718" t="str">
            <v>C</v>
          </cell>
          <cell r="L718" t="str">
            <v>B</v>
          </cell>
          <cell r="M718" t="str">
            <v>A</v>
          </cell>
          <cell r="N718" t="str">
            <v>A</v>
          </cell>
          <cell r="O718" t="str">
            <v>A</v>
          </cell>
          <cell r="P718" t="str">
            <v>A</v>
          </cell>
          <cell r="Q718" t="str">
            <v>A</v>
          </cell>
          <cell r="R718" t="str">
            <v>B</v>
          </cell>
          <cell r="X718">
            <v>66.800000000000011</v>
          </cell>
        </row>
        <row r="719">
          <cell r="C719">
            <v>43486570</v>
          </cell>
          <cell r="D719" t="str">
            <v>ТОВ "СТРИМ ТЕХНО"</v>
          </cell>
          <cell r="E719">
            <v>45964.677600000003</v>
          </cell>
          <cell r="F719">
            <v>45839</v>
          </cell>
          <cell r="G719" t="str">
            <v>E</v>
          </cell>
          <cell r="H719" t="str">
            <v>B</v>
          </cell>
          <cell r="I719" t="str">
            <v>B</v>
          </cell>
          <cell r="J719" t="str">
            <v>A</v>
          </cell>
          <cell r="K719" t="str">
            <v>B</v>
          </cell>
          <cell r="L719" t="str">
            <v>A</v>
          </cell>
          <cell r="M719" t="str">
            <v>A</v>
          </cell>
          <cell r="N719" t="str">
            <v>B</v>
          </cell>
          <cell r="O719" t="str">
            <v>A</v>
          </cell>
          <cell r="P719" t="str">
            <v>C</v>
          </cell>
          <cell r="Q719" t="str">
            <v>B</v>
          </cell>
          <cell r="R719" t="str">
            <v>A</v>
          </cell>
          <cell r="X719">
            <v>56.500000000000007</v>
          </cell>
        </row>
        <row r="720">
          <cell r="C720">
            <v>43491842</v>
          </cell>
          <cell r="D720" t="str">
            <v>ТОВ "ГУДГРЕЙН"</v>
          </cell>
          <cell r="E720">
            <v>45982.425900000002</v>
          </cell>
          <cell r="F720">
            <v>45931</v>
          </cell>
          <cell r="G720" t="str">
            <v>E</v>
          </cell>
          <cell r="H720" t="str">
            <v>B</v>
          </cell>
          <cell r="I720" t="str">
            <v>B</v>
          </cell>
          <cell r="J720" t="str">
            <v>A</v>
          </cell>
          <cell r="K720" t="str">
            <v>D</v>
          </cell>
          <cell r="L720" t="str">
            <v>A</v>
          </cell>
          <cell r="M720" t="str">
            <v>A</v>
          </cell>
          <cell r="N720" t="str">
            <v>B</v>
          </cell>
          <cell r="O720" t="str">
            <v>A</v>
          </cell>
          <cell r="P720" t="str">
            <v>C</v>
          </cell>
          <cell r="Q720" t="str">
            <v>B</v>
          </cell>
          <cell r="R720" t="str">
            <v>A</v>
          </cell>
          <cell r="X720">
            <v>52.9</v>
          </cell>
        </row>
        <row r="721">
          <cell r="C721">
            <v>43501436</v>
          </cell>
          <cell r="D721" t="str">
            <v>ТОВ "-ОСК-"</v>
          </cell>
          <cell r="E721">
            <v>45859.740899999997</v>
          </cell>
          <cell r="F721">
            <v>45748</v>
          </cell>
          <cell r="G721" t="str">
            <v>E</v>
          </cell>
          <cell r="H721" t="str">
            <v>A</v>
          </cell>
          <cell r="I721" t="str">
            <v>D</v>
          </cell>
          <cell r="J721" t="str">
            <v>A</v>
          </cell>
          <cell r="K721" t="str">
            <v>A</v>
          </cell>
          <cell r="L721" t="str">
            <v>B</v>
          </cell>
          <cell r="M721" t="str">
            <v>A</v>
          </cell>
          <cell r="N721" t="str">
            <v>B</v>
          </cell>
          <cell r="O721" t="str">
            <v>A</v>
          </cell>
          <cell r="P721" t="str">
            <v>C</v>
          </cell>
          <cell r="Q721" t="str">
            <v>B</v>
          </cell>
          <cell r="R721" t="str">
            <v>A</v>
          </cell>
          <cell r="X721">
            <v>48.499999999999993</v>
          </cell>
        </row>
        <row r="722">
          <cell r="C722">
            <v>43505142</v>
          </cell>
          <cell r="D722" t="str">
            <v>ТОВ "ДК ТРЕЙД 2020"</v>
          </cell>
          <cell r="E722">
            <v>45926.787499999999</v>
          </cell>
          <cell r="F722">
            <v>45839</v>
          </cell>
          <cell r="G722" t="str">
            <v>E</v>
          </cell>
          <cell r="H722" t="str">
            <v>B</v>
          </cell>
          <cell r="I722" t="str">
            <v>B</v>
          </cell>
          <cell r="J722" t="str">
            <v>A</v>
          </cell>
          <cell r="K722" t="str">
            <v>D</v>
          </cell>
          <cell r="L722" t="str">
            <v>A</v>
          </cell>
          <cell r="M722" t="str">
            <v>A</v>
          </cell>
          <cell r="N722" t="str">
            <v>B</v>
          </cell>
          <cell r="O722" t="str">
            <v>A</v>
          </cell>
          <cell r="P722" t="str">
            <v>C</v>
          </cell>
          <cell r="Q722" t="str">
            <v>C</v>
          </cell>
          <cell r="R722" t="str">
            <v>A</v>
          </cell>
          <cell r="X722">
            <v>51.099999999999994</v>
          </cell>
        </row>
        <row r="723">
          <cell r="C723">
            <v>43512956</v>
          </cell>
          <cell r="D723" t="str">
            <v>ТОВ "АЛЬФА ДИСТРИБЬЮШН"</v>
          </cell>
          <cell r="E723">
            <v>45674.584699999999</v>
          </cell>
          <cell r="F723">
            <v>45566</v>
          </cell>
          <cell r="G723" t="str">
            <v>D</v>
          </cell>
          <cell r="H723" t="str">
            <v>B</v>
          </cell>
          <cell r="I723" t="str">
            <v>B</v>
          </cell>
          <cell r="J723" t="str">
            <v>A</v>
          </cell>
          <cell r="K723" t="str">
            <v>D</v>
          </cell>
          <cell r="L723" t="str">
            <v>B</v>
          </cell>
          <cell r="M723" t="str">
            <v>A</v>
          </cell>
          <cell r="N723" t="str">
            <v>B</v>
          </cell>
          <cell r="O723" t="str">
            <v>B</v>
          </cell>
          <cell r="P723" t="str">
            <v>C</v>
          </cell>
          <cell r="Q723" t="str">
            <v>B</v>
          </cell>
          <cell r="R723" t="str">
            <v>C</v>
          </cell>
          <cell r="X723">
            <v>42.1</v>
          </cell>
        </row>
        <row r="724">
          <cell r="C724">
            <v>43516421</v>
          </cell>
          <cell r="D724" t="str">
            <v>ТОВ "ІН ФОРС ГРУП"</v>
          </cell>
          <cell r="E724">
            <v>45735.508099999999</v>
          </cell>
          <cell r="F724">
            <v>45566</v>
          </cell>
          <cell r="G724" t="str">
            <v>E</v>
          </cell>
          <cell r="H724" t="str">
            <v>C</v>
          </cell>
          <cell r="I724" t="str">
            <v>C</v>
          </cell>
          <cell r="J724" t="str">
            <v>A</v>
          </cell>
          <cell r="K724" t="str">
            <v>C</v>
          </cell>
          <cell r="L724" t="str">
            <v>B</v>
          </cell>
          <cell r="M724" t="str">
            <v>A</v>
          </cell>
          <cell r="N724" t="str">
            <v>B</v>
          </cell>
          <cell r="O724" t="str">
            <v>A</v>
          </cell>
          <cell r="P724" t="str">
            <v>C</v>
          </cell>
          <cell r="Q724" t="str">
            <v>B</v>
          </cell>
          <cell r="R724" t="str">
            <v>C</v>
          </cell>
          <cell r="X724">
            <v>35.299999999999997</v>
          </cell>
        </row>
        <row r="725">
          <cell r="C725">
            <v>43526760</v>
          </cell>
          <cell r="D725" t="str">
            <v>ТОВ "ТК ДТ-ЧЕРНІГІВ"</v>
          </cell>
          <cell r="E725">
            <v>45792.39</v>
          </cell>
          <cell r="F725">
            <v>45658</v>
          </cell>
          <cell r="G725" t="str">
            <v>D</v>
          </cell>
          <cell r="H725" t="str">
            <v>A</v>
          </cell>
          <cell r="I725" t="str">
            <v>C</v>
          </cell>
          <cell r="J725" t="str">
            <v>C</v>
          </cell>
          <cell r="K725" t="str">
            <v>E</v>
          </cell>
          <cell r="L725" t="str">
            <v>A</v>
          </cell>
          <cell r="M725" t="str">
            <v>A</v>
          </cell>
          <cell r="N725" t="str">
            <v>C</v>
          </cell>
          <cell r="O725" t="str">
            <v>A</v>
          </cell>
          <cell r="P725" t="str">
            <v>C</v>
          </cell>
          <cell r="Q725" t="str">
            <v>C</v>
          </cell>
          <cell r="R725" t="str">
            <v>B</v>
          </cell>
          <cell r="X725">
            <v>48.4</v>
          </cell>
        </row>
        <row r="726">
          <cell r="C726">
            <v>43561521</v>
          </cell>
          <cell r="D726" t="str">
            <v>ТОВ "Сан Ван Персонал"</v>
          </cell>
          <cell r="E726">
            <v>45852.507299999997</v>
          </cell>
          <cell r="F726">
            <v>45748</v>
          </cell>
          <cell r="G726" t="str">
            <v>D</v>
          </cell>
          <cell r="H726" t="str">
            <v>A</v>
          </cell>
          <cell r="I726" t="str">
            <v>B</v>
          </cell>
          <cell r="J726" t="str">
            <v>C</v>
          </cell>
          <cell r="K726" t="str">
            <v>D</v>
          </cell>
          <cell r="L726" t="str">
            <v>B</v>
          </cell>
          <cell r="M726" t="str">
            <v>B</v>
          </cell>
          <cell r="N726" t="str">
            <v>B</v>
          </cell>
          <cell r="O726" t="str">
            <v>A</v>
          </cell>
          <cell r="P726" t="str">
            <v>A</v>
          </cell>
          <cell r="Q726" t="str">
            <v>C</v>
          </cell>
          <cell r="R726" t="str">
            <v>C</v>
          </cell>
          <cell r="X726">
            <v>49.7</v>
          </cell>
        </row>
        <row r="727">
          <cell r="C727">
            <v>43592481</v>
          </cell>
          <cell r="D727" t="str">
            <v>ТОВ "УТЛ-2"</v>
          </cell>
          <cell r="E727">
            <v>45929.4493</v>
          </cell>
          <cell r="F727">
            <v>45839</v>
          </cell>
          <cell r="G727" t="str">
            <v>D</v>
          </cell>
          <cell r="H727" t="str">
            <v>A</v>
          </cell>
          <cell r="I727" t="str">
            <v>B</v>
          </cell>
          <cell r="J727" t="str">
            <v>C</v>
          </cell>
          <cell r="K727" t="str">
            <v>E</v>
          </cell>
          <cell r="L727" t="str">
            <v>B</v>
          </cell>
          <cell r="M727" t="str">
            <v>A</v>
          </cell>
          <cell r="N727" t="str">
            <v>B</v>
          </cell>
          <cell r="O727" t="str">
            <v>A</v>
          </cell>
          <cell r="P727" t="str">
            <v>C</v>
          </cell>
          <cell r="Q727" t="str">
            <v>A</v>
          </cell>
          <cell r="R727" t="str">
            <v>B</v>
          </cell>
          <cell r="X727">
            <v>57.300000000000004</v>
          </cell>
        </row>
        <row r="728">
          <cell r="C728">
            <v>43593108</v>
          </cell>
          <cell r="D728" t="str">
            <v>ТОВ "МКО ТРАНС-СЕРВІС"</v>
          </cell>
          <cell r="E728">
            <v>45601.797700000003</v>
          </cell>
          <cell r="F728">
            <v>45566</v>
          </cell>
          <cell r="G728" t="str">
            <v>E</v>
          </cell>
          <cell r="H728" t="str">
            <v>B</v>
          </cell>
          <cell r="I728" t="str">
            <v>B</v>
          </cell>
          <cell r="J728" t="str">
            <v>A</v>
          </cell>
          <cell r="K728" t="str">
            <v>D</v>
          </cell>
          <cell r="L728" t="str">
            <v>A</v>
          </cell>
          <cell r="M728" t="str">
            <v>A</v>
          </cell>
          <cell r="N728" t="str">
            <v>A</v>
          </cell>
          <cell r="O728" t="str">
            <v>A</v>
          </cell>
          <cell r="P728" t="str">
            <v>C</v>
          </cell>
          <cell r="Q728" t="str">
            <v>B</v>
          </cell>
          <cell r="R728" t="str">
            <v>A</v>
          </cell>
          <cell r="X728">
            <v>56.199999999999996</v>
          </cell>
        </row>
        <row r="729">
          <cell r="C729">
            <v>43604989</v>
          </cell>
          <cell r="D729" t="str">
            <v>ТОВ "МІРУМ"</v>
          </cell>
          <cell r="E729">
            <v>45933.931400000001</v>
          </cell>
          <cell r="F729">
            <v>45839</v>
          </cell>
          <cell r="G729" t="str">
            <v>E</v>
          </cell>
          <cell r="H729" t="str">
            <v>D</v>
          </cell>
          <cell r="I729" t="str">
            <v>A</v>
          </cell>
          <cell r="J729" t="str">
            <v>B</v>
          </cell>
          <cell r="K729" t="str">
            <v>D</v>
          </cell>
          <cell r="L729" t="str">
            <v>B</v>
          </cell>
          <cell r="M729" t="str">
            <v>B</v>
          </cell>
          <cell r="N729" t="str">
            <v>B</v>
          </cell>
          <cell r="O729" t="str">
            <v>A</v>
          </cell>
          <cell r="P729" t="str">
            <v>C</v>
          </cell>
          <cell r="Q729" t="str">
            <v>B</v>
          </cell>
          <cell r="R729" t="str">
            <v>A</v>
          </cell>
          <cell r="X729">
            <v>34.5</v>
          </cell>
        </row>
        <row r="730">
          <cell r="C730">
            <v>43639643</v>
          </cell>
          <cell r="D730" t="str">
            <v>ТОВ "ЛЕКСКОРП"</v>
          </cell>
          <cell r="E730">
            <v>45826.77</v>
          </cell>
          <cell r="F730">
            <v>45658</v>
          </cell>
          <cell r="G730" t="str">
            <v>D</v>
          </cell>
          <cell r="H730" t="str">
            <v>B</v>
          </cell>
          <cell r="I730" t="str">
            <v>B</v>
          </cell>
          <cell r="J730" t="str">
            <v>B</v>
          </cell>
          <cell r="K730" t="str">
            <v>B</v>
          </cell>
          <cell r="L730" t="str">
            <v>B</v>
          </cell>
          <cell r="M730" t="str">
            <v>A</v>
          </cell>
          <cell r="N730" t="str">
            <v>B</v>
          </cell>
          <cell r="O730" t="str">
            <v>A</v>
          </cell>
          <cell r="P730" t="str">
            <v>C</v>
          </cell>
          <cell r="Q730" t="str">
            <v>C</v>
          </cell>
          <cell r="R730" t="str">
            <v>C</v>
          </cell>
          <cell r="X730">
            <v>50.3</v>
          </cell>
        </row>
        <row r="731">
          <cell r="C731">
            <v>43642500</v>
          </cell>
          <cell r="D731" t="str">
            <v>ТОВ "ФЕРРУМ-СТІЛ"</v>
          </cell>
          <cell r="E731">
            <v>45918.413399999998</v>
          </cell>
          <cell r="F731">
            <v>45839</v>
          </cell>
          <cell r="G731" t="str">
            <v>E</v>
          </cell>
          <cell r="H731" t="str">
            <v>B</v>
          </cell>
          <cell r="I731" t="str">
            <v>B</v>
          </cell>
          <cell r="J731" t="str">
            <v>A</v>
          </cell>
          <cell r="K731" t="str">
            <v>D</v>
          </cell>
          <cell r="L731" t="str">
            <v>A</v>
          </cell>
          <cell r="M731" t="str">
            <v>A</v>
          </cell>
          <cell r="N731" t="str">
            <v>B</v>
          </cell>
          <cell r="O731" t="str">
            <v>A</v>
          </cell>
          <cell r="P731" t="str">
            <v>C</v>
          </cell>
          <cell r="Q731" t="str">
            <v>B</v>
          </cell>
          <cell r="R731" t="str">
            <v>A</v>
          </cell>
          <cell r="X731">
            <v>52.9</v>
          </cell>
        </row>
        <row r="732">
          <cell r="C732">
            <v>43645208</v>
          </cell>
          <cell r="D732" t="str">
            <v>ТОВ "НОВІС ТРЕЙД"</v>
          </cell>
          <cell r="E732">
            <v>45849.693099999997</v>
          </cell>
          <cell r="F732">
            <v>45658</v>
          </cell>
          <cell r="G732" t="str">
            <v>E</v>
          </cell>
          <cell r="H732" t="str">
            <v>A</v>
          </cell>
          <cell r="I732" t="str">
            <v>D</v>
          </cell>
          <cell r="J732" t="str">
            <v>B</v>
          </cell>
          <cell r="K732" t="str">
            <v>D</v>
          </cell>
          <cell r="L732" t="str">
            <v>B</v>
          </cell>
          <cell r="M732" t="str">
            <v>B</v>
          </cell>
          <cell r="N732" t="str">
            <v>B</v>
          </cell>
          <cell r="O732" t="str">
            <v>A</v>
          </cell>
          <cell r="P732" t="str">
            <v>C</v>
          </cell>
          <cell r="Q732" t="str">
            <v>B</v>
          </cell>
          <cell r="R732" t="str">
            <v>B</v>
          </cell>
          <cell r="X732">
            <v>36.5</v>
          </cell>
        </row>
        <row r="733">
          <cell r="C733">
            <v>43656115</v>
          </cell>
          <cell r="D733" t="str">
            <v>ТОВ "УРБАН-МЕНЕДЖМЕНТ"</v>
          </cell>
          <cell r="E733">
            <v>45833.396000000001</v>
          </cell>
          <cell r="F733">
            <v>45658</v>
          </cell>
          <cell r="G733" t="str">
            <v>D</v>
          </cell>
          <cell r="H733" t="str">
            <v>C</v>
          </cell>
          <cell r="I733" t="str">
            <v>B</v>
          </cell>
          <cell r="J733" t="str">
            <v>D</v>
          </cell>
          <cell r="K733" t="str">
            <v>D</v>
          </cell>
          <cell r="L733" t="str">
            <v>B</v>
          </cell>
          <cell r="M733" t="str">
            <v>A</v>
          </cell>
          <cell r="N733" t="str">
            <v>B</v>
          </cell>
          <cell r="O733" t="str">
            <v>A</v>
          </cell>
          <cell r="P733" t="str">
            <v>C</v>
          </cell>
          <cell r="Q733" t="str">
            <v>B</v>
          </cell>
          <cell r="R733" t="str">
            <v>B</v>
          </cell>
          <cell r="X733">
            <v>54.5</v>
          </cell>
        </row>
        <row r="734">
          <cell r="C734">
            <v>43660488</v>
          </cell>
          <cell r="D734" t="str">
            <v>ТОВ "ТІКИЧ ЕНЕРДЖІ"</v>
          </cell>
          <cell r="E734">
            <v>45574.680099999998</v>
          </cell>
          <cell r="F734">
            <v>45474</v>
          </cell>
          <cell r="G734" t="str">
            <v>E</v>
          </cell>
          <cell r="H734" t="str">
            <v>C</v>
          </cell>
          <cell r="I734" t="str">
            <v>A</v>
          </cell>
          <cell r="J734" t="str">
            <v>B</v>
          </cell>
          <cell r="K734" t="str">
            <v>D</v>
          </cell>
          <cell r="L734" t="str">
            <v>B</v>
          </cell>
          <cell r="M734" t="str">
            <v>A</v>
          </cell>
          <cell r="N734" t="str">
            <v>A</v>
          </cell>
          <cell r="O734" t="str">
            <v>A</v>
          </cell>
          <cell r="P734" t="str">
            <v>C</v>
          </cell>
          <cell r="Q734" t="str">
            <v>B</v>
          </cell>
          <cell r="R734" t="str">
            <v>C</v>
          </cell>
          <cell r="X734">
            <v>42.199999999999996</v>
          </cell>
        </row>
        <row r="735">
          <cell r="C735">
            <v>43672556</v>
          </cell>
          <cell r="D735" t="str">
            <v>ТОВ "ЛІО ТРАСТ"</v>
          </cell>
          <cell r="E735">
            <v>45888.693700000003</v>
          </cell>
          <cell r="F735">
            <v>45658</v>
          </cell>
          <cell r="G735" t="str">
            <v>E</v>
          </cell>
          <cell r="H735" t="str">
            <v>B</v>
          </cell>
          <cell r="I735" t="str">
            <v>B</v>
          </cell>
          <cell r="J735" t="str">
            <v>A</v>
          </cell>
          <cell r="K735" t="str">
            <v>D</v>
          </cell>
          <cell r="L735" t="str">
            <v>B</v>
          </cell>
          <cell r="M735" t="str">
            <v>A</v>
          </cell>
          <cell r="N735" t="str">
            <v>B</v>
          </cell>
          <cell r="O735" t="str">
            <v>A</v>
          </cell>
          <cell r="P735" t="str">
            <v>C</v>
          </cell>
          <cell r="Q735" t="str">
            <v>B</v>
          </cell>
          <cell r="R735" t="str">
            <v>C</v>
          </cell>
          <cell r="X735">
            <v>42.1</v>
          </cell>
        </row>
        <row r="736">
          <cell r="C736">
            <v>43674360</v>
          </cell>
          <cell r="D736" t="str">
            <v>ТОВ "ПЗОЛ "ШКОЛА БАЗИС" М.КИЇВ"</v>
          </cell>
          <cell r="E736">
            <v>45926.6057</v>
          </cell>
          <cell r="F736">
            <v>45839</v>
          </cell>
          <cell r="G736" t="str">
            <v>E</v>
          </cell>
          <cell r="H736" t="str">
            <v>B</v>
          </cell>
          <cell r="I736" t="str">
            <v>B</v>
          </cell>
          <cell r="J736" t="str">
            <v>A</v>
          </cell>
          <cell r="K736" t="str">
            <v>E</v>
          </cell>
          <cell r="L736" t="str">
            <v>B</v>
          </cell>
          <cell r="M736" t="str">
            <v>A</v>
          </cell>
          <cell r="N736" t="str">
            <v>C</v>
          </cell>
          <cell r="O736" t="str">
            <v>A</v>
          </cell>
          <cell r="P736" t="str">
            <v>C</v>
          </cell>
          <cell r="Q736" t="str">
            <v>B</v>
          </cell>
          <cell r="R736" t="str">
            <v>C</v>
          </cell>
          <cell r="X736">
            <v>39.4</v>
          </cell>
        </row>
        <row r="737">
          <cell r="C737">
            <v>43687819</v>
          </cell>
          <cell r="D737" t="str">
            <v>ТОВ "САНОЛТА КОРМ"</v>
          </cell>
          <cell r="E737">
            <v>45841</v>
          </cell>
          <cell r="F737">
            <v>45748</v>
          </cell>
          <cell r="G737" t="str">
            <v>D</v>
          </cell>
          <cell r="H737" t="str">
            <v>B</v>
          </cell>
          <cell r="I737" t="str">
            <v>C</v>
          </cell>
          <cell r="J737" t="str">
            <v>B</v>
          </cell>
          <cell r="K737" t="str">
            <v>D</v>
          </cell>
          <cell r="L737" t="str">
            <v>B</v>
          </cell>
          <cell r="M737" t="str">
            <v>A</v>
          </cell>
          <cell r="N737" t="str">
            <v>B</v>
          </cell>
          <cell r="O737" t="str">
            <v>A</v>
          </cell>
          <cell r="P737" t="str">
            <v>C</v>
          </cell>
          <cell r="Q737" t="str">
            <v>C</v>
          </cell>
          <cell r="R737" t="str">
            <v>B</v>
          </cell>
          <cell r="X737">
            <v>41.099999999999994</v>
          </cell>
        </row>
        <row r="738">
          <cell r="C738">
            <v>43688681</v>
          </cell>
          <cell r="D738" t="str">
            <v>ТОВ "ДК "ГЛОБАЛ-СЕРВІС"</v>
          </cell>
          <cell r="E738">
            <v>45967.4395</v>
          </cell>
          <cell r="F738">
            <v>45839</v>
          </cell>
          <cell r="G738" t="str">
            <v>D</v>
          </cell>
          <cell r="H738" t="str">
            <v>A</v>
          </cell>
          <cell r="I738" t="str">
            <v>B</v>
          </cell>
          <cell r="J738" t="str">
            <v>A</v>
          </cell>
          <cell r="K738" t="str">
            <v>B</v>
          </cell>
          <cell r="L738" t="str">
            <v>A</v>
          </cell>
          <cell r="M738" t="str">
            <v>A</v>
          </cell>
          <cell r="N738" t="str">
            <v>A</v>
          </cell>
          <cell r="O738" t="str">
            <v>A</v>
          </cell>
          <cell r="P738" t="str">
            <v>C</v>
          </cell>
          <cell r="Q738" t="str">
            <v>B</v>
          </cell>
          <cell r="R738" t="str">
            <v>A</v>
          </cell>
          <cell r="X738">
            <v>65.800000000000011</v>
          </cell>
        </row>
        <row r="739">
          <cell r="C739">
            <v>43696781</v>
          </cell>
          <cell r="D739" t="str">
            <v>ТОВ "Е-ВЕНДОР"</v>
          </cell>
          <cell r="E739">
            <v>45705.6607</v>
          </cell>
          <cell r="F739">
            <v>45658</v>
          </cell>
          <cell r="G739" t="str">
            <v>E</v>
          </cell>
          <cell r="H739" t="str">
            <v>B</v>
          </cell>
          <cell r="I739" t="str">
            <v>A</v>
          </cell>
          <cell r="J739" t="str">
            <v>A</v>
          </cell>
          <cell r="K739" t="str">
            <v>C</v>
          </cell>
          <cell r="L739" t="str">
            <v>B</v>
          </cell>
          <cell r="M739" t="str">
            <v>A</v>
          </cell>
          <cell r="N739" t="str">
            <v>B</v>
          </cell>
          <cell r="O739" t="str">
            <v>A</v>
          </cell>
          <cell r="P739" t="str">
            <v>C</v>
          </cell>
          <cell r="Q739" t="str">
            <v>B</v>
          </cell>
          <cell r="R739" t="str">
            <v>A</v>
          </cell>
          <cell r="X739">
            <v>46.5</v>
          </cell>
        </row>
        <row r="740">
          <cell r="C740">
            <v>43717167</v>
          </cell>
          <cell r="D740" t="str">
            <v>ТОВ "ПОЛО-ІНВЕСТБУД"</v>
          </cell>
          <cell r="E740">
            <v>45926.523699999998</v>
          </cell>
          <cell r="F740">
            <v>45839</v>
          </cell>
          <cell r="G740" t="str">
            <v>E</v>
          </cell>
          <cell r="H740" t="str">
            <v>B</v>
          </cell>
          <cell r="I740" t="str">
            <v>B</v>
          </cell>
          <cell r="J740" t="str">
            <v>C</v>
          </cell>
          <cell r="K740" t="str">
            <v>D</v>
          </cell>
          <cell r="L740" t="str">
            <v>B</v>
          </cell>
          <cell r="M740" t="str">
            <v>A</v>
          </cell>
          <cell r="N740" t="str">
            <v>B</v>
          </cell>
          <cell r="O740" t="str">
            <v>B</v>
          </cell>
          <cell r="P740" t="str">
            <v>C</v>
          </cell>
          <cell r="Q740" t="str">
            <v>C</v>
          </cell>
          <cell r="R740" t="str">
            <v>C</v>
          </cell>
          <cell r="X740">
            <v>42.3</v>
          </cell>
        </row>
        <row r="741">
          <cell r="C741">
            <v>43721702</v>
          </cell>
          <cell r="D741" t="str">
            <v>ТОВ "РЕГІОН ЕНЕРГОПОСТАЧ"</v>
          </cell>
          <cell r="E741">
            <v>45971.5092</v>
          </cell>
          <cell r="F741">
            <v>45931</v>
          </cell>
          <cell r="G741" t="str">
            <v>E</v>
          </cell>
          <cell r="H741" t="str">
            <v>A</v>
          </cell>
          <cell r="I741" t="str">
            <v>A</v>
          </cell>
          <cell r="J741" t="str">
            <v>A</v>
          </cell>
          <cell r="K741" t="str">
            <v>C</v>
          </cell>
          <cell r="L741" t="str">
            <v>A</v>
          </cell>
          <cell r="M741" t="str">
            <v>A</v>
          </cell>
          <cell r="N741" t="str">
            <v>B</v>
          </cell>
          <cell r="O741" t="str">
            <v>A</v>
          </cell>
          <cell r="P741" t="str">
            <v>C</v>
          </cell>
          <cell r="Q741" t="str">
            <v>B</v>
          </cell>
          <cell r="R741" t="str">
            <v>A</v>
          </cell>
          <cell r="X741">
            <v>53.7</v>
          </cell>
        </row>
        <row r="742">
          <cell r="C742">
            <v>43738098</v>
          </cell>
          <cell r="D742" t="str">
            <v>ТОВ "Імпортмакс"</v>
          </cell>
          <cell r="E742">
            <v>45979.511200000001</v>
          </cell>
          <cell r="F742">
            <v>45839</v>
          </cell>
          <cell r="G742" t="str">
            <v>E</v>
          </cell>
          <cell r="H742" t="str">
            <v>C</v>
          </cell>
          <cell r="I742" t="str">
            <v>A</v>
          </cell>
          <cell r="J742" t="str">
            <v>B</v>
          </cell>
          <cell r="K742" t="str">
            <v>D</v>
          </cell>
          <cell r="L742" t="str">
            <v>B</v>
          </cell>
          <cell r="M742" t="str">
            <v>A</v>
          </cell>
          <cell r="N742" t="str">
            <v>C</v>
          </cell>
          <cell r="O742" t="str">
            <v>A</v>
          </cell>
          <cell r="P742" t="str">
            <v>C</v>
          </cell>
          <cell r="Q742" t="str">
            <v>C</v>
          </cell>
          <cell r="R742" t="str">
            <v>C</v>
          </cell>
          <cell r="X742">
            <v>35.599999999999994</v>
          </cell>
        </row>
        <row r="743">
          <cell r="C743">
            <v>43743616</v>
          </cell>
          <cell r="D743" t="str">
            <v>ТОВ "ЛИС-ІНДАСТРІЗ"</v>
          </cell>
          <cell r="E743">
            <v>45948.830699999999</v>
          </cell>
          <cell r="F743">
            <v>45658</v>
          </cell>
          <cell r="G743" t="str">
            <v>E</v>
          </cell>
          <cell r="H743" t="str">
            <v>B</v>
          </cell>
          <cell r="I743" t="str">
            <v>B</v>
          </cell>
          <cell r="J743" t="str">
            <v>A</v>
          </cell>
          <cell r="K743" t="str">
            <v>D</v>
          </cell>
          <cell r="L743" t="str">
            <v>B</v>
          </cell>
          <cell r="M743" t="str">
            <v>B</v>
          </cell>
          <cell r="N743" t="str">
            <v>B</v>
          </cell>
          <cell r="O743" t="str">
            <v>A</v>
          </cell>
          <cell r="P743" t="str">
            <v>C</v>
          </cell>
          <cell r="Q743" t="str">
            <v>B</v>
          </cell>
          <cell r="R743" t="str">
            <v>A</v>
          </cell>
          <cell r="X743">
            <v>41.7</v>
          </cell>
        </row>
        <row r="744">
          <cell r="C744">
            <v>43790289</v>
          </cell>
          <cell r="D744" t="str">
            <v>ТОВ "ЛОГІСТИКС СОЛЮШНЗ"</v>
          </cell>
          <cell r="E744">
            <v>45958.610699999997</v>
          </cell>
          <cell r="F744">
            <v>45839</v>
          </cell>
          <cell r="G744" t="str">
            <v>E</v>
          </cell>
          <cell r="H744" t="str">
            <v>B</v>
          </cell>
          <cell r="I744" t="str">
            <v>B</v>
          </cell>
          <cell r="J744" t="str">
            <v>A</v>
          </cell>
          <cell r="K744" t="str">
            <v>E</v>
          </cell>
          <cell r="L744" t="str">
            <v>A</v>
          </cell>
          <cell r="M744" t="str">
            <v>A</v>
          </cell>
          <cell r="N744" t="str">
            <v>B</v>
          </cell>
          <cell r="O744" t="str">
            <v>A</v>
          </cell>
          <cell r="P744" t="str">
            <v>C</v>
          </cell>
          <cell r="Q744" t="str">
            <v>B</v>
          </cell>
          <cell r="R744" t="str">
            <v>B</v>
          </cell>
          <cell r="X744">
            <v>48.1</v>
          </cell>
        </row>
        <row r="745">
          <cell r="C745">
            <v>43815842</v>
          </cell>
          <cell r="D745" t="str">
            <v>ТОВ "ДЕЙЛI ФРУКТ"</v>
          </cell>
          <cell r="E745">
            <v>45668.767200000002</v>
          </cell>
          <cell r="F745">
            <v>45566</v>
          </cell>
          <cell r="G745" t="str">
            <v>E</v>
          </cell>
          <cell r="H745" t="str">
            <v>C</v>
          </cell>
          <cell r="I745" t="str">
            <v>B</v>
          </cell>
          <cell r="J745" t="str">
            <v>B</v>
          </cell>
          <cell r="K745" t="str">
            <v>B</v>
          </cell>
          <cell r="L745" t="str">
            <v>B</v>
          </cell>
          <cell r="M745" t="str">
            <v>A</v>
          </cell>
          <cell r="N745" t="str">
            <v>B</v>
          </cell>
          <cell r="O745" t="str">
            <v>A</v>
          </cell>
          <cell r="P745" t="str">
            <v>B</v>
          </cell>
          <cell r="Q745" t="str">
            <v>B</v>
          </cell>
          <cell r="R745" t="str">
            <v>B</v>
          </cell>
          <cell r="X745">
            <v>51.1</v>
          </cell>
        </row>
        <row r="746">
          <cell r="C746">
            <v>43824993</v>
          </cell>
          <cell r="D746" t="str">
            <v>ТОВ "СКАЙ МОТОРС+"</v>
          </cell>
          <cell r="E746">
            <v>45777.672400000003</v>
          </cell>
          <cell r="F746">
            <v>45658</v>
          </cell>
          <cell r="G746" t="str">
            <v>E</v>
          </cell>
          <cell r="H746" t="str">
            <v>A</v>
          </cell>
          <cell r="I746" t="str">
            <v>C</v>
          </cell>
          <cell r="J746" t="str">
            <v>C</v>
          </cell>
          <cell r="K746" t="str">
            <v>A</v>
          </cell>
          <cell r="L746" t="str">
            <v>A</v>
          </cell>
          <cell r="M746" t="str">
            <v>A</v>
          </cell>
          <cell r="N746" t="str">
            <v>A</v>
          </cell>
          <cell r="O746" t="str">
            <v>A</v>
          </cell>
          <cell r="P746" t="str">
            <v>C</v>
          </cell>
          <cell r="Q746" t="str">
            <v>B</v>
          </cell>
          <cell r="R746" t="str">
            <v>A</v>
          </cell>
          <cell r="X746">
            <v>61</v>
          </cell>
        </row>
        <row r="747">
          <cell r="C747">
            <v>43835001</v>
          </cell>
          <cell r="D747" t="str">
            <v>ТОВ «ТРЕЙДАГРОХІМ ГРУП»</v>
          </cell>
          <cell r="E747">
            <v>45903.529499999997</v>
          </cell>
          <cell r="F747">
            <v>45839</v>
          </cell>
          <cell r="G747" t="str">
            <v>E</v>
          </cell>
          <cell r="H747" t="str">
            <v>B</v>
          </cell>
          <cell r="I747" t="str">
            <v>B</v>
          </cell>
          <cell r="J747" t="str">
            <v>B</v>
          </cell>
          <cell r="K747" t="str">
            <v>D</v>
          </cell>
          <cell r="L747" t="str">
            <v>A</v>
          </cell>
          <cell r="M747" t="str">
            <v>A</v>
          </cell>
          <cell r="N747" t="str">
            <v>B</v>
          </cell>
          <cell r="O747" t="str">
            <v>A</v>
          </cell>
          <cell r="P747" t="str">
            <v>C</v>
          </cell>
          <cell r="Q747" t="str">
            <v>B</v>
          </cell>
          <cell r="R747" t="str">
            <v>B</v>
          </cell>
          <cell r="X747">
            <v>52.1</v>
          </cell>
        </row>
        <row r="748">
          <cell r="C748">
            <v>43843618</v>
          </cell>
          <cell r="D748" t="str">
            <v>ТОВ "ВКМ"</v>
          </cell>
          <cell r="E748">
            <v>45953.611799999999</v>
          </cell>
          <cell r="F748">
            <v>45839</v>
          </cell>
          <cell r="G748" t="str">
            <v>E</v>
          </cell>
          <cell r="H748" t="str">
            <v>B</v>
          </cell>
          <cell r="I748" t="str">
            <v>B</v>
          </cell>
          <cell r="J748" t="str">
            <v>B</v>
          </cell>
          <cell r="K748" t="str">
            <v>B</v>
          </cell>
          <cell r="L748" t="str">
            <v>A</v>
          </cell>
          <cell r="M748" t="str">
            <v>A</v>
          </cell>
          <cell r="N748" t="str">
            <v>B</v>
          </cell>
          <cell r="O748" t="str">
            <v>A</v>
          </cell>
          <cell r="P748" t="str">
            <v>C</v>
          </cell>
          <cell r="Q748" t="str">
            <v>B</v>
          </cell>
          <cell r="R748" t="str">
            <v>A</v>
          </cell>
          <cell r="X748">
            <v>59.300000000000004</v>
          </cell>
        </row>
        <row r="749">
          <cell r="C749">
            <v>43876135</v>
          </cell>
          <cell r="D749" t="str">
            <v>ТЗОВ "ТЕРМОПЛАСТ М"</v>
          </cell>
          <cell r="E749">
            <v>45841</v>
          </cell>
          <cell r="F749">
            <v>45658</v>
          </cell>
          <cell r="G749" t="str">
            <v>E</v>
          </cell>
          <cell r="H749" t="str">
            <v>C</v>
          </cell>
          <cell r="I749" t="str">
            <v>B</v>
          </cell>
          <cell r="J749" t="str">
            <v>A</v>
          </cell>
          <cell r="K749" t="str">
            <v>D</v>
          </cell>
          <cell r="L749" t="str">
            <v>A</v>
          </cell>
          <cell r="M749" t="str">
            <v>A</v>
          </cell>
          <cell r="N749" t="str">
            <v>B</v>
          </cell>
          <cell r="O749" t="str">
            <v>A</v>
          </cell>
          <cell r="P749" t="str">
            <v>C</v>
          </cell>
          <cell r="Q749" t="str">
            <v>B</v>
          </cell>
          <cell r="R749" t="str">
            <v>A</v>
          </cell>
          <cell r="X749">
            <v>51.3</v>
          </cell>
        </row>
        <row r="750">
          <cell r="C750">
            <v>43880602</v>
          </cell>
          <cell r="D750" t="str">
            <v>ТОВ "НІКО МЕГАПОЛІС"</v>
          </cell>
          <cell r="E750">
            <v>45720.589599999999</v>
          </cell>
          <cell r="F750">
            <v>45658</v>
          </cell>
          <cell r="G750" t="str">
            <v>E</v>
          </cell>
          <cell r="H750" t="str">
            <v>D</v>
          </cell>
          <cell r="I750" t="str">
            <v>C</v>
          </cell>
          <cell r="J750" t="str">
            <v>C</v>
          </cell>
          <cell r="K750" t="str">
            <v>D</v>
          </cell>
          <cell r="L750" t="str">
            <v>B</v>
          </cell>
          <cell r="M750" t="str">
            <v>A</v>
          </cell>
          <cell r="N750" t="str">
            <v>C</v>
          </cell>
          <cell r="O750" t="str">
            <v>B</v>
          </cell>
          <cell r="P750" t="str">
            <v>C</v>
          </cell>
          <cell r="Q750" t="str">
            <v>B</v>
          </cell>
          <cell r="R750" t="str">
            <v>C</v>
          </cell>
          <cell r="X750">
            <v>29</v>
          </cell>
        </row>
        <row r="751">
          <cell r="C751">
            <v>43890029</v>
          </cell>
          <cell r="D751" t="str">
            <v>ТОВ "ФТД-РИТЕЙЛ"</v>
          </cell>
          <cell r="E751">
            <v>45911.612500000003</v>
          </cell>
          <cell r="F751">
            <v>45839</v>
          </cell>
          <cell r="G751" t="str">
            <v>C</v>
          </cell>
          <cell r="H751" t="str">
            <v>C</v>
          </cell>
          <cell r="I751" t="str">
            <v>B</v>
          </cell>
          <cell r="J751" t="str">
            <v>B</v>
          </cell>
          <cell r="K751" t="str">
            <v>D</v>
          </cell>
          <cell r="L751" t="str">
            <v>A</v>
          </cell>
          <cell r="M751" t="str">
            <v>A</v>
          </cell>
          <cell r="N751" t="str">
            <v>A</v>
          </cell>
          <cell r="O751" t="str">
            <v>A</v>
          </cell>
          <cell r="P751" t="str">
            <v>B</v>
          </cell>
          <cell r="Q751" t="str">
            <v>C</v>
          </cell>
          <cell r="R751" t="str">
            <v>B</v>
          </cell>
          <cell r="X751">
            <v>57.8</v>
          </cell>
        </row>
        <row r="752">
          <cell r="C752">
            <v>43917951</v>
          </cell>
          <cell r="D752" t="str">
            <v>ТОВ "ПРАЙМ ЛОГІСТІКС"</v>
          </cell>
          <cell r="E752">
            <v>45948.830699999999</v>
          </cell>
          <cell r="F752">
            <v>45658</v>
          </cell>
          <cell r="G752" t="str">
            <v>E</v>
          </cell>
          <cell r="H752" t="str">
            <v>B</v>
          </cell>
          <cell r="I752" t="str">
            <v>B</v>
          </cell>
          <cell r="J752" t="str">
            <v>A</v>
          </cell>
          <cell r="K752" t="str">
            <v>D</v>
          </cell>
          <cell r="L752" t="str">
            <v>B</v>
          </cell>
          <cell r="M752" t="str">
            <v>B</v>
          </cell>
          <cell r="N752" t="str">
            <v>B</v>
          </cell>
          <cell r="O752" t="str">
            <v>A</v>
          </cell>
          <cell r="P752" t="str">
            <v>C</v>
          </cell>
          <cell r="Q752" t="str">
            <v>B</v>
          </cell>
          <cell r="R752" t="str">
            <v>A</v>
          </cell>
          <cell r="X752">
            <v>41.7</v>
          </cell>
        </row>
        <row r="753">
          <cell r="C753">
            <v>43927472</v>
          </cell>
          <cell r="D753" t="str">
            <v>ТОВ "СП.ЧЕРНІГІВ"</v>
          </cell>
          <cell r="E753">
            <v>45861.418100000003</v>
          </cell>
          <cell r="F753">
            <v>45748</v>
          </cell>
          <cell r="G753" t="str">
            <v>E</v>
          </cell>
          <cell r="H753" t="str">
            <v>B</v>
          </cell>
          <cell r="I753" t="str">
            <v>B</v>
          </cell>
          <cell r="J753" t="str">
            <v>C</v>
          </cell>
          <cell r="K753" t="str">
            <v>D</v>
          </cell>
          <cell r="L753" t="str">
            <v>A</v>
          </cell>
          <cell r="M753" t="str">
            <v>A</v>
          </cell>
          <cell r="N753" t="str">
            <v>B</v>
          </cell>
          <cell r="O753" t="str">
            <v>B</v>
          </cell>
          <cell r="P753" t="str">
            <v>C</v>
          </cell>
          <cell r="Q753" t="str">
            <v>B</v>
          </cell>
          <cell r="R753" t="str">
            <v>C</v>
          </cell>
          <cell r="X753">
            <v>48.900000000000006</v>
          </cell>
        </row>
        <row r="754">
          <cell r="C754">
            <v>43956964</v>
          </cell>
          <cell r="D754" t="str">
            <v>ТОВ "ПІЛЛАР ЛОДЖИСТІКС"</v>
          </cell>
          <cell r="E754">
            <v>45730.524599999997</v>
          </cell>
          <cell r="F754">
            <v>45566</v>
          </cell>
          <cell r="G754" t="str">
            <v>E</v>
          </cell>
          <cell r="H754" t="str">
            <v>B</v>
          </cell>
          <cell r="I754" t="str">
            <v>C</v>
          </cell>
          <cell r="J754" t="str">
            <v>C</v>
          </cell>
          <cell r="K754" t="str">
            <v>E</v>
          </cell>
          <cell r="L754" t="str">
            <v>C</v>
          </cell>
          <cell r="M754" t="str">
            <v>B</v>
          </cell>
          <cell r="N754" t="str">
            <v>B</v>
          </cell>
          <cell r="O754" t="str">
            <v>A</v>
          </cell>
          <cell r="P754" t="str">
            <v>C</v>
          </cell>
          <cell r="Q754" t="str">
            <v>B</v>
          </cell>
          <cell r="R754" t="str">
            <v>B</v>
          </cell>
          <cell r="X754">
            <v>33.700000000000003</v>
          </cell>
        </row>
        <row r="755">
          <cell r="C755">
            <v>43957266</v>
          </cell>
          <cell r="D755" t="str">
            <v>ТОВ «ГРУПА БІЗНЕСІНВЕСТ»</v>
          </cell>
          <cell r="E755">
            <v>45901.414599999996</v>
          </cell>
          <cell r="F755">
            <v>45658</v>
          </cell>
          <cell r="G755" t="str">
            <v>E</v>
          </cell>
          <cell r="H755" t="str">
            <v>A</v>
          </cell>
          <cell r="I755" t="str">
            <v>D</v>
          </cell>
          <cell r="J755" t="str">
            <v>A</v>
          </cell>
          <cell r="K755" t="str">
            <v>D</v>
          </cell>
          <cell r="L755" t="str">
            <v>A</v>
          </cell>
          <cell r="M755" t="str">
            <v>A</v>
          </cell>
          <cell r="N755" t="str">
            <v>B</v>
          </cell>
          <cell r="O755" t="str">
            <v>A</v>
          </cell>
          <cell r="P755" t="str">
            <v>C</v>
          </cell>
          <cell r="Q755" t="str">
            <v>B</v>
          </cell>
          <cell r="R755" t="str">
            <v>A</v>
          </cell>
          <cell r="X755">
            <v>48.499999999999993</v>
          </cell>
        </row>
        <row r="756">
          <cell r="C756">
            <v>44000701</v>
          </cell>
          <cell r="D756" t="str">
            <v>ПП "ІН ФОРС КЕМІКАЛ"</v>
          </cell>
          <cell r="E756">
            <v>45735.508099999999</v>
          </cell>
          <cell r="F756">
            <v>45566</v>
          </cell>
          <cell r="G756" t="str">
            <v>E</v>
          </cell>
          <cell r="H756" t="str">
            <v>C</v>
          </cell>
          <cell r="I756" t="str">
            <v>C</v>
          </cell>
          <cell r="J756" t="str">
            <v>A</v>
          </cell>
          <cell r="K756" t="str">
            <v>C</v>
          </cell>
          <cell r="L756" t="str">
            <v>B</v>
          </cell>
          <cell r="M756" t="str">
            <v>A</v>
          </cell>
          <cell r="N756" t="str">
            <v>B</v>
          </cell>
          <cell r="O756" t="str">
            <v>A</v>
          </cell>
          <cell r="P756" t="str">
            <v>C</v>
          </cell>
          <cell r="Q756" t="str">
            <v>B</v>
          </cell>
          <cell r="R756" t="str">
            <v>C</v>
          </cell>
          <cell r="X756">
            <v>35.299999999999997</v>
          </cell>
        </row>
        <row r="757">
          <cell r="C757">
            <v>44012172</v>
          </cell>
          <cell r="D757" t="str">
            <v>ТОВ "МИКИТІВСЬКИЙ ГРАНІТ"</v>
          </cell>
          <cell r="E757">
            <v>45938.627</v>
          </cell>
          <cell r="F757">
            <v>45839</v>
          </cell>
          <cell r="G757" t="str">
            <v>E</v>
          </cell>
          <cell r="H757" t="str">
            <v>B</v>
          </cell>
          <cell r="I757" t="str">
            <v>B</v>
          </cell>
          <cell r="J757" t="str">
            <v>A</v>
          </cell>
          <cell r="K757" t="str">
            <v>D</v>
          </cell>
          <cell r="L757" t="str">
            <v>A</v>
          </cell>
          <cell r="M757" t="str">
            <v>A</v>
          </cell>
          <cell r="N757" t="str">
            <v>B</v>
          </cell>
          <cell r="O757" t="str">
            <v>A</v>
          </cell>
          <cell r="P757" t="str">
            <v>C</v>
          </cell>
          <cell r="Q757" t="str">
            <v>B</v>
          </cell>
          <cell r="R757" t="str">
            <v>C</v>
          </cell>
          <cell r="X757">
            <v>46.9</v>
          </cell>
        </row>
        <row r="758">
          <cell r="C758">
            <v>44021873</v>
          </cell>
          <cell r="D758" t="str">
            <v>ТОВ "МАУДАУ"</v>
          </cell>
          <cell r="E758">
            <v>45840.463900000002</v>
          </cell>
          <cell r="F758">
            <v>45658</v>
          </cell>
          <cell r="G758" t="str">
            <v>C</v>
          </cell>
          <cell r="H758" t="str">
            <v>D</v>
          </cell>
          <cell r="I758" t="str">
            <v>D</v>
          </cell>
          <cell r="J758" t="str">
            <v>D</v>
          </cell>
          <cell r="K758" t="str">
            <v>C</v>
          </cell>
          <cell r="L758" t="str">
            <v>A</v>
          </cell>
          <cell r="M758" t="str">
            <v>B</v>
          </cell>
          <cell r="N758" t="str">
            <v>A</v>
          </cell>
          <cell r="O758" t="str">
            <v>A</v>
          </cell>
          <cell r="P758" t="str">
            <v>A</v>
          </cell>
          <cell r="Q758" t="str">
            <v>B</v>
          </cell>
          <cell r="R758" t="str">
            <v>A</v>
          </cell>
          <cell r="X758">
            <v>56.4</v>
          </cell>
        </row>
        <row r="759">
          <cell r="C759">
            <v>44056419</v>
          </cell>
          <cell r="D759" t="str">
            <v>ТОВ "ТВІСТ РОБОТІКС УКРАЇНА"</v>
          </cell>
          <cell r="E759">
            <v>45853.861799999999</v>
          </cell>
          <cell r="F759">
            <v>45658</v>
          </cell>
          <cell r="G759" t="str">
            <v>E</v>
          </cell>
          <cell r="H759" t="str">
            <v>B</v>
          </cell>
          <cell r="I759" t="str">
            <v>B</v>
          </cell>
          <cell r="J759" t="str">
            <v>A</v>
          </cell>
          <cell r="K759" t="str">
            <v>C</v>
          </cell>
          <cell r="L759" t="str">
            <v>A</v>
          </cell>
          <cell r="M759" t="str">
            <v>A</v>
          </cell>
          <cell r="N759" t="str">
            <v>B</v>
          </cell>
          <cell r="O759" t="str">
            <v>A</v>
          </cell>
          <cell r="P759" t="str">
            <v>B</v>
          </cell>
          <cell r="Q759" t="str">
            <v>B</v>
          </cell>
          <cell r="R759" t="str">
            <v>A</v>
          </cell>
          <cell r="X759">
            <v>57.500000000000007</v>
          </cell>
        </row>
        <row r="760">
          <cell r="C760">
            <v>44057449</v>
          </cell>
          <cell r="D760" t="str">
            <v>ТОВ "МСФО 16 С"</v>
          </cell>
          <cell r="E760">
            <v>45840.463900000002</v>
          </cell>
          <cell r="F760">
            <v>45658</v>
          </cell>
          <cell r="G760" t="str">
            <v>C</v>
          </cell>
          <cell r="H760" t="str">
            <v>D</v>
          </cell>
          <cell r="I760" t="str">
            <v>D</v>
          </cell>
          <cell r="J760" t="str">
            <v>D</v>
          </cell>
          <cell r="K760" t="str">
            <v>C</v>
          </cell>
          <cell r="L760" t="str">
            <v>A</v>
          </cell>
          <cell r="M760" t="str">
            <v>B</v>
          </cell>
          <cell r="N760" t="str">
            <v>A</v>
          </cell>
          <cell r="O760" t="str">
            <v>A</v>
          </cell>
          <cell r="P760" t="str">
            <v>A</v>
          </cell>
          <cell r="Q760" t="str">
            <v>B</v>
          </cell>
          <cell r="R760" t="str">
            <v>A</v>
          </cell>
          <cell r="X760">
            <v>56.4</v>
          </cell>
        </row>
        <row r="761">
          <cell r="C761">
            <v>44093424</v>
          </cell>
          <cell r="D761" t="str">
            <v>ТОВ "АГРОІНВЕСТ ХОЛДИНГ СТАРОВІРІВКА"</v>
          </cell>
          <cell r="E761">
            <v>45919.717900000003</v>
          </cell>
          <cell r="F761">
            <v>45658</v>
          </cell>
          <cell r="G761" t="str">
            <v>E</v>
          </cell>
          <cell r="H761" t="str">
            <v>C</v>
          </cell>
          <cell r="I761" t="str">
            <v>B</v>
          </cell>
          <cell r="J761" t="str">
            <v>A</v>
          </cell>
          <cell r="K761" t="str">
            <v>D</v>
          </cell>
          <cell r="L761" t="str">
            <v>A</v>
          </cell>
          <cell r="M761" t="str">
            <v>A</v>
          </cell>
          <cell r="N761" t="str">
            <v>B</v>
          </cell>
          <cell r="O761" t="str">
            <v>A</v>
          </cell>
          <cell r="P761" t="str">
            <v>C</v>
          </cell>
          <cell r="Q761" t="str">
            <v>B</v>
          </cell>
          <cell r="R761" t="str">
            <v>A</v>
          </cell>
          <cell r="X761">
            <v>51.3</v>
          </cell>
        </row>
        <row r="762">
          <cell r="C762">
            <v>44095332</v>
          </cell>
          <cell r="D762" t="str">
            <v>ТОВ «ЖЛГК»</v>
          </cell>
          <cell r="E762">
            <v>45782.682800000002</v>
          </cell>
          <cell r="F762">
            <v>45658</v>
          </cell>
          <cell r="G762" t="str">
            <v>D</v>
          </cell>
          <cell r="H762" t="str">
            <v>B</v>
          </cell>
          <cell r="I762" t="str">
            <v>C</v>
          </cell>
          <cell r="J762" t="str">
            <v>A</v>
          </cell>
          <cell r="K762" t="str">
            <v>D</v>
          </cell>
          <cell r="L762" t="str">
            <v>B</v>
          </cell>
          <cell r="M762" t="str">
            <v>A</v>
          </cell>
          <cell r="N762" t="str">
            <v>C</v>
          </cell>
          <cell r="O762" t="str">
            <v>A</v>
          </cell>
          <cell r="P762" t="str">
            <v>B</v>
          </cell>
          <cell r="Q762" t="str">
            <v>B</v>
          </cell>
          <cell r="R762" t="str">
            <v>A</v>
          </cell>
          <cell r="X762">
            <v>44</v>
          </cell>
        </row>
        <row r="763">
          <cell r="C763">
            <v>44098532</v>
          </cell>
          <cell r="D763" t="str">
            <v>ТОВ "БВС РИТЕЙЛ"</v>
          </cell>
          <cell r="E763">
            <v>45665.7255</v>
          </cell>
          <cell r="F763">
            <v>45566</v>
          </cell>
          <cell r="G763" t="str">
            <v>D</v>
          </cell>
          <cell r="H763" t="str">
            <v>B</v>
          </cell>
          <cell r="I763" t="str">
            <v>B</v>
          </cell>
          <cell r="J763" t="str">
            <v>D</v>
          </cell>
          <cell r="K763" t="str">
            <v>C</v>
          </cell>
          <cell r="L763" t="str">
            <v>A</v>
          </cell>
          <cell r="M763" t="str">
            <v>A</v>
          </cell>
          <cell r="N763" t="str">
            <v>B</v>
          </cell>
          <cell r="O763" t="str">
            <v>A</v>
          </cell>
          <cell r="P763" t="str">
            <v>C</v>
          </cell>
          <cell r="Q763" t="str">
            <v>B</v>
          </cell>
          <cell r="R763" t="str">
            <v>B</v>
          </cell>
          <cell r="X763">
            <v>63.7</v>
          </cell>
        </row>
        <row r="764">
          <cell r="C764">
            <v>44098710</v>
          </cell>
          <cell r="D764" t="str">
            <v>ПрАТ "УКРФІНЖИТЛО"</v>
          </cell>
          <cell r="E764">
            <v>45775.705000000002</v>
          </cell>
          <cell r="F764">
            <v>45658</v>
          </cell>
          <cell r="G764" t="str">
            <v>A</v>
          </cell>
          <cell r="H764" t="str">
            <v>A</v>
          </cell>
          <cell r="I764" t="str">
            <v>A</v>
          </cell>
          <cell r="J764" t="str">
            <v>A</v>
          </cell>
          <cell r="K764" t="str">
            <v>D</v>
          </cell>
          <cell r="L764" t="str">
            <v>A</v>
          </cell>
          <cell r="M764" t="str">
            <v>A</v>
          </cell>
          <cell r="N764" t="str">
            <v>B</v>
          </cell>
          <cell r="O764" t="str">
            <v>A</v>
          </cell>
          <cell r="P764" t="str">
            <v>C</v>
          </cell>
          <cell r="Q764" t="str">
            <v>B</v>
          </cell>
          <cell r="R764" t="str">
            <v>A</v>
          </cell>
          <cell r="X764">
            <v>57.300000000000004</v>
          </cell>
        </row>
        <row r="765">
          <cell r="C765">
            <v>44131548</v>
          </cell>
          <cell r="D765" t="str">
            <v>ТОВ "СТІЛПЛАСТ"</v>
          </cell>
          <cell r="E765">
            <v>45848.468200000003</v>
          </cell>
          <cell r="F765">
            <v>45658</v>
          </cell>
          <cell r="G765" t="str">
            <v>E</v>
          </cell>
          <cell r="H765" t="str">
            <v>A</v>
          </cell>
          <cell r="I765" t="str">
            <v>C</v>
          </cell>
          <cell r="J765" t="str">
            <v>A</v>
          </cell>
          <cell r="K765" t="str">
            <v>C</v>
          </cell>
          <cell r="L765" t="str">
            <v>B</v>
          </cell>
          <cell r="M765" t="str">
            <v>A</v>
          </cell>
          <cell r="N765" t="str">
            <v>B</v>
          </cell>
          <cell r="O765" t="str">
            <v>A</v>
          </cell>
          <cell r="P765" t="str">
            <v>C</v>
          </cell>
          <cell r="Q765" t="str">
            <v>B</v>
          </cell>
          <cell r="R765" t="str">
            <v>A</v>
          </cell>
          <cell r="X765">
            <v>45.3</v>
          </cell>
        </row>
        <row r="766">
          <cell r="C766">
            <v>44182000</v>
          </cell>
          <cell r="D766" t="str">
            <v>ТОВ "ПОЛІМЕР ТРЕЙДІНГ"</v>
          </cell>
          <cell r="E766">
            <v>45756.561500000003</v>
          </cell>
          <cell r="F766">
            <v>45658</v>
          </cell>
          <cell r="G766" t="str">
            <v>E</v>
          </cell>
          <cell r="H766" t="str">
            <v>B</v>
          </cell>
          <cell r="I766" t="str">
            <v>A</v>
          </cell>
          <cell r="J766" t="str">
            <v>A</v>
          </cell>
          <cell r="K766" t="str">
            <v>D</v>
          </cell>
          <cell r="L766" t="str">
            <v>A</v>
          </cell>
          <cell r="M766" t="str">
            <v>A</v>
          </cell>
          <cell r="N766" t="str">
            <v>B</v>
          </cell>
          <cell r="O766" t="str">
            <v>A</v>
          </cell>
          <cell r="P766" t="str">
            <v>C</v>
          </cell>
          <cell r="Q766" t="str">
            <v>C</v>
          </cell>
          <cell r="R766" t="str">
            <v>A</v>
          </cell>
          <cell r="X766">
            <v>46.699999999999996</v>
          </cell>
        </row>
        <row r="767">
          <cell r="C767">
            <v>44207700</v>
          </cell>
          <cell r="D767" t="str">
            <v>ПП "ГУРМЕ ГРУП"</v>
          </cell>
          <cell r="E767">
            <v>45870.475599999998</v>
          </cell>
          <cell r="F767">
            <v>45658</v>
          </cell>
          <cell r="G767" t="str">
            <v>E</v>
          </cell>
          <cell r="H767" t="str">
            <v>B</v>
          </cell>
          <cell r="I767" t="str">
            <v>B</v>
          </cell>
          <cell r="J767" t="str">
            <v>A</v>
          </cell>
          <cell r="K767" t="str">
            <v>D</v>
          </cell>
          <cell r="L767" t="str">
            <v>B</v>
          </cell>
          <cell r="M767" t="str">
            <v>A</v>
          </cell>
          <cell r="N767" t="str">
            <v>B</v>
          </cell>
          <cell r="O767" t="str">
            <v>B</v>
          </cell>
          <cell r="P767" t="str">
            <v>C</v>
          </cell>
          <cell r="Q767" t="str">
            <v>C</v>
          </cell>
          <cell r="R767" t="str">
            <v>C</v>
          </cell>
          <cell r="X767">
            <v>36.699999999999996</v>
          </cell>
        </row>
        <row r="768">
          <cell r="C768">
            <v>44235654</v>
          </cell>
          <cell r="D768" t="str">
            <v>ТОВ «АМІКУМ ПЛЮС»</v>
          </cell>
          <cell r="E768">
            <v>45681.486799999999</v>
          </cell>
          <cell r="F768">
            <v>45566</v>
          </cell>
          <cell r="G768" t="str">
            <v>E</v>
          </cell>
          <cell r="H768" t="str">
            <v>B</v>
          </cell>
          <cell r="I768" t="str">
            <v>C</v>
          </cell>
          <cell r="J768" t="str">
            <v>B</v>
          </cell>
          <cell r="K768" t="str">
            <v>D</v>
          </cell>
          <cell r="L768" t="str">
            <v>B</v>
          </cell>
          <cell r="M768" t="str">
            <v>A</v>
          </cell>
          <cell r="N768" t="str">
            <v>B</v>
          </cell>
          <cell r="O768" t="str">
            <v>A</v>
          </cell>
          <cell r="P768" t="str">
            <v>C</v>
          </cell>
          <cell r="Q768" t="str">
            <v>B</v>
          </cell>
          <cell r="R768" t="str">
            <v>A</v>
          </cell>
          <cell r="X768">
            <v>42.9</v>
          </cell>
        </row>
        <row r="769">
          <cell r="C769">
            <v>44287456</v>
          </cell>
          <cell r="D769" t="str">
            <v>ТОВ "ТЕХАВТОФАРТ ПІВДЕНЬ"</v>
          </cell>
          <cell r="E769">
            <v>45713.4427</v>
          </cell>
          <cell r="F769">
            <v>45566</v>
          </cell>
          <cell r="G769" t="str">
            <v>D</v>
          </cell>
          <cell r="H769" t="str">
            <v>B</v>
          </cell>
          <cell r="I769" t="str">
            <v>B</v>
          </cell>
          <cell r="J769" t="str">
            <v>A</v>
          </cell>
          <cell r="K769" t="str">
            <v>D</v>
          </cell>
          <cell r="L769" t="str">
            <v>A</v>
          </cell>
          <cell r="M769" t="str">
            <v>A</v>
          </cell>
          <cell r="N769" t="str">
            <v>B</v>
          </cell>
          <cell r="O769" t="str">
            <v>A</v>
          </cell>
          <cell r="P769" t="str">
            <v>C</v>
          </cell>
          <cell r="Q769" t="str">
            <v>B</v>
          </cell>
          <cell r="R769" t="str">
            <v>A</v>
          </cell>
          <cell r="X769">
            <v>56.500000000000007</v>
          </cell>
        </row>
        <row r="770">
          <cell r="C770">
            <v>44303336</v>
          </cell>
          <cell r="D770" t="str">
            <v>ТОВАРИСТВО З ОБМЕЖЕНОЮ ВІДПОВІДАЛЬНІСТЮ ТД ТРЕЙДАГРОХІМЦЕНТР</v>
          </cell>
          <cell r="E770">
            <v>45903.529499999997</v>
          </cell>
          <cell r="F770">
            <v>45839</v>
          </cell>
          <cell r="G770" t="str">
            <v>E</v>
          </cell>
          <cell r="H770" t="str">
            <v>B</v>
          </cell>
          <cell r="I770" t="str">
            <v>B</v>
          </cell>
          <cell r="J770" t="str">
            <v>B</v>
          </cell>
          <cell r="K770" t="str">
            <v>D</v>
          </cell>
          <cell r="L770" t="str">
            <v>A</v>
          </cell>
          <cell r="M770" t="str">
            <v>A</v>
          </cell>
          <cell r="N770" t="str">
            <v>B</v>
          </cell>
          <cell r="O770" t="str">
            <v>A</v>
          </cell>
          <cell r="P770" t="str">
            <v>C</v>
          </cell>
          <cell r="Q770" t="str">
            <v>B</v>
          </cell>
          <cell r="R770" t="str">
            <v>B</v>
          </cell>
          <cell r="X770">
            <v>52.1</v>
          </cell>
        </row>
        <row r="771">
          <cell r="C771">
            <v>44305251</v>
          </cell>
          <cell r="D771" t="str">
            <v>ТОВ "ЮСА АВТО-ТРЕЙД"</v>
          </cell>
          <cell r="E771">
            <v>45614.5576</v>
          </cell>
          <cell r="F771">
            <v>45474</v>
          </cell>
          <cell r="G771" t="str">
            <v>E</v>
          </cell>
          <cell r="H771" t="str">
            <v>B</v>
          </cell>
          <cell r="I771" t="str">
            <v>B</v>
          </cell>
          <cell r="J771" t="str">
            <v>A</v>
          </cell>
          <cell r="K771" t="str">
            <v>D</v>
          </cell>
          <cell r="L771" t="str">
            <v>A</v>
          </cell>
          <cell r="M771" t="str">
            <v>A</v>
          </cell>
          <cell r="N771" t="str">
            <v>A</v>
          </cell>
          <cell r="O771" t="str">
            <v>A</v>
          </cell>
          <cell r="P771" t="str">
            <v>C</v>
          </cell>
          <cell r="Q771" t="str">
            <v>B</v>
          </cell>
          <cell r="R771" t="str">
            <v>A</v>
          </cell>
          <cell r="X771">
            <v>56.199999999999996</v>
          </cell>
        </row>
        <row r="772">
          <cell r="C772">
            <v>44318405</v>
          </cell>
          <cell r="D772" t="str">
            <v>ТОВ "ВІТАГРО ЕНЕРДЖІ"</v>
          </cell>
          <cell r="E772">
            <v>45944</v>
          </cell>
          <cell r="F772">
            <v>45658</v>
          </cell>
          <cell r="G772" t="str">
            <v>D</v>
          </cell>
          <cell r="H772" t="str">
            <v>B</v>
          </cell>
          <cell r="I772" t="str">
            <v>C</v>
          </cell>
          <cell r="J772" t="str">
            <v>C</v>
          </cell>
          <cell r="K772" t="str">
            <v>D</v>
          </cell>
          <cell r="L772" t="str">
            <v>A</v>
          </cell>
          <cell r="M772" t="str">
            <v>A</v>
          </cell>
          <cell r="N772" t="str">
            <v>B</v>
          </cell>
          <cell r="O772" t="str">
            <v>B</v>
          </cell>
          <cell r="P772" t="str">
            <v>C</v>
          </cell>
          <cell r="Q772" t="str">
            <v>B</v>
          </cell>
          <cell r="R772" t="str">
            <v>A</v>
          </cell>
          <cell r="X772">
            <v>50.5</v>
          </cell>
        </row>
        <row r="773">
          <cell r="C773">
            <v>44334914</v>
          </cell>
          <cell r="D773" t="str">
            <v>ТОВ "ОЕР"</v>
          </cell>
          <cell r="E773">
            <v>45796.6227</v>
          </cell>
          <cell r="F773">
            <v>45748</v>
          </cell>
          <cell r="G773" t="str">
            <v>E</v>
          </cell>
          <cell r="H773" t="str">
            <v>B</v>
          </cell>
          <cell r="I773" t="str">
            <v>B</v>
          </cell>
          <cell r="J773" t="str">
            <v>A</v>
          </cell>
          <cell r="K773" t="str">
            <v>D</v>
          </cell>
          <cell r="L773" t="str">
            <v>A</v>
          </cell>
          <cell r="M773" t="str">
            <v>A</v>
          </cell>
          <cell r="N773" t="str">
            <v>B</v>
          </cell>
          <cell r="O773" t="str">
            <v>A</v>
          </cell>
          <cell r="P773" t="str">
            <v>C</v>
          </cell>
          <cell r="Q773" t="str">
            <v>A</v>
          </cell>
          <cell r="R773" t="str">
            <v>A</v>
          </cell>
          <cell r="X773">
            <v>55.3</v>
          </cell>
        </row>
        <row r="774">
          <cell r="C774">
            <v>44337695</v>
          </cell>
          <cell r="D774" t="str">
            <v>ТОВ "СЛОВО-47"</v>
          </cell>
          <cell r="E774">
            <v>45666</v>
          </cell>
          <cell r="F774">
            <v>45474</v>
          </cell>
          <cell r="G774" t="str">
            <v>E</v>
          </cell>
          <cell r="H774" t="str">
            <v>C</v>
          </cell>
          <cell r="I774" t="str">
            <v>B</v>
          </cell>
          <cell r="J774" t="str">
            <v>B</v>
          </cell>
          <cell r="K774" t="str">
            <v>E</v>
          </cell>
          <cell r="L774" t="str">
            <v>B</v>
          </cell>
          <cell r="M774" t="str">
            <v>B</v>
          </cell>
          <cell r="N774" t="str">
            <v>B</v>
          </cell>
          <cell r="O774" t="str">
            <v>A</v>
          </cell>
          <cell r="P774" t="str">
            <v>C</v>
          </cell>
          <cell r="Q774" t="str">
            <v>C</v>
          </cell>
          <cell r="R774" t="str">
            <v>A</v>
          </cell>
          <cell r="X774">
            <v>39.9</v>
          </cell>
        </row>
        <row r="775">
          <cell r="C775">
            <v>44431653</v>
          </cell>
          <cell r="D775" t="str">
            <v>ТОВ "НВО "УКРОБОРОНТЕХ"</v>
          </cell>
          <cell r="E775">
            <v>45981.639199999998</v>
          </cell>
          <cell r="F775">
            <v>45931</v>
          </cell>
          <cell r="G775" t="str">
            <v>E</v>
          </cell>
          <cell r="H775" t="str">
            <v>A</v>
          </cell>
          <cell r="I775" t="str">
            <v>B</v>
          </cell>
          <cell r="J775" t="str">
            <v>B</v>
          </cell>
          <cell r="K775" t="str">
            <v>D</v>
          </cell>
          <cell r="L775" t="str">
            <v>B</v>
          </cell>
          <cell r="M775" t="str">
            <v>A</v>
          </cell>
          <cell r="N775" t="str">
            <v>B</v>
          </cell>
          <cell r="O775" t="str">
            <v>A</v>
          </cell>
          <cell r="P775" t="str">
            <v>C</v>
          </cell>
          <cell r="Q775" t="str">
            <v>C</v>
          </cell>
          <cell r="R775" t="str">
            <v>A</v>
          </cell>
          <cell r="X775">
            <v>51.5</v>
          </cell>
        </row>
        <row r="776">
          <cell r="C776">
            <v>44476076</v>
          </cell>
          <cell r="D776" t="str">
            <v>ТОВ "ІТ ЕНЕРГІЯ"</v>
          </cell>
          <cell r="E776">
            <v>45824.4499</v>
          </cell>
          <cell r="F776">
            <v>45748</v>
          </cell>
          <cell r="G776" t="str">
            <v>E</v>
          </cell>
          <cell r="H776" t="str">
            <v>B</v>
          </cell>
          <cell r="I776" t="str">
            <v>B</v>
          </cell>
          <cell r="J776" t="str">
            <v>A</v>
          </cell>
          <cell r="K776" t="str">
            <v>E</v>
          </cell>
          <cell r="L776" t="str">
            <v>B</v>
          </cell>
          <cell r="M776" t="str">
            <v>A</v>
          </cell>
          <cell r="N776" t="str">
            <v>B</v>
          </cell>
          <cell r="O776" t="str">
            <v>A</v>
          </cell>
          <cell r="P776" t="str">
            <v>C</v>
          </cell>
          <cell r="Q776" t="str">
            <v>B</v>
          </cell>
          <cell r="R776" t="str">
            <v>B</v>
          </cell>
          <cell r="X776">
            <v>43.3</v>
          </cell>
        </row>
        <row r="777">
          <cell r="C777">
            <v>44482928</v>
          </cell>
          <cell r="D777" t="str">
            <v>ТОВ "СВІТ ЦУКРУ"</v>
          </cell>
          <cell r="E777">
            <v>45643.584199999998</v>
          </cell>
          <cell r="F777">
            <v>45566</v>
          </cell>
          <cell r="G777" t="str">
            <v>E</v>
          </cell>
          <cell r="H777" t="str">
            <v>B</v>
          </cell>
          <cell r="I777" t="str">
            <v>A</v>
          </cell>
          <cell r="J777" t="str">
            <v>B</v>
          </cell>
          <cell r="K777" t="str">
            <v>E</v>
          </cell>
          <cell r="L777" t="str">
            <v>B</v>
          </cell>
          <cell r="M777" t="str">
            <v>A</v>
          </cell>
          <cell r="N777" t="str">
            <v>A</v>
          </cell>
          <cell r="O777" t="str">
            <v>A</v>
          </cell>
          <cell r="P777" t="str">
            <v>C</v>
          </cell>
          <cell r="Q777" t="str">
            <v>B</v>
          </cell>
          <cell r="R777" t="str">
            <v>A</v>
          </cell>
          <cell r="X777">
            <v>48.6</v>
          </cell>
        </row>
        <row r="778">
          <cell r="C778">
            <v>44516967</v>
          </cell>
          <cell r="D778" t="str">
            <v>ТОВ "ЕЛЕКТРО БАЛАНС"</v>
          </cell>
          <cell r="E778">
            <v>45882.594899999996</v>
          </cell>
          <cell r="F778">
            <v>45839</v>
          </cell>
          <cell r="G778" t="str">
            <v>E</v>
          </cell>
          <cell r="H778" t="str">
            <v>B</v>
          </cell>
          <cell r="I778" t="str">
            <v>B</v>
          </cell>
          <cell r="J778" t="str">
            <v>B</v>
          </cell>
          <cell r="K778" t="str">
            <v>E</v>
          </cell>
          <cell r="L778" t="str">
            <v>A</v>
          </cell>
          <cell r="M778" t="str">
            <v>A</v>
          </cell>
          <cell r="N778" t="str">
            <v>B</v>
          </cell>
          <cell r="O778" t="str">
            <v>A</v>
          </cell>
          <cell r="P778" t="str">
            <v>C</v>
          </cell>
          <cell r="Q778" t="str">
            <v>B</v>
          </cell>
          <cell r="R778" t="str">
            <v>A</v>
          </cell>
          <cell r="X778">
            <v>54.500000000000007</v>
          </cell>
        </row>
        <row r="779">
          <cell r="C779">
            <v>44520690</v>
          </cell>
          <cell r="D779" t="str">
            <v>ТОВ "ДРАЙВ ПЕТРОЛ"</v>
          </cell>
          <cell r="E779">
            <v>45748.402099999999</v>
          </cell>
          <cell r="F779">
            <v>45566</v>
          </cell>
          <cell r="G779" t="str">
            <v>E</v>
          </cell>
          <cell r="H779" t="str">
            <v>C</v>
          </cell>
          <cell r="I779" t="str">
            <v>B</v>
          </cell>
          <cell r="J779" t="str">
            <v>C</v>
          </cell>
          <cell r="K779" t="str">
            <v>D</v>
          </cell>
          <cell r="L779" t="str">
            <v>B</v>
          </cell>
          <cell r="M779" t="str">
            <v>A</v>
          </cell>
          <cell r="N779" t="str">
            <v>B</v>
          </cell>
          <cell r="O779" t="str">
            <v>A</v>
          </cell>
          <cell r="P779" t="str">
            <v>C</v>
          </cell>
          <cell r="Q779" t="str">
            <v>C</v>
          </cell>
          <cell r="R779" t="str">
            <v>C</v>
          </cell>
          <cell r="X779">
            <v>44.3</v>
          </cell>
        </row>
        <row r="780">
          <cell r="C780">
            <v>44542948</v>
          </cell>
          <cell r="D780" t="str">
            <v>ТОВ "СП ЧЕРНІГІВ"</v>
          </cell>
          <cell r="E780">
            <v>45861.418100000003</v>
          </cell>
          <cell r="F780">
            <v>45748</v>
          </cell>
          <cell r="G780" t="str">
            <v>E</v>
          </cell>
          <cell r="H780" t="str">
            <v>B</v>
          </cell>
          <cell r="I780" t="str">
            <v>B</v>
          </cell>
          <cell r="J780" t="str">
            <v>C</v>
          </cell>
          <cell r="K780" t="str">
            <v>D</v>
          </cell>
          <cell r="L780" t="str">
            <v>A</v>
          </cell>
          <cell r="M780" t="str">
            <v>A</v>
          </cell>
          <cell r="N780" t="str">
            <v>B</v>
          </cell>
          <cell r="O780" t="str">
            <v>B</v>
          </cell>
          <cell r="P780" t="str">
            <v>C</v>
          </cell>
          <cell r="Q780" t="str">
            <v>B</v>
          </cell>
          <cell r="R780" t="str">
            <v>C</v>
          </cell>
          <cell r="X780">
            <v>48.900000000000006</v>
          </cell>
        </row>
        <row r="781">
          <cell r="C781">
            <v>44557851</v>
          </cell>
          <cell r="D781" t="str">
            <v>ТОВ "АТМ  ЧЕРКАСИ"</v>
          </cell>
          <cell r="E781">
            <v>45905.954299999998</v>
          </cell>
          <cell r="F781">
            <v>45839</v>
          </cell>
          <cell r="G781" t="str">
            <v>E</v>
          </cell>
          <cell r="H781" t="str">
            <v>A</v>
          </cell>
          <cell r="I781" t="str">
            <v>B</v>
          </cell>
          <cell r="J781" t="str">
            <v>C</v>
          </cell>
          <cell r="K781" t="str">
            <v>D</v>
          </cell>
          <cell r="L781" t="str">
            <v>B</v>
          </cell>
          <cell r="M781" t="str">
            <v>A</v>
          </cell>
          <cell r="N781" t="str">
            <v>A</v>
          </cell>
          <cell r="O781" t="str">
            <v>A</v>
          </cell>
          <cell r="P781" t="str">
            <v>C</v>
          </cell>
          <cell r="Q781" t="str">
            <v>B</v>
          </cell>
          <cell r="R781" t="str">
            <v>B</v>
          </cell>
          <cell r="X781">
            <v>55.8</v>
          </cell>
        </row>
        <row r="782">
          <cell r="C782">
            <v>44558944</v>
          </cell>
          <cell r="D782" t="str">
            <v>ТОВ "СНАБ-ЕЛЕКТРО"</v>
          </cell>
          <cell r="E782">
            <v>45706.487399999998</v>
          </cell>
          <cell r="F782">
            <v>45566</v>
          </cell>
          <cell r="G782" t="str">
            <v>E</v>
          </cell>
          <cell r="H782" t="str">
            <v>B</v>
          </cell>
          <cell r="I782" t="str">
            <v>A</v>
          </cell>
          <cell r="J782" t="str">
            <v>A</v>
          </cell>
          <cell r="K782" t="str">
            <v>D</v>
          </cell>
          <cell r="L782" t="str">
            <v>B</v>
          </cell>
          <cell r="M782" t="str">
            <v>A</v>
          </cell>
          <cell r="N782" t="str">
            <v>B</v>
          </cell>
          <cell r="O782" t="str">
            <v>A</v>
          </cell>
          <cell r="P782" t="str">
            <v>C</v>
          </cell>
          <cell r="Q782" t="str">
            <v>B</v>
          </cell>
          <cell r="R782" t="str">
            <v>A</v>
          </cell>
          <cell r="X782">
            <v>43.699999999999996</v>
          </cell>
        </row>
        <row r="783">
          <cell r="C783">
            <v>44592021</v>
          </cell>
          <cell r="D783" t="str">
            <v>ТОВ "МОТОРКАР  ЧЕРКАСИ"</v>
          </cell>
          <cell r="E783">
            <v>45905.954299999998</v>
          </cell>
          <cell r="F783">
            <v>45839</v>
          </cell>
          <cell r="G783" t="str">
            <v>E</v>
          </cell>
          <cell r="H783" t="str">
            <v>A</v>
          </cell>
          <cell r="I783" t="str">
            <v>B</v>
          </cell>
          <cell r="J783" t="str">
            <v>C</v>
          </cell>
          <cell r="K783" t="str">
            <v>D</v>
          </cell>
          <cell r="L783" t="str">
            <v>B</v>
          </cell>
          <cell r="M783" t="str">
            <v>A</v>
          </cell>
          <cell r="N783" t="str">
            <v>A</v>
          </cell>
          <cell r="O783" t="str">
            <v>A</v>
          </cell>
          <cell r="P783" t="str">
            <v>C</v>
          </cell>
          <cell r="Q783" t="str">
            <v>B</v>
          </cell>
          <cell r="R783" t="str">
            <v>B</v>
          </cell>
          <cell r="X783">
            <v>55.8</v>
          </cell>
        </row>
        <row r="784">
          <cell r="C784">
            <v>44624498</v>
          </cell>
          <cell r="D784" t="str">
            <v>ТОВ "ГЛОБАЛ ТОБАККО"</v>
          </cell>
          <cell r="E784">
            <v>45882</v>
          </cell>
          <cell r="F784">
            <v>45748</v>
          </cell>
          <cell r="G784" t="str">
            <v>A</v>
          </cell>
          <cell r="H784" t="str">
            <v>B</v>
          </cell>
          <cell r="I784" t="str">
            <v>C</v>
          </cell>
          <cell r="J784" t="str">
            <v>B</v>
          </cell>
          <cell r="K784" t="str">
            <v>D</v>
          </cell>
          <cell r="L784" t="str">
            <v>B</v>
          </cell>
          <cell r="M784" t="str">
            <v>A</v>
          </cell>
          <cell r="N784" t="str">
            <v>C</v>
          </cell>
          <cell r="O784" t="str">
            <v>B</v>
          </cell>
          <cell r="P784" t="str">
            <v>C</v>
          </cell>
          <cell r="Q784" t="str">
            <v>B</v>
          </cell>
          <cell r="R784" t="str">
            <v>A</v>
          </cell>
          <cell r="X784">
            <v>44.199999999999996</v>
          </cell>
        </row>
        <row r="785">
          <cell r="C785">
            <v>44673090</v>
          </cell>
          <cell r="D785" t="str">
            <v>ТОВ "НЕКСЕН ГРУП"</v>
          </cell>
          <cell r="E785">
            <v>45722.520299999996</v>
          </cell>
          <cell r="F785">
            <v>45474</v>
          </cell>
          <cell r="G785" t="str">
            <v>E</v>
          </cell>
          <cell r="H785" t="str">
            <v>C</v>
          </cell>
          <cell r="I785" t="str">
            <v>A</v>
          </cell>
          <cell r="J785" t="str">
            <v>B</v>
          </cell>
          <cell r="K785" t="str">
            <v>D</v>
          </cell>
          <cell r="L785" t="str">
            <v>B</v>
          </cell>
          <cell r="M785" t="str">
            <v>C</v>
          </cell>
          <cell r="N785" t="str">
            <v>B</v>
          </cell>
          <cell r="O785" t="str">
            <v>A</v>
          </cell>
          <cell r="P785" t="str">
            <v>C</v>
          </cell>
          <cell r="Q785" t="str">
            <v>C</v>
          </cell>
          <cell r="R785" t="str">
            <v>C</v>
          </cell>
          <cell r="X785">
            <v>29.5</v>
          </cell>
        </row>
        <row r="786">
          <cell r="C786">
            <v>44673461</v>
          </cell>
          <cell r="D786" t="str">
            <v>ТОВ "ПОЛЕТЕХНІКА-АГРО"</v>
          </cell>
          <cell r="E786">
            <v>45912.458899999998</v>
          </cell>
          <cell r="F786">
            <v>45839</v>
          </cell>
          <cell r="G786" t="str">
            <v>D</v>
          </cell>
          <cell r="H786" t="str">
            <v>A</v>
          </cell>
          <cell r="I786" t="str">
            <v>C</v>
          </cell>
          <cell r="J786" t="str">
            <v>C</v>
          </cell>
          <cell r="K786" t="str">
            <v>B</v>
          </cell>
          <cell r="L786" t="str">
            <v>B</v>
          </cell>
          <cell r="M786" t="str">
            <v>A</v>
          </cell>
          <cell r="N786" t="str">
            <v>B</v>
          </cell>
          <cell r="O786" t="str">
            <v>A</v>
          </cell>
          <cell r="P786" t="str">
            <v>C</v>
          </cell>
          <cell r="Q786" t="str">
            <v>B</v>
          </cell>
          <cell r="R786" t="str">
            <v>B</v>
          </cell>
          <cell r="X786">
            <v>51.7</v>
          </cell>
        </row>
        <row r="787">
          <cell r="C787">
            <v>44674486</v>
          </cell>
          <cell r="D787" t="str">
            <v>ТОВ "М'ЯСОКОМБІНАТ ТЕРНОПІЛЬСЬКИЙ"</v>
          </cell>
          <cell r="E787">
            <v>45672.716</v>
          </cell>
          <cell r="F787">
            <v>45566</v>
          </cell>
          <cell r="G787" t="str">
            <v>E</v>
          </cell>
          <cell r="H787" t="str">
            <v>B</v>
          </cell>
          <cell r="I787" t="str">
            <v>D</v>
          </cell>
          <cell r="J787" t="str">
            <v>A</v>
          </cell>
          <cell r="K787" t="str">
            <v>D</v>
          </cell>
          <cell r="L787" t="str">
            <v>A</v>
          </cell>
          <cell r="M787" t="str">
            <v>A</v>
          </cell>
          <cell r="N787" t="str">
            <v>A</v>
          </cell>
          <cell r="O787" t="str">
            <v>A</v>
          </cell>
          <cell r="P787" t="str">
            <v>C</v>
          </cell>
          <cell r="Q787" t="str">
            <v>B</v>
          </cell>
          <cell r="R787" t="str">
            <v>A</v>
          </cell>
          <cell r="X787">
            <v>49.4</v>
          </cell>
        </row>
        <row r="788">
          <cell r="C788">
            <v>44707123</v>
          </cell>
          <cell r="D788" t="str">
            <v>ТОВ "М ОЙЛ ТРЕЙД"</v>
          </cell>
          <cell r="E788">
            <v>45709</v>
          </cell>
          <cell r="F788">
            <v>45566</v>
          </cell>
          <cell r="G788" t="str">
            <v>D</v>
          </cell>
          <cell r="H788" t="str">
            <v>B</v>
          </cell>
          <cell r="I788" t="str">
            <v>A</v>
          </cell>
          <cell r="J788" t="str">
            <v>C</v>
          </cell>
          <cell r="K788" t="str">
            <v>B</v>
          </cell>
          <cell r="L788" t="str">
            <v>A</v>
          </cell>
          <cell r="M788" t="str">
            <v>A</v>
          </cell>
          <cell r="N788" t="str">
            <v>B</v>
          </cell>
          <cell r="O788" t="str">
            <v>A</v>
          </cell>
          <cell r="P788" t="str">
            <v>A</v>
          </cell>
          <cell r="Q788" t="str">
            <v>B</v>
          </cell>
          <cell r="R788" t="str">
            <v>B</v>
          </cell>
          <cell r="X788">
            <v>61.900000000000006</v>
          </cell>
        </row>
        <row r="789">
          <cell r="C789">
            <v>44708001</v>
          </cell>
          <cell r="D789" t="str">
            <v>ТОВ "ПРАГА АВТО НА КІЛЬЦЕВІЙ"</v>
          </cell>
          <cell r="E789">
            <v>45831.7091</v>
          </cell>
          <cell r="F789">
            <v>45748</v>
          </cell>
          <cell r="G789" t="str">
            <v>D</v>
          </cell>
          <cell r="H789" t="str">
            <v>B</v>
          </cell>
          <cell r="I789" t="str">
            <v>B</v>
          </cell>
          <cell r="J789" t="str">
            <v>B</v>
          </cell>
          <cell r="K789" t="str">
            <v>D</v>
          </cell>
          <cell r="L789" t="str">
            <v>B</v>
          </cell>
          <cell r="M789" t="str">
            <v>A</v>
          </cell>
          <cell r="N789" t="str">
            <v>A</v>
          </cell>
          <cell r="O789" t="str">
            <v>A</v>
          </cell>
          <cell r="P789" t="str">
            <v>C</v>
          </cell>
          <cell r="Q789" t="str">
            <v>B</v>
          </cell>
          <cell r="R789" t="str">
            <v>B</v>
          </cell>
          <cell r="X789">
            <v>54.2</v>
          </cell>
        </row>
        <row r="790">
          <cell r="C790">
            <v>44722141</v>
          </cell>
          <cell r="D790" t="str">
            <v>ТОВ "КАМІОН-1"</v>
          </cell>
          <cell r="E790">
            <v>45979.5406</v>
          </cell>
          <cell r="F790">
            <v>45931</v>
          </cell>
          <cell r="G790" t="str">
            <v>E</v>
          </cell>
          <cell r="H790" t="str">
            <v>A</v>
          </cell>
          <cell r="I790" t="str">
            <v>B</v>
          </cell>
          <cell r="J790" t="str">
            <v>A</v>
          </cell>
          <cell r="K790" t="str">
            <v>D</v>
          </cell>
          <cell r="L790" t="str">
            <v>A</v>
          </cell>
          <cell r="M790" t="str">
            <v>A</v>
          </cell>
          <cell r="N790" t="str">
            <v>B</v>
          </cell>
          <cell r="O790" t="str">
            <v>A</v>
          </cell>
          <cell r="P790" t="str">
            <v>C</v>
          </cell>
          <cell r="Q790" t="str">
            <v>B</v>
          </cell>
          <cell r="R790" t="str">
            <v>A</v>
          </cell>
          <cell r="X790">
            <v>55.300000000000004</v>
          </cell>
        </row>
        <row r="791">
          <cell r="C791">
            <v>44725907</v>
          </cell>
          <cell r="D791" t="str">
            <v>ТОВ «СКБ ОВТ»</v>
          </cell>
          <cell r="E791">
            <v>45795.580999999998</v>
          </cell>
          <cell r="F791">
            <v>45658</v>
          </cell>
          <cell r="G791" t="str">
            <v>E</v>
          </cell>
          <cell r="H791" t="str">
            <v>A</v>
          </cell>
          <cell r="I791" t="str">
            <v>C</v>
          </cell>
          <cell r="J791" t="str">
            <v>A</v>
          </cell>
          <cell r="K791" t="str">
            <v>B</v>
          </cell>
          <cell r="L791" t="str">
            <v>B</v>
          </cell>
          <cell r="M791" t="str">
            <v>A</v>
          </cell>
          <cell r="N791" t="str">
            <v>B</v>
          </cell>
          <cell r="O791" t="str">
            <v>A</v>
          </cell>
          <cell r="P791" t="str">
            <v>B</v>
          </cell>
          <cell r="Q791" t="str">
            <v>B</v>
          </cell>
          <cell r="R791" t="str">
            <v>C</v>
          </cell>
          <cell r="X791">
            <v>41.900000000000006</v>
          </cell>
        </row>
        <row r="792">
          <cell r="C792">
            <v>44728562</v>
          </cell>
          <cell r="D792" t="str">
            <v>ТОВ "АСТ"</v>
          </cell>
          <cell r="E792">
            <v>45860</v>
          </cell>
          <cell r="F792">
            <v>45748</v>
          </cell>
          <cell r="G792" t="str">
            <v>E</v>
          </cell>
          <cell r="H792" t="str">
            <v>B</v>
          </cell>
          <cell r="I792" t="str">
            <v>C</v>
          </cell>
          <cell r="J792" t="str">
            <v>A</v>
          </cell>
          <cell r="K792" t="str">
            <v>B</v>
          </cell>
          <cell r="L792" t="str">
            <v>B</v>
          </cell>
          <cell r="M792" t="str">
            <v>A</v>
          </cell>
          <cell r="N792" t="str">
            <v>B</v>
          </cell>
          <cell r="O792" t="str">
            <v>A</v>
          </cell>
          <cell r="P792" t="str">
            <v>C</v>
          </cell>
          <cell r="Q792" t="str">
            <v>B</v>
          </cell>
          <cell r="R792" t="str">
            <v>A</v>
          </cell>
          <cell r="X792">
            <v>43.699999999999996</v>
          </cell>
        </row>
        <row r="793">
          <cell r="C793">
            <v>44736615</v>
          </cell>
          <cell r="D793" t="str">
            <v>ТОВ "ДРОПЛА ТЕК"</v>
          </cell>
          <cell r="E793">
            <v>45838.732100000001</v>
          </cell>
          <cell r="F793">
            <v>45658</v>
          </cell>
          <cell r="G793" t="str">
            <v>E</v>
          </cell>
          <cell r="H793" t="str">
            <v>B</v>
          </cell>
          <cell r="I793" t="str">
            <v>B</v>
          </cell>
          <cell r="J793" t="str">
            <v>A</v>
          </cell>
          <cell r="K793" t="str">
            <v>D</v>
          </cell>
          <cell r="L793" t="str">
            <v>A</v>
          </cell>
          <cell r="M793" t="str">
            <v>A</v>
          </cell>
          <cell r="N793" t="str">
            <v>B</v>
          </cell>
          <cell r="O793" t="str">
            <v>A</v>
          </cell>
          <cell r="P793" t="str">
            <v>A</v>
          </cell>
          <cell r="Q793" t="str">
            <v>B</v>
          </cell>
          <cell r="R793" t="str">
            <v>B</v>
          </cell>
          <cell r="X793">
            <v>53.5</v>
          </cell>
        </row>
        <row r="794">
          <cell r="C794">
            <v>44739878</v>
          </cell>
          <cell r="D794" t="str">
            <v>ТОВ "НЕКСЕН ОЙЛ"</v>
          </cell>
          <cell r="E794">
            <v>45722.520299999996</v>
          </cell>
          <cell r="F794">
            <v>45474</v>
          </cell>
          <cell r="G794" t="str">
            <v>E</v>
          </cell>
          <cell r="H794" t="str">
            <v>C</v>
          </cell>
          <cell r="I794" t="str">
            <v>A</v>
          </cell>
          <cell r="J794" t="str">
            <v>B</v>
          </cell>
          <cell r="K794" t="str">
            <v>D</v>
          </cell>
          <cell r="L794" t="str">
            <v>B</v>
          </cell>
          <cell r="M794" t="str">
            <v>C</v>
          </cell>
          <cell r="N794" t="str">
            <v>B</v>
          </cell>
          <cell r="O794" t="str">
            <v>A</v>
          </cell>
          <cell r="P794" t="str">
            <v>C</v>
          </cell>
          <cell r="Q794" t="str">
            <v>C</v>
          </cell>
          <cell r="R794" t="str">
            <v>C</v>
          </cell>
          <cell r="X794">
            <v>29.5</v>
          </cell>
        </row>
        <row r="795">
          <cell r="C795">
            <v>44762781</v>
          </cell>
          <cell r="D795" t="str">
            <v>ТОВ «НУМІС»</v>
          </cell>
          <cell r="E795">
            <v>45810.4712</v>
          </cell>
          <cell r="F795">
            <v>45748</v>
          </cell>
          <cell r="G795" t="str">
            <v>C</v>
          </cell>
          <cell r="H795" t="str">
            <v>C</v>
          </cell>
          <cell r="I795" t="str">
            <v>B</v>
          </cell>
          <cell r="J795" t="str">
            <v>D</v>
          </cell>
          <cell r="K795" t="str">
            <v>D</v>
          </cell>
          <cell r="L795" t="str">
            <v>B</v>
          </cell>
          <cell r="M795" t="str">
            <v>B</v>
          </cell>
          <cell r="N795" t="str">
            <v>B</v>
          </cell>
          <cell r="O795" t="str">
            <v>A</v>
          </cell>
          <cell r="P795" t="str">
            <v>C</v>
          </cell>
          <cell r="Q795" t="str">
            <v>B</v>
          </cell>
          <cell r="R795" t="str">
            <v>B</v>
          </cell>
          <cell r="X795">
            <v>48.5</v>
          </cell>
        </row>
        <row r="796">
          <cell r="C796">
            <v>44763015</v>
          </cell>
          <cell r="D796" t="str">
            <v>ТОВ "ЛІГ 1"</v>
          </cell>
          <cell r="E796">
            <v>45826.77</v>
          </cell>
          <cell r="F796">
            <v>45658</v>
          </cell>
          <cell r="G796" t="str">
            <v>D</v>
          </cell>
          <cell r="H796" t="str">
            <v>B</v>
          </cell>
          <cell r="I796" t="str">
            <v>B</v>
          </cell>
          <cell r="J796" t="str">
            <v>B</v>
          </cell>
          <cell r="K796" t="str">
            <v>B</v>
          </cell>
          <cell r="L796" t="str">
            <v>B</v>
          </cell>
          <cell r="M796" t="str">
            <v>A</v>
          </cell>
          <cell r="N796" t="str">
            <v>B</v>
          </cell>
          <cell r="O796" t="str">
            <v>A</v>
          </cell>
          <cell r="P796" t="str">
            <v>C</v>
          </cell>
          <cell r="Q796" t="str">
            <v>C</v>
          </cell>
          <cell r="R796" t="str">
            <v>C</v>
          </cell>
          <cell r="X796">
            <v>50.3</v>
          </cell>
        </row>
        <row r="797">
          <cell r="C797">
            <v>44763104</v>
          </cell>
          <cell r="D797" t="str">
            <v>ТОВ "ПЕТРОЛ ПАРТНЕР"</v>
          </cell>
          <cell r="E797">
            <v>45894.442600000002</v>
          </cell>
          <cell r="F797">
            <v>45658</v>
          </cell>
          <cell r="G797" t="str">
            <v>C</v>
          </cell>
          <cell r="H797" t="str">
            <v>C</v>
          </cell>
          <cell r="I797" t="str">
            <v>B</v>
          </cell>
          <cell r="J797" t="str">
            <v>D</v>
          </cell>
          <cell r="K797" t="str">
            <v>D</v>
          </cell>
          <cell r="L797" t="str">
            <v>A</v>
          </cell>
          <cell r="M797" t="str">
            <v>A</v>
          </cell>
          <cell r="N797" t="str">
            <v>C</v>
          </cell>
          <cell r="O797" t="str">
            <v>A</v>
          </cell>
          <cell r="P797" t="str">
            <v>A</v>
          </cell>
          <cell r="Q797" t="str">
            <v>A</v>
          </cell>
          <cell r="R797" t="str">
            <v>A</v>
          </cell>
          <cell r="X797">
            <v>68.400000000000006</v>
          </cell>
        </row>
        <row r="798">
          <cell r="C798">
            <v>44768694</v>
          </cell>
          <cell r="D798" t="str">
            <v>ТОВ "Енергія ТЛК"</v>
          </cell>
          <cell r="E798">
            <v>45705.6607</v>
          </cell>
          <cell r="F798">
            <v>45658</v>
          </cell>
          <cell r="G798" t="str">
            <v>E</v>
          </cell>
          <cell r="H798" t="str">
            <v>B</v>
          </cell>
          <cell r="I798" t="str">
            <v>A</v>
          </cell>
          <cell r="J798" t="str">
            <v>A</v>
          </cell>
          <cell r="K798" t="str">
            <v>C</v>
          </cell>
          <cell r="L798" t="str">
            <v>B</v>
          </cell>
          <cell r="M798" t="str">
            <v>A</v>
          </cell>
          <cell r="N798" t="str">
            <v>B</v>
          </cell>
          <cell r="O798" t="str">
            <v>A</v>
          </cell>
          <cell r="P798" t="str">
            <v>C</v>
          </cell>
          <cell r="Q798" t="str">
            <v>B</v>
          </cell>
          <cell r="R798" t="str">
            <v>A</v>
          </cell>
          <cell r="X798">
            <v>46.5</v>
          </cell>
        </row>
        <row r="799">
          <cell r="C799">
            <v>44772543</v>
          </cell>
          <cell r="D799" t="str">
            <v>ТОВ "ТД "ФАВОРИТ АВТО ВІННИЦЯ"</v>
          </cell>
          <cell r="E799">
            <v>45831.7091</v>
          </cell>
          <cell r="F799">
            <v>45748</v>
          </cell>
          <cell r="G799" t="str">
            <v>D</v>
          </cell>
          <cell r="H799" t="str">
            <v>B</v>
          </cell>
          <cell r="I799" t="str">
            <v>B</v>
          </cell>
          <cell r="J799" t="str">
            <v>B</v>
          </cell>
          <cell r="K799" t="str">
            <v>D</v>
          </cell>
          <cell r="L799" t="str">
            <v>B</v>
          </cell>
          <cell r="M799" t="str">
            <v>A</v>
          </cell>
          <cell r="N799" t="str">
            <v>A</v>
          </cell>
          <cell r="O799" t="str">
            <v>A</v>
          </cell>
          <cell r="P799" t="str">
            <v>C</v>
          </cell>
          <cell r="Q799" t="str">
            <v>B</v>
          </cell>
          <cell r="R799" t="str">
            <v>B</v>
          </cell>
          <cell r="X799">
            <v>54.2</v>
          </cell>
        </row>
        <row r="800">
          <cell r="C800">
            <v>44776698</v>
          </cell>
          <cell r="D800" t="str">
            <v>ТОВ «АГРО-СОЛАР»</v>
          </cell>
          <cell r="E800">
            <v>45889.609499999999</v>
          </cell>
          <cell r="F800">
            <v>45748</v>
          </cell>
          <cell r="G800" t="str">
            <v>E</v>
          </cell>
          <cell r="H800" t="str">
            <v>C</v>
          </cell>
          <cell r="I800" t="str">
            <v>B</v>
          </cell>
          <cell r="J800" t="str">
            <v>A</v>
          </cell>
          <cell r="K800" t="str">
            <v>D</v>
          </cell>
          <cell r="L800" t="str">
            <v>A</v>
          </cell>
          <cell r="M800" t="str">
            <v>A</v>
          </cell>
          <cell r="N800" t="str">
            <v>C</v>
          </cell>
          <cell r="O800" t="str">
            <v>A</v>
          </cell>
          <cell r="P800" t="str">
            <v>C</v>
          </cell>
          <cell r="Q800" t="str">
            <v>B</v>
          </cell>
          <cell r="R800" t="str">
            <v>B</v>
          </cell>
          <cell r="X800">
            <v>46.199999999999996</v>
          </cell>
        </row>
        <row r="801">
          <cell r="C801">
            <v>44799717</v>
          </cell>
          <cell r="D801" t="str">
            <v>ТОВ "УАТ"</v>
          </cell>
          <cell r="E801">
            <v>45812.640500000001</v>
          </cell>
          <cell r="F801">
            <v>45658</v>
          </cell>
          <cell r="G801" t="str">
            <v>D</v>
          </cell>
          <cell r="H801" t="str">
            <v>A</v>
          </cell>
          <cell r="I801" t="str">
            <v>B</v>
          </cell>
          <cell r="J801" t="str">
            <v>A</v>
          </cell>
          <cell r="K801" t="str">
            <v>C</v>
          </cell>
          <cell r="L801" t="str">
            <v>A</v>
          </cell>
          <cell r="M801" t="str">
            <v>A</v>
          </cell>
          <cell r="N801" t="str">
            <v>A</v>
          </cell>
          <cell r="O801" t="str">
            <v>A</v>
          </cell>
          <cell r="P801" t="str">
            <v>A</v>
          </cell>
          <cell r="Q801" t="str">
            <v>B</v>
          </cell>
          <cell r="R801" t="str">
            <v>A</v>
          </cell>
          <cell r="X801">
            <v>69.2</v>
          </cell>
        </row>
        <row r="802">
          <cell r="C802">
            <v>44800224</v>
          </cell>
          <cell r="D802" t="str">
            <v>ТОВ "КОМПАНІЯ ОККО-БІЗНЕС"</v>
          </cell>
          <cell r="E802">
            <v>45653.631099999999</v>
          </cell>
          <cell r="F802">
            <v>45474</v>
          </cell>
          <cell r="G802" t="str">
            <v>C</v>
          </cell>
          <cell r="H802" t="str">
            <v>C</v>
          </cell>
          <cell r="I802" t="str">
            <v>B</v>
          </cell>
          <cell r="J802" t="str">
            <v>C</v>
          </cell>
          <cell r="K802" t="str">
            <v>D</v>
          </cell>
          <cell r="L802" t="str">
            <v>A</v>
          </cell>
          <cell r="M802" t="str">
            <v>A</v>
          </cell>
          <cell r="N802" t="str">
            <v>A</v>
          </cell>
          <cell r="O802" t="str">
            <v>B</v>
          </cell>
          <cell r="P802" t="str">
            <v>C</v>
          </cell>
          <cell r="Q802" t="str">
            <v>B</v>
          </cell>
          <cell r="R802" t="str">
            <v>A</v>
          </cell>
          <cell r="X802">
            <v>60.599999999999994</v>
          </cell>
        </row>
        <row r="803">
          <cell r="C803">
            <v>44800308</v>
          </cell>
          <cell r="D803" t="str">
            <v>ТОВ "ПЕТРОЛ КОНТРАКТ"</v>
          </cell>
          <cell r="E803">
            <v>45894.442600000002</v>
          </cell>
          <cell r="F803">
            <v>45658</v>
          </cell>
          <cell r="G803" t="str">
            <v>C</v>
          </cell>
          <cell r="H803" t="str">
            <v>C</v>
          </cell>
          <cell r="I803" t="str">
            <v>B</v>
          </cell>
          <cell r="J803" t="str">
            <v>D</v>
          </cell>
          <cell r="K803" t="str">
            <v>D</v>
          </cell>
          <cell r="L803" t="str">
            <v>A</v>
          </cell>
          <cell r="M803" t="str">
            <v>A</v>
          </cell>
          <cell r="N803" t="str">
            <v>C</v>
          </cell>
          <cell r="O803" t="str">
            <v>A</v>
          </cell>
          <cell r="P803" t="str">
            <v>A</v>
          </cell>
          <cell r="Q803" t="str">
            <v>A</v>
          </cell>
          <cell r="R803" t="str">
            <v>A</v>
          </cell>
          <cell r="X803">
            <v>68.400000000000006</v>
          </cell>
        </row>
        <row r="804">
          <cell r="C804">
            <v>44806137</v>
          </cell>
          <cell r="D804" t="str">
            <v>ТОВ "САЙН ІНЖИНІРИНГ"</v>
          </cell>
          <cell r="E804">
            <v>45949.817999999999</v>
          </cell>
          <cell r="F804">
            <v>45839</v>
          </cell>
          <cell r="G804" t="str">
            <v>E</v>
          </cell>
          <cell r="H804" t="str">
            <v>B</v>
          </cell>
          <cell r="I804" t="str">
            <v>B</v>
          </cell>
          <cell r="J804" t="str">
            <v>A</v>
          </cell>
          <cell r="K804" t="str">
            <v>A</v>
          </cell>
          <cell r="L804" t="str">
            <v>A</v>
          </cell>
          <cell r="M804" t="str">
            <v>A</v>
          </cell>
          <cell r="N804" t="str">
            <v>A</v>
          </cell>
          <cell r="O804" t="str">
            <v>A</v>
          </cell>
          <cell r="P804" t="str">
            <v>A</v>
          </cell>
          <cell r="Q804" t="str">
            <v>B</v>
          </cell>
          <cell r="R804" t="str">
            <v>A</v>
          </cell>
          <cell r="X804">
            <v>65.2</v>
          </cell>
        </row>
        <row r="805">
          <cell r="C805">
            <v>44812334</v>
          </cell>
          <cell r="D805" t="str">
            <v>ТзОВ "ДіСіЕм Енерджі"</v>
          </cell>
          <cell r="E805">
            <v>45959.499000000003</v>
          </cell>
          <cell r="F805">
            <v>45839</v>
          </cell>
          <cell r="G805" t="str">
            <v>E</v>
          </cell>
          <cell r="H805" t="str">
            <v>B</v>
          </cell>
          <cell r="I805" t="str">
            <v>B</v>
          </cell>
          <cell r="J805" t="str">
            <v>A</v>
          </cell>
          <cell r="K805" t="str">
            <v>D</v>
          </cell>
          <cell r="L805" t="str">
            <v>A</v>
          </cell>
          <cell r="M805" t="str">
            <v>A</v>
          </cell>
          <cell r="N805" t="str">
            <v>B</v>
          </cell>
          <cell r="O805" t="str">
            <v>A</v>
          </cell>
          <cell r="P805" t="str">
            <v>C</v>
          </cell>
          <cell r="Q805" t="str">
            <v>C</v>
          </cell>
          <cell r="R805" t="str">
            <v>A</v>
          </cell>
          <cell r="X805">
            <v>51.099999999999994</v>
          </cell>
        </row>
        <row r="806">
          <cell r="C806">
            <v>44817091</v>
          </cell>
          <cell r="D806" t="str">
            <v>ТОВ "ДК "МІРАНА"</v>
          </cell>
          <cell r="E806">
            <v>45786.691599999998</v>
          </cell>
          <cell r="F806">
            <v>45658</v>
          </cell>
          <cell r="G806" t="str">
            <v>D</v>
          </cell>
          <cell r="H806" t="str">
            <v>B</v>
          </cell>
          <cell r="I806" t="str">
            <v>B</v>
          </cell>
          <cell r="J806" t="str">
            <v>A</v>
          </cell>
          <cell r="K806" t="str">
            <v>D</v>
          </cell>
          <cell r="L806" t="str">
            <v>B</v>
          </cell>
          <cell r="M806" t="str">
            <v>A</v>
          </cell>
          <cell r="N806" t="str">
            <v>B</v>
          </cell>
          <cell r="O806" t="str">
            <v>B</v>
          </cell>
          <cell r="P806" t="str">
            <v>B</v>
          </cell>
          <cell r="Q806" t="str">
            <v>C</v>
          </cell>
          <cell r="R806" t="str">
            <v>A</v>
          </cell>
          <cell r="X806">
            <v>48.1</v>
          </cell>
        </row>
        <row r="807">
          <cell r="C807">
            <v>44821396</v>
          </cell>
          <cell r="D807" t="str">
            <v>ТОВ "ФОРСАЖ ЕНЕРДЖІ КОМПАНІ"</v>
          </cell>
          <cell r="E807">
            <v>45741</v>
          </cell>
          <cell r="F807">
            <v>45566</v>
          </cell>
          <cell r="G807" t="str">
            <v>E</v>
          </cell>
          <cell r="H807" t="str">
            <v>C</v>
          </cell>
          <cell r="I807" t="str">
            <v>A</v>
          </cell>
          <cell r="J807" t="str">
            <v>A</v>
          </cell>
          <cell r="K807" t="str">
            <v>D</v>
          </cell>
          <cell r="L807" t="str">
            <v>B</v>
          </cell>
          <cell r="M807" t="str">
            <v>A</v>
          </cell>
          <cell r="N807" t="str">
            <v>B</v>
          </cell>
          <cell r="O807" t="str">
            <v>A</v>
          </cell>
          <cell r="P807" t="str">
            <v>C</v>
          </cell>
          <cell r="Q807" t="str">
            <v>B</v>
          </cell>
          <cell r="R807" t="str">
            <v>A</v>
          </cell>
          <cell r="X807">
            <v>42.1</v>
          </cell>
        </row>
        <row r="808">
          <cell r="C808">
            <v>44825343</v>
          </cell>
          <cell r="D808" t="str">
            <v>ТОВ "КІБЕРСАЙД"</v>
          </cell>
          <cell r="E808">
            <v>45790.791400000002</v>
          </cell>
          <cell r="F808">
            <v>45658</v>
          </cell>
          <cell r="G808" t="str">
            <v>E</v>
          </cell>
          <cell r="H808" t="str">
            <v>B</v>
          </cell>
          <cell r="I808" t="str">
            <v>B</v>
          </cell>
          <cell r="J808" t="str">
            <v>A</v>
          </cell>
          <cell r="K808" t="str">
            <v>C</v>
          </cell>
          <cell r="L808" t="str">
            <v>B</v>
          </cell>
          <cell r="M808" t="str">
            <v>A</v>
          </cell>
          <cell r="N808" t="str">
            <v>B</v>
          </cell>
          <cell r="O808" t="str">
            <v>A</v>
          </cell>
          <cell r="P808" t="str">
            <v>C</v>
          </cell>
          <cell r="Q808" t="str">
            <v>B</v>
          </cell>
          <cell r="R808" t="str">
            <v>A</v>
          </cell>
          <cell r="X808">
            <v>50.9</v>
          </cell>
        </row>
        <row r="809">
          <cell r="C809">
            <v>44829898</v>
          </cell>
          <cell r="D809" t="str">
            <v>ТОВ "ОЛІЯ ДОБРА"</v>
          </cell>
          <cell r="E809">
            <v>45768.490299999998</v>
          </cell>
          <cell r="F809">
            <v>45658</v>
          </cell>
          <cell r="G809" t="str">
            <v>E</v>
          </cell>
          <cell r="H809" t="str">
            <v>C</v>
          </cell>
          <cell r="I809" t="str">
            <v>C</v>
          </cell>
          <cell r="J809" t="str">
            <v>B</v>
          </cell>
          <cell r="K809" t="str">
            <v>D</v>
          </cell>
          <cell r="L809" t="str">
            <v>B</v>
          </cell>
          <cell r="M809" t="str">
            <v>A</v>
          </cell>
          <cell r="N809" t="str">
            <v>B</v>
          </cell>
          <cell r="O809" t="str">
            <v>A</v>
          </cell>
          <cell r="P809" t="str">
            <v>C</v>
          </cell>
          <cell r="Q809" t="str">
            <v>C</v>
          </cell>
          <cell r="R809" t="str">
            <v>A</v>
          </cell>
          <cell r="X809">
            <v>39.5</v>
          </cell>
        </row>
        <row r="810">
          <cell r="C810">
            <v>44838860</v>
          </cell>
          <cell r="D810" t="str">
            <v>ПП "ОККО-СЕРВІС"</v>
          </cell>
          <cell r="E810">
            <v>45653.631099999999</v>
          </cell>
          <cell r="F810">
            <v>45474</v>
          </cell>
          <cell r="G810" t="str">
            <v>C</v>
          </cell>
          <cell r="H810" t="str">
            <v>C</v>
          </cell>
          <cell r="I810" t="str">
            <v>B</v>
          </cell>
          <cell r="J810" t="str">
            <v>C</v>
          </cell>
          <cell r="K810" t="str">
            <v>D</v>
          </cell>
          <cell r="L810" t="str">
            <v>A</v>
          </cell>
          <cell r="M810" t="str">
            <v>A</v>
          </cell>
          <cell r="N810" t="str">
            <v>A</v>
          </cell>
          <cell r="O810" t="str">
            <v>B</v>
          </cell>
          <cell r="P810" t="str">
            <v>C</v>
          </cell>
          <cell r="Q810" t="str">
            <v>B</v>
          </cell>
          <cell r="R810" t="str">
            <v>A</v>
          </cell>
          <cell r="X810">
            <v>60.599999999999994</v>
          </cell>
        </row>
        <row r="811">
          <cell r="C811">
            <v>44842725</v>
          </cell>
          <cell r="D811" t="str">
            <v>ТОВ "КПК"</v>
          </cell>
          <cell r="E811">
            <v>45826.77</v>
          </cell>
          <cell r="F811">
            <v>45658</v>
          </cell>
          <cell r="G811" t="str">
            <v>D</v>
          </cell>
          <cell r="H811" t="str">
            <v>B</v>
          </cell>
          <cell r="I811" t="str">
            <v>B</v>
          </cell>
          <cell r="J811" t="str">
            <v>B</v>
          </cell>
          <cell r="K811" t="str">
            <v>B</v>
          </cell>
          <cell r="L811" t="str">
            <v>B</v>
          </cell>
          <cell r="M811" t="str">
            <v>A</v>
          </cell>
          <cell r="N811" t="str">
            <v>B</v>
          </cell>
          <cell r="O811" t="str">
            <v>A</v>
          </cell>
          <cell r="P811" t="str">
            <v>C</v>
          </cell>
          <cell r="Q811" t="str">
            <v>C</v>
          </cell>
          <cell r="R811" t="str">
            <v>C</v>
          </cell>
          <cell r="X811">
            <v>50.3</v>
          </cell>
        </row>
        <row r="812">
          <cell r="C812">
            <v>44843210</v>
          </cell>
          <cell r="D812" t="str">
            <v>ТОВ "ПРОНАФТА"</v>
          </cell>
          <cell r="E812">
            <v>45989.595800000003</v>
          </cell>
          <cell r="F812">
            <v>45931</v>
          </cell>
          <cell r="G812" t="str">
            <v>E</v>
          </cell>
          <cell r="H812" t="str">
            <v>B</v>
          </cell>
          <cell r="I812" t="str">
            <v>B</v>
          </cell>
          <cell r="J812" t="str">
            <v>A</v>
          </cell>
          <cell r="K812" t="str">
            <v>D</v>
          </cell>
          <cell r="L812" t="str">
            <v>A</v>
          </cell>
          <cell r="M812" t="str">
            <v>B</v>
          </cell>
          <cell r="N812" t="str">
            <v>B</v>
          </cell>
          <cell r="O812" t="str">
            <v>A</v>
          </cell>
          <cell r="P812" t="str">
            <v>C</v>
          </cell>
          <cell r="Q812" t="str">
            <v>B</v>
          </cell>
          <cell r="R812" t="str">
            <v>A</v>
          </cell>
          <cell r="X812">
            <v>46.5</v>
          </cell>
        </row>
        <row r="813">
          <cell r="C813">
            <v>44849275</v>
          </cell>
          <cell r="D813" t="str">
            <v>ТОВ "ОККО-ЕКСПРЕС"</v>
          </cell>
          <cell r="E813">
            <v>45653.631099999999</v>
          </cell>
          <cell r="F813">
            <v>45474</v>
          </cell>
          <cell r="G813" t="str">
            <v>C</v>
          </cell>
          <cell r="H813" t="str">
            <v>C</v>
          </cell>
          <cell r="I813" t="str">
            <v>B</v>
          </cell>
          <cell r="J813" t="str">
            <v>C</v>
          </cell>
          <cell r="K813" t="str">
            <v>D</v>
          </cell>
          <cell r="L813" t="str">
            <v>A</v>
          </cell>
          <cell r="M813" t="str">
            <v>A</v>
          </cell>
          <cell r="N813" t="str">
            <v>A</v>
          </cell>
          <cell r="O813" t="str">
            <v>B</v>
          </cell>
          <cell r="P813" t="str">
            <v>C</v>
          </cell>
          <cell r="Q813" t="str">
            <v>B</v>
          </cell>
          <cell r="R813" t="str">
            <v>A</v>
          </cell>
          <cell r="X813">
            <v>60.599999999999994</v>
          </cell>
        </row>
        <row r="814">
          <cell r="C814">
            <v>44850804</v>
          </cell>
          <cell r="D814" t="str">
            <v>ТОВ "ТОМ ТРАНС УКРАЇНА"</v>
          </cell>
          <cell r="E814">
            <v>45519.641100000001</v>
          </cell>
          <cell r="F814">
            <v>45474</v>
          </cell>
          <cell r="G814" t="str">
            <v>E</v>
          </cell>
          <cell r="H814" t="str">
            <v>B</v>
          </cell>
          <cell r="I814" t="str">
            <v>B</v>
          </cell>
          <cell r="J814" t="str">
            <v>A</v>
          </cell>
          <cell r="K814" t="str">
            <v>D</v>
          </cell>
          <cell r="L814" t="str">
            <v>A</v>
          </cell>
          <cell r="M814" t="str">
            <v>A</v>
          </cell>
          <cell r="N814" t="str">
            <v>B</v>
          </cell>
          <cell r="O814" t="str">
            <v>A</v>
          </cell>
          <cell r="P814" t="str">
            <v>B</v>
          </cell>
          <cell r="Q814" t="str">
            <v>B</v>
          </cell>
          <cell r="R814" t="str">
            <v>C</v>
          </cell>
          <cell r="X814">
            <v>48.7</v>
          </cell>
        </row>
        <row r="815">
          <cell r="C815">
            <v>44856476</v>
          </cell>
          <cell r="D815" t="str">
            <v>ТОВ "АОИЛ"</v>
          </cell>
          <cell r="E815">
            <v>45938.511700000003</v>
          </cell>
          <cell r="F815">
            <v>45839</v>
          </cell>
          <cell r="G815" t="str">
            <v>D</v>
          </cell>
          <cell r="H815" t="str">
            <v>B</v>
          </cell>
          <cell r="I815" t="str">
            <v>D</v>
          </cell>
          <cell r="J815" t="str">
            <v>A</v>
          </cell>
          <cell r="K815" t="str">
            <v>A</v>
          </cell>
          <cell r="L815" t="str">
            <v>A</v>
          </cell>
          <cell r="M815" t="str">
            <v>A</v>
          </cell>
          <cell r="N815" t="str">
            <v>A</v>
          </cell>
          <cell r="O815" t="str">
            <v>A</v>
          </cell>
          <cell r="P815" t="str">
            <v>B</v>
          </cell>
          <cell r="Q815" t="str">
            <v>B</v>
          </cell>
          <cell r="R815" t="str">
            <v>A</v>
          </cell>
          <cell r="X815">
            <v>59.6</v>
          </cell>
        </row>
        <row r="816">
          <cell r="C816">
            <v>44868696</v>
          </cell>
          <cell r="D816" t="str">
            <v>ТОВ "ГРАНОВА УКРАЇНА"</v>
          </cell>
          <cell r="E816">
            <v>45916.530500000001</v>
          </cell>
          <cell r="F816">
            <v>45839</v>
          </cell>
          <cell r="G816" t="str">
            <v>E</v>
          </cell>
          <cell r="H816" t="str">
            <v>A</v>
          </cell>
          <cell r="I816" t="str">
            <v>B</v>
          </cell>
          <cell r="J816" t="str">
            <v>B</v>
          </cell>
          <cell r="K816" t="str">
            <v>B</v>
          </cell>
          <cell r="L816" t="str">
            <v>B</v>
          </cell>
          <cell r="M816" t="str">
            <v>A</v>
          </cell>
          <cell r="N816" t="str">
            <v>B</v>
          </cell>
          <cell r="O816" t="str">
            <v>A</v>
          </cell>
          <cell r="P816" t="str">
            <v>A</v>
          </cell>
          <cell r="Q816" t="str">
            <v>A</v>
          </cell>
          <cell r="R816" t="str">
            <v>C</v>
          </cell>
          <cell r="X816">
            <v>57.5</v>
          </cell>
        </row>
        <row r="817">
          <cell r="C817">
            <v>44878589</v>
          </cell>
          <cell r="D817" t="str">
            <v>ТОВ "ТОЛК УКРАЇНА"</v>
          </cell>
          <cell r="E817">
            <v>45919.419800000003</v>
          </cell>
          <cell r="F817">
            <v>45748</v>
          </cell>
          <cell r="G817" t="str">
            <v>C</v>
          </cell>
          <cell r="H817" t="str">
            <v>A</v>
          </cell>
          <cell r="I817" t="str">
            <v>A</v>
          </cell>
          <cell r="J817" t="str">
            <v>A</v>
          </cell>
          <cell r="K817" t="str">
            <v>D</v>
          </cell>
          <cell r="L817" t="str">
            <v>A</v>
          </cell>
          <cell r="M817" t="str">
            <v>A</v>
          </cell>
          <cell r="N817" t="str">
            <v>B</v>
          </cell>
          <cell r="O817" t="str">
            <v>A</v>
          </cell>
          <cell r="P817" t="str">
            <v>C</v>
          </cell>
          <cell r="Q817" t="str">
            <v>B</v>
          </cell>
          <cell r="R817" t="str">
            <v>A</v>
          </cell>
          <cell r="X817">
            <v>54.9</v>
          </cell>
        </row>
        <row r="818">
          <cell r="C818">
            <v>44882993</v>
          </cell>
          <cell r="D818" t="str">
            <v>ТОВ "ТД "ФАВОРИТ АВТО"</v>
          </cell>
          <cell r="E818">
            <v>45831.7091</v>
          </cell>
          <cell r="F818">
            <v>45748</v>
          </cell>
          <cell r="G818" t="str">
            <v>D</v>
          </cell>
          <cell r="H818" t="str">
            <v>B</v>
          </cell>
          <cell r="I818" t="str">
            <v>B</v>
          </cell>
          <cell r="J818" t="str">
            <v>B</v>
          </cell>
          <cell r="K818" t="str">
            <v>D</v>
          </cell>
          <cell r="L818" t="str">
            <v>B</v>
          </cell>
          <cell r="M818" t="str">
            <v>A</v>
          </cell>
          <cell r="N818" t="str">
            <v>A</v>
          </cell>
          <cell r="O818" t="str">
            <v>A</v>
          </cell>
          <cell r="P818" t="str">
            <v>C</v>
          </cell>
          <cell r="Q818" t="str">
            <v>B</v>
          </cell>
          <cell r="R818" t="str">
            <v>B</v>
          </cell>
          <cell r="X818">
            <v>54.2</v>
          </cell>
        </row>
        <row r="819">
          <cell r="C819">
            <v>44895101</v>
          </cell>
          <cell r="D819" t="str">
            <v>ТОВ "ДЛС"</v>
          </cell>
          <cell r="E819">
            <v>45898.4755</v>
          </cell>
          <cell r="F819">
            <v>45839</v>
          </cell>
          <cell r="G819" t="str">
            <v>C</v>
          </cell>
          <cell r="H819" t="str">
            <v>B</v>
          </cell>
          <cell r="I819" t="str">
            <v>C</v>
          </cell>
          <cell r="J819" t="str">
            <v>A</v>
          </cell>
          <cell r="K819" t="str">
            <v>D</v>
          </cell>
          <cell r="L819" t="str">
            <v>B</v>
          </cell>
          <cell r="M819" t="str">
            <v>A</v>
          </cell>
          <cell r="N819" t="str">
            <v>C</v>
          </cell>
          <cell r="O819" t="str">
            <v>A</v>
          </cell>
          <cell r="P819" t="str">
            <v>C</v>
          </cell>
          <cell r="Q819" t="str">
            <v>B</v>
          </cell>
          <cell r="R819" t="str">
            <v>B</v>
          </cell>
          <cell r="X819">
            <v>39</v>
          </cell>
        </row>
        <row r="820">
          <cell r="C820">
            <v>44910606</v>
          </cell>
          <cell r="D820" t="str">
            <v>ТОВ "СКАЙ ФОРТРЕС"</v>
          </cell>
          <cell r="E820">
            <v>45919.7287</v>
          </cell>
          <cell r="F820">
            <v>45839</v>
          </cell>
          <cell r="G820" t="str">
            <v>E</v>
          </cell>
          <cell r="H820" t="str">
            <v>A</v>
          </cell>
          <cell r="I820" t="str">
            <v>A</v>
          </cell>
          <cell r="J820" t="str">
            <v>A</v>
          </cell>
          <cell r="K820" t="str">
            <v>B</v>
          </cell>
          <cell r="L820" t="str">
            <v>B</v>
          </cell>
          <cell r="M820" t="str">
            <v>A</v>
          </cell>
          <cell r="N820" t="str">
            <v>A</v>
          </cell>
          <cell r="O820" t="str">
            <v>A</v>
          </cell>
          <cell r="P820" t="str">
            <v>B</v>
          </cell>
          <cell r="Q820" t="str">
            <v>B</v>
          </cell>
          <cell r="R820" t="str">
            <v>B</v>
          </cell>
          <cell r="X820">
            <v>51.199999999999996</v>
          </cell>
        </row>
        <row r="821">
          <cell r="C821">
            <v>44912632</v>
          </cell>
          <cell r="D821" t="str">
            <v>ТОВ "ЕЙРЛОДЖИКС"</v>
          </cell>
          <cell r="E821">
            <v>45771.643700000001</v>
          </cell>
          <cell r="F821">
            <v>45658</v>
          </cell>
          <cell r="G821" t="str">
            <v>E</v>
          </cell>
          <cell r="H821" t="str">
            <v>C</v>
          </cell>
          <cell r="I821" t="str">
            <v>A</v>
          </cell>
          <cell r="J821" t="str">
            <v>A</v>
          </cell>
          <cell r="K821" t="str">
            <v>A</v>
          </cell>
          <cell r="L821" t="str">
            <v>A</v>
          </cell>
          <cell r="M821" t="str">
            <v>A</v>
          </cell>
          <cell r="N821" t="str">
            <v>B</v>
          </cell>
          <cell r="O821" t="str">
            <v>A</v>
          </cell>
          <cell r="P821" t="str">
            <v>C</v>
          </cell>
          <cell r="Q821" t="str">
            <v>B</v>
          </cell>
          <cell r="R821" t="str">
            <v>A</v>
          </cell>
          <cell r="X821">
            <v>51.7</v>
          </cell>
        </row>
        <row r="822">
          <cell r="C822">
            <v>44918165</v>
          </cell>
          <cell r="D822" t="str">
            <v>ТОВ "ТП "АГРОХІМ-ПАРТНЕР"</v>
          </cell>
          <cell r="E822">
            <v>45705.498099999997</v>
          </cell>
          <cell r="F822">
            <v>45566</v>
          </cell>
          <cell r="G822" t="str">
            <v>E</v>
          </cell>
          <cell r="H822" t="str">
            <v>C</v>
          </cell>
          <cell r="I822" t="str">
            <v>B</v>
          </cell>
          <cell r="J822" t="str">
            <v>C</v>
          </cell>
          <cell r="K822" t="str">
            <v>D</v>
          </cell>
          <cell r="L822" t="str">
            <v>B</v>
          </cell>
          <cell r="M822" t="str">
            <v>B</v>
          </cell>
          <cell r="N822" t="str">
            <v>C</v>
          </cell>
          <cell r="O822" t="str">
            <v>A</v>
          </cell>
          <cell r="P822" t="str">
            <v>C</v>
          </cell>
          <cell r="Q822" t="str">
            <v>C</v>
          </cell>
          <cell r="R822" t="str">
            <v>C</v>
          </cell>
          <cell r="X822">
            <v>36.399999999999991</v>
          </cell>
        </row>
        <row r="823">
          <cell r="C823">
            <v>44931872</v>
          </cell>
          <cell r="D823" t="str">
            <v>ТОВ "КАСТОР-ТРЕЙДІНГ"</v>
          </cell>
          <cell r="E823">
            <v>45645.523500000003</v>
          </cell>
          <cell r="F823">
            <v>45566</v>
          </cell>
          <cell r="G823" t="str">
            <v>E</v>
          </cell>
          <cell r="H823" t="str">
            <v>B</v>
          </cell>
          <cell r="I823" t="str">
            <v>C</v>
          </cell>
          <cell r="J823" t="str">
            <v>A</v>
          </cell>
          <cell r="K823" t="str">
            <v>D</v>
          </cell>
          <cell r="L823" t="str">
            <v>A</v>
          </cell>
          <cell r="M823" t="str">
            <v>A</v>
          </cell>
          <cell r="N823" t="str">
            <v>B</v>
          </cell>
          <cell r="O823" t="str">
            <v>A</v>
          </cell>
          <cell r="P823" t="str">
            <v>C</v>
          </cell>
          <cell r="Q823" t="str">
            <v>B</v>
          </cell>
          <cell r="R823" t="str">
            <v>B</v>
          </cell>
          <cell r="X823">
            <v>41.3</v>
          </cell>
        </row>
        <row r="824">
          <cell r="C824">
            <v>44932656</v>
          </cell>
          <cell r="D824" t="str">
            <v>ТОВ "АйЕс Еріал Віклз"</v>
          </cell>
          <cell r="E824">
            <v>45925.5455</v>
          </cell>
          <cell r="F824">
            <v>45839</v>
          </cell>
          <cell r="G824" t="str">
            <v>E</v>
          </cell>
          <cell r="H824" t="str">
            <v>B</v>
          </cell>
          <cell r="I824" t="str">
            <v>B</v>
          </cell>
          <cell r="J824" t="str">
            <v>A</v>
          </cell>
          <cell r="K824" t="str">
            <v>B</v>
          </cell>
          <cell r="L824" t="str">
            <v>B</v>
          </cell>
          <cell r="M824" t="str">
            <v>A</v>
          </cell>
          <cell r="N824" t="str">
            <v>A</v>
          </cell>
          <cell r="O824" t="str">
            <v>A</v>
          </cell>
          <cell r="P824" t="str">
            <v>C</v>
          </cell>
          <cell r="Q824" t="str">
            <v>B</v>
          </cell>
          <cell r="R824" t="str">
            <v>A</v>
          </cell>
          <cell r="X824">
            <v>55</v>
          </cell>
        </row>
        <row r="825">
          <cell r="C825">
            <v>44941278</v>
          </cell>
          <cell r="D825" t="str">
            <v>ТОВ "ПРОТЕЙП"</v>
          </cell>
          <cell r="E825">
            <v>45531.643300000003</v>
          </cell>
          <cell r="F825">
            <v>45474</v>
          </cell>
          <cell r="G825" t="str">
            <v>E</v>
          </cell>
          <cell r="H825" t="str">
            <v>B</v>
          </cell>
          <cell r="I825" t="str">
            <v>B</v>
          </cell>
          <cell r="J825" t="str">
            <v>A</v>
          </cell>
          <cell r="K825" t="str">
            <v>D</v>
          </cell>
          <cell r="L825" t="str">
            <v>A</v>
          </cell>
          <cell r="M825" t="str">
            <v>A</v>
          </cell>
          <cell r="N825" t="str">
            <v>B</v>
          </cell>
          <cell r="O825" t="str">
            <v>A</v>
          </cell>
          <cell r="P825" t="str">
            <v>C</v>
          </cell>
          <cell r="Q825" t="str">
            <v>B</v>
          </cell>
          <cell r="R825" t="str">
            <v>A</v>
          </cell>
          <cell r="X825">
            <v>52.9</v>
          </cell>
        </row>
        <row r="826">
          <cell r="C826">
            <v>44963443</v>
          </cell>
          <cell r="D826" t="str">
            <v>ТОВ "АМТРІКС"</v>
          </cell>
          <cell r="E826">
            <v>45729.685799999999</v>
          </cell>
          <cell r="F826">
            <v>45658</v>
          </cell>
          <cell r="G826" t="str">
            <v>E</v>
          </cell>
          <cell r="H826" t="str">
            <v>B</v>
          </cell>
          <cell r="I826" t="str">
            <v>C</v>
          </cell>
          <cell r="J826" t="str">
            <v>A</v>
          </cell>
          <cell r="K826" t="str">
            <v>D</v>
          </cell>
          <cell r="L826" t="str">
            <v>A</v>
          </cell>
          <cell r="M826" t="str">
            <v>A</v>
          </cell>
          <cell r="N826" t="str">
            <v>B</v>
          </cell>
          <cell r="O826" t="str">
            <v>A</v>
          </cell>
          <cell r="P826" t="str">
            <v>B</v>
          </cell>
          <cell r="Q826" t="str">
            <v>B</v>
          </cell>
          <cell r="R826" t="str">
            <v>B</v>
          </cell>
          <cell r="X826">
            <v>43.1</v>
          </cell>
        </row>
        <row r="827">
          <cell r="C827">
            <v>44972374</v>
          </cell>
          <cell r="D827" t="str">
            <v>ТОВ "ШАТО ОЛЬВІЯ"</v>
          </cell>
          <cell r="E827">
            <v>45548.633800000003</v>
          </cell>
          <cell r="F827">
            <v>45474</v>
          </cell>
          <cell r="G827" t="str">
            <v>E</v>
          </cell>
          <cell r="H827" t="str">
            <v>A</v>
          </cell>
          <cell r="I827" t="str">
            <v>B</v>
          </cell>
          <cell r="J827" t="str">
            <v>A</v>
          </cell>
          <cell r="K827" t="str">
            <v>B</v>
          </cell>
          <cell r="L827" t="str">
            <v>A</v>
          </cell>
          <cell r="M827" t="str">
            <v>A</v>
          </cell>
          <cell r="N827" t="str">
            <v>B</v>
          </cell>
          <cell r="O827" t="str">
            <v>A</v>
          </cell>
          <cell r="P827" t="str">
            <v>C</v>
          </cell>
          <cell r="Q827" t="str">
            <v>C</v>
          </cell>
          <cell r="R827" t="str">
            <v>A</v>
          </cell>
          <cell r="X827">
            <v>57.099999999999994</v>
          </cell>
        </row>
        <row r="828">
          <cell r="C828">
            <v>44978837</v>
          </cell>
          <cell r="D828" t="str">
            <v>ТОВ "БПЛА-сервіс"</v>
          </cell>
          <cell r="E828">
            <v>45985.6057</v>
          </cell>
          <cell r="F828">
            <v>45839</v>
          </cell>
          <cell r="G828" t="str">
            <v>D</v>
          </cell>
          <cell r="H828" t="str">
            <v>C</v>
          </cell>
          <cell r="I828" t="str">
            <v>D</v>
          </cell>
          <cell r="J828" t="str">
            <v>A</v>
          </cell>
          <cell r="K828" t="str">
            <v>B</v>
          </cell>
          <cell r="L828" t="str">
            <v>B</v>
          </cell>
          <cell r="M828" t="str">
            <v>A</v>
          </cell>
          <cell r="N828" t="str">
            <v>B</v>
          </cell>
          <cell r="O828" t="str">
            <v>A</v>
          </cell>
          <cell r="P828" t="str">
            <v>B</v>
          </cell>
          <cell r="Q828" t="str">
            <v>B</v>
          </cell>
          <cell r="R828" t="str">
            <v>C</v>
          </cell>
          <cell r="X828">
            <v>42.7</v>
          </cell>
        </row>
        <row r="829">
          <cell r="C829">
            <v>45001340</v>
          </cell>
          <cell r="D829" t="str">
            <v>ТОВ "ХОЛД КАРГО-МАРІН"</v>
          </cell>
          <cell r="E829">
            <v>45796.491399999999</v>
          </cell>
          <cell r="F829">
            <v>45658</v>
          </cell>
          <cell r="G829" t="str">
            <v>E</v>
          </cell>
          <cell r="H829" t="str">
            <v>B</v>
          </cell>
          <cell r="I829" t="str">
            <v>B</v>
          </cell>
          <cell r="J829" t="str">
            <v>A</v>
          </cell>
          <cell r="K829" t="str">
            <v>D</v>
          </cell>
          <cell r="L829" t="str">
            <v>B</v>
          </cell>
          <cell r="M829" t="str">
            <v>A</v>
          </cell>
          <cell r="N829" t="str">
            <v>B</v>
          </cell>
          <cell r="O829" t="str">
            <v>A</v>
          </cell>
          <cell r="P829" t="str">
            <v>C</v>
          </cell>
          <cell r="Q829" t="str">
            <v>B</v>
          </cell>
          <cell r="R829" t="str">
            <v>A</v>
          </cell>
          <cell r="X829">
            <v>48.1</v>
          </cell>
        </row>
        <row r="830">
          <cell r="C830">
            <v>45006793</v>
          </cell>
          <cell r="D830" t="str">
            <v>ТОВ "УАК"</v>
          </cell>
          <cell r="E830">
            <v>45714.402699999999</v>
          </cell>
          <cell r="F830">
            <v>45658</v>
          </cell>
          <cell r="G830" t="str">
            <v>E</v>
          </cell>
          <cell r="H830" t="str">
            <v>B</v>
          </cell>
          <cell r="I830" t="str">
            <v>B</v>
          </cell>
          <cell r="J830" t="str">
            <v>A</v>
          </cell>
          <cell r="K830" t="str">
            <v>D</v>
          </cell>
          <cell r="L830" t="str">
            <v>A</v>
          </cell>
          <cell r="M830" t="str">
            <v>A</v>
          </cell>
          <cell r="N830" t="str">
            <v>B</v>
          </cell>
          <cell r="O830" t="str">
            <v>A</v>
          </cell>
          <cell r="P830" t="str">
            <v>A</v>
          </cell>
          <cell r="Q830" t="str">
            <v>B</v>
          </cell>
          <cell r="R830" t="str">
            <v>C</v>
          </cell>
          <cell r="X830">
            <v>51.1</v>
          </cell>
        </row>
        <row r="831">
          <cell r="C831">
            <v>45007577</v>
          </cell>
          <cell r="D831" t="str">
            <v>ТОВ "СК "КОЛІБРІ"</v>
          </cell>
          <cell r="E831">
            <v>45950</v>
          </cell>
          <cell r="F831">
            <v>45658</v>
          </cell>
          <cell r="G831" t="str">
            <v>E</v>
          </cell>
          <cell r="H831" t="str">
            <v>B</v>
          </cell>
          <cell r="I831" t="str">
            <v>B</v>
          </cell>
          <cell r="J831" t="str">
            <v>A</v>
          </cell>
          <cell r="K831" t="str">
            <v>D</v>
          </cell>
          <cell r="L831" t="str">
            <v>B</v>
          </cell>
          <cell r="M831" t="str">
            <v>A</v>
          </cell>
          <cell r="N831" t="str">
            <v>B</v>
          </cell>
          <cell r="O831" t="str">
            <v>A</v>
          </cell>
          <cell r="P831" t="str">
            <v>C</v>
          </cell>
          <cell r="Q831" t="str">
            <v>C</v>
          </cell>
          <cell r="R831" t="str">
            <v>A</v>
          </cell>
          <cell r="X831">
            <v>46.3</v>
          </cell>
        </row>
        <row r="832">
          <cell r="C832">
            <v>45018662</v>
          </cell>
          <cell r="D832" t="str">
            <v>ТОВ "ДЖЕЙКЕЙ ЛЕНД  ВІКЛЗ"</v>
          </cell>
          <cell r="E832">
            <v>45925.5455</v>
          </cell>
          <cell r="F832">
            <v>45839</v>
          </cell>
          <cell r="G832" t="str">
            <v>E</v>
          </cell>
          <cell r="H832" t="str">
            <v>B</v>
          </cell>
          <cell r="I832" t="str">
            <v>B</v>
          </cell>
          <cell r="J832" t="str">
            <v>A</v>
          </cell>
          <cell r="K832" t="str">
            <v>B</v>
          </cell>
          <cell r="L832" t="str">
            <v>B</v>
          </cell>
          <cell r="M832" t="str">
            <v>A</v>
          </cell>
          <cell r="N832" t="str">
            <v>A</v>
          </cell>
          <cell r="O832" t="str">
            <v>A</v>
          </cell>
          <cell r="P832" t="str">
            <v>C</v>
          </cell>
          <cell r="Q832" t="str">
            <v>B</v>
          </cell>
          <cell r="R832" t="str">
            <v>A</v>
          </cell>
          <cell r="X832">
            <v>55</v>
          </cell>
        </row>
        <row r="833">
          <cell r="C833">
            <v>45022223</v>
          </cell>
          <cell r="D833" t="str">
            <v>ТОВ "Дімакс Трейд"</v>
          </cell>
          <cell r="E833">
            <v>45789.406600000002</v>
          </cell>
          <cell r="F833">
            <v>45658</v>
          </cell>
          <cell r="G833" t="str">
            <v>E</v>
          </cell>
          <cell r="H833" t="str">
            <v>A</v>
          </cell>
          <cell r="I833" t="str">
            <v>B</v>
          </cell>
          <cell r="J833" t="str">
            <v>A</v>
          </cell>
          <cell r="K833" t="str">
            <v>B</v>
          </cell>
          <cell r="L833" t="str">
            <v>B</v>
          </cell>
          <cell r="M833" t="str">
            <v>A</v>
          </cell>
          <cell r="N833" t="str">
            <v>B</v>
          </cell>
          <cell r="O833" t="str">
            <v>A</v>
          </cell>
          <cell r="P833" t="str">
            <v>C</v>
          </cell>
          <cell r="Q833" t="str">
            <v>B</v>
          </cell>
          <cell r="R833" t="str">
            <v>C</v>
          </cell>
          <cell r="X833">
            <v>48.1</v>
          </cell>
        </row>
        <row r="834">
          <cell r="C834">
            <v>45024000</v>
          </cell>
          <cell r="D834" t="str">
            <v>ТОВ "3Д-ТЕХ"</v>
          </cell>
          <cell r="E834">
            <v>45908.614300000001</v>
          </cell>
          <cell r="F834">
            <v>45658</v>
          </cell>
          <cell r="G834" t="str">
            <v>E</v>
          </cell>
          <cell r="H834" t="str">
            <v>B</v>
          </cell>
          <cell r="I834" t="str">
            <v>B</v>
          </cell>
          <cell r="J834" t="str">
            <v>A</v>
          </cell>
          <cell r="K834" t="str">
            <v>B</v>
          </cell>
          <cell r="L834" t="str">
            <v>A</v>
          </cell>
          <cell r="M834" t="str">
            <v>A</v>
          </cell>
          <cell r="N834" t="str">
            <v>B</v>
          </cell>
          <cell r="O834" t="str">
            <v>A</v>
          </cell>
          <cell r="P834" t="str">
            <v>C</v>
          </cell>
          <cell r="Q834" t="str">
            <v>B</v>
          </cell>
          <cell r="R834" t="str">
            <v>C</v>
          </cell>
          <cell r="X834">
            <v>50.500000000000007</v>
          </cell>
        </row>
        <row r="835">
          <cell r="C835">
            <v>45029192</v>
          </cell>
          <cell r="D835" t="str">
            <v>ТОВ "ШЕФІР ІНВЕСТМЕНТС"</v>
          </cell>
          <cell r="E835">
            <v>45730.524599999997</v>
          </cell>
          <cell r="F835">
            <v>45566</v>
          </cell>
          <cell r="G835" t="str">
            <v>E</v>
          </cell>
          <cell r="H835" t="str">
            <v>B</v>
          </cell>
          <cell r="I835" t="str">
            <v>C</v>
          </cell>
          <cell r="J835" t="str">
            <v>C</v>
          </cell>
          <cell r="K835" t="str">
            <v>E</v>
          </cell>
          <cell r="L835" t="str">
            <v>C</v>
          </cell>
          <cell r="M835" t="str">
            <v>B</v>
          </cell>
          <cell r="N835" t="str">
            <v>B</v>
          </cell>
          <cell r="O835" t="str">
            <v>A</v>
          </cell>
          <cell r="P835" t="str">
            <v>C</v>
          </cell>
          <cell r="Q835" t="str">
            <v>B</v>
          </cell>
          <cell r="R835" t="str">
            <v>B</v>
          </cell>
          <cell r="X835">
            <v>33.700000000000003</v>
          </cell>
        </row>
        <row r="836">
          <cell r="C836">
            <v>45052970</v>
          </cell>
          <cell r="D836" t="str">
            <v>ТОВ "КОМПОЗИТ ПРОДУКТ"</v>
          </cell>
          <cell r="E836">
            <v>45748</v>
          </cell>
          <cell r="F836">
            <v>45658</v>
          </cell>
          <cell r="G836" t="str">
            <v>D</v>
          </cell>
          <cell r="H836" t="str">
            <v>B</v>
          </cell>
          <cell r="I836" t="str">
            <v>B</v>
          </cell>
          <cell r="J836" t="str">
            <v>A</v>
          </cell>
          <cell r="K836" t="str">
            <v>C</v>
          </cell>
          <cell r="L836" t="str">
            <v>A</v>
          </cell>
          <cell r="M836" t="str">
            <v>A</v>
          </cell>
          <cell r="N836" t="str">
            <v>A</v>
          </cell>
          <cell r="O836" t="str">
            <v>A</v>
          </cell>
          <cell r="P836" t="str">
            <v>B</v>
          </cell>
          <cell r="Q836" t="str">
            <v>B</v>
          </cell>
          <cell r="R836" t="str">
            <v>B</v>
          </cell>
          <cell r="X836">
            <v>60.800000000000004</v>
          </cell>
        </row>
        <row r="837">
          <cell r="C837">
            <v>45055636</v>
          </cell>
          <cell r="D837" t="str">
            <v>ТОВ "ОМЕГА //"</v>
          </cell>
          <cell r="E837">
            <v>45849.703000000001</v>
          </cell>
          <cell r="F837">
            <v>45748</v>
          </cell>
          <cell r="G837" t="str">
            <v>C</v>
          </cell>
          <cell r="H837" t="str">
            <v>C</v>
          </cell>
          <cell r="I837" t="str">
            <v>B</v>
          </cell>
          <cell r="J837" t="str">
            <v>D</v>
          </cell>
          <cell r="K837" t="str">
            <v>C</v>
          </cell>
          <cell r="L837" t="str">
            <v>A</v>
          </cell>
          <cell r="M837" t="str">
            <v>A</v>
          </cell>
          <cell r="N837" t="str">
            <v>A</v>
          </cell>
          <cell r="O837" t="str">
            <v>A</v>
          </cell>
          <cell r="P837" t="str">
            <v>C</v>
          </cell>
          <cell r="Q837" t="str">
            <v>B</v>
          </cell>
          <cell r="R837" t="str">
            <v>B</v>
          </cell>
          <cell r="X837">
            <v>65.8</v>
          </cell>
        </row>
        <row r="838">
          <cell r="C838">
            <v>45057790</v>
          </cell>
          <cell r="D838" t="str">
            <v>ТОВ "НЕЖИТЬ"</v>
          </cell>
          <cell r="E838">
            <v>45667.448799999998</v>
          </cell>
          <cell r="F838">
            <v>45566</v>
          </cell>
          <cell r="G838" t="str">
            <v>E</v>
          </cell>
          <cell r="H838" t="str">
            <v>A</v>
          </cell>
          <cell r="I838" t="str">
            <v>A</v>
          </cell>
          <cell r="J838" t="str">
            <v>A</v>
          </cell>
          <cell r="K838" t="str">
            <v>D</v>
          </cell>
          <cell r="L838" t="str">
            <v>A</v>
          </cell>
          <cell r="M838" t="str">
            <v>A</v>
          </cell>
          <cell r="N838" t="str">
            <v>A</v>
          </cell>
          <cell r="O838" t="str">
            <v>A</v>
          </cell>
          <cell r="P838" t="str">
            <v>A</v>
          </cell>
          <cell r="Q838" t="str">
            <v>B</v>
          </cell>
          <cell r="R838" t="str">
            <v>A</v>
          </cell>
          <cell r="X838">
            <v>58.4</v>
          </cell>
        </row>
        <row r="839">
          <cell r="C839">
            <v>45059562</v>
          </cell>
          <cell r="D839" t="str">
            <v>ТОВ "ГРІНТЕХ ХАРВЕСТ"</v>
          </cell>
          <cell r="E839">
            <v>45937.532800000001</v>
          </cell>
          <cell r="F839">
            <v>45839</v>
          </cell>
          <cell r="G839" t="str">
            <v>D</v>
          </cell>
          <cell r="H839" t="str">
            <v>B</v>
          </cell>
          <cell r="I839" t="str">
            <v>B</v>
          </cell>
          <cell r="J839" t="str">
            <v>A</v>
          </cell>
          <cell r="K839" t="str">
            <v>D</v>
          </cell>
          <cell r="L839" t="str">
            <v>A</v>
          </cell>
          <cell r="M839" t="str">
            <v>A</v>
          </cell>
          <cell r="N839" t="str">
            <v>B</v>
          </cell>
          <cell r="O839" t="str">
            <v>A</v>
          </cell>
          <cell r="P839" t="str">
            <v>B</v>
          </cell>
          <cell r="Q839" t="str">
            <v>B</v>
          </cell>
          <cell r="R839" t="str">
            <v>A</v>
          </cell>
          <cell r="X839">
            <v>58.300000000000011</v>
          </cell>
        </row>
        <row r="840">
          <cell r="C840">
            <v>45061021</v>
          </cell>
          <cell r="D840" t="str">
            <v>ТОВ "БІОТЕМА"</v>
          </cell>
          <cell r="E840">
            <v>45751</v>
          </cell>
          <cell r="F840">
            <v>45658</v>
          </cell>
          <cell r="G840" t="str">
            <v>E</v>
          </cell>
          <cell r="H840" t="str">
            <v>B</v>
          </cell>
          <cell r="I840" t="str">
            <v>B</v>
          </cell>
          <cell r="J840" t="str">
            <v>A</v>
          </cell>
          <cell r="K840" t="str">
            <v>D</v>
          </cell>
          <cell r="L840" t="str">
            <v>A</v>
          </cell>
          <cell r="M840" t="str">
            <v>A</v>
          </cell>
          <cell r="N840" t="str">
            <v>B</v>
          </cell>
          <cell r="O840" t="str">
            <v>A</v>
          </cell>
          <cell r="P840" t="str">
            <v>C</v>
          </cell>
          <cell r="Q840" t="str">
            <v>B</v>
          </cell>
          <cell r="R840" t="str">
            <v>A</v>
          </cell>
          <cell r="X840">
            <v>52.9</v>
          </cell>
        </row>
        <row r="841">
          <cell r="C841">
            <v>45067154</v>
          </cell>
          <cell r="D841" t="str">
            <v>ТОВ "КРІСТАЛ АЛЬЯНС ТРЕЙД"</v>
          </cell>
          <cell r="E841">
            <v>45880.410499999998</v>
          </cell>
          <cell r="F841">
            <v>45748</v>
          </cell>
          <cell r="G841" t="str">
            <v>E</v>
          </cell>
          <cell r="H841" t="str">
            <v>B</v>
          </cell>
          <cell r="I841" t="str">
            <v>B</v>
          </cell>
          <cell r="J841" t="str">
            <v>D</v>
          </cell>
          <cell r="K841" t="str">
            <v>D</v>
          </cell>
          <cell r="L841" t="str">
            <v>B</v>
          </cell>
          <cell r="M841" t="str">
            <v>A</v>
          </cell>
          <cell r="N841" t="str">
            <v>B</v>
          </cell>
          <cell r="O841" t="str">
            <v>B</v>
          </cell>
          <cell r="P841" t="str">
            <v>B</v>
          </cell>
          <cell r="Q841" t="str">
            <v>B</v>
          </cell>
          <cell r="R841" t="str">
            <v>C</v>
          </cell>
          <cell r="X841">
            <v>48.300000000000004</v>
          </cell>
        </row>
        <row r="842">
          <cell r="C842">
            <v>45075280</v>
          </cell>
          <cell r="D842" t="str">
            <v>ТОВ "СТОРКВЕЙ"</v>
          </cell>
          <cell r="E842">
            <v>45919.811399999999</v>
          </cell>
          <cell r="F842">
            <v>45658</v>
          </cell>
          <cell r="G842" t="str">
            <v>E</v>
          </cell>
          <cell r="H842" t="str">
            <v>B</v>
          </cell>
          <cell r="I842" t="str">
            <v>B</v>
          </cell>
          <cell r="J842" t="str">
            <v>A</v>
          </cell>
          <cell r="K842" t="str">
            <v>C</v>
          </cell>
          <cell r="L842" t="str">
            <v>A</v>
          </cell>
          <cell r="M842" t="str">
            <v>A</v>
          </cell>
          <cell r="N842" t="str">
            <v>B</v>
          </cell>
          <cell r="O842" t="str">
            <v>A</v>
          </cell>
          <cell r="P842" t="str">
            <v>C</v>
          </cell>
          <cell r="Q842" t="str">
            <v>B</v>
          </cell>
          <cell r="R842" t="str">
            <v>A</v>
          </cell>
          <cell r="X842">
            <v>55.7</v>
          </cell>
        </row>
        <row r="843">
          <cell r="C843">
            <v>45078590</v>
          </cell>
          <cell r="D843" t="str">
            <v>ТОВ "ПРЕМІУМ-ОІЛ"</v>
          </cell>
          <cell r="E843">
            <v>45961.629200000003</v>
          </cell>
          <cell r="F843">
            <v>45839</v>
          </cell>
          <cell r="G843" t="str">
            <v>E</v>
          </cell>
          <cell r="H843" t="str">
            <v>B</v>
          </cell>
          <cell r="I843" t="str">
            <v>A</v>
          </cell>
          <cell r="J843" t="str">
            <v>A</v>
          </cell>
          <cell r="K843" t="str">
            <v>D</v>
          </cell>
          <cell r="L843" t="str">
            <v>A</v>
          </cell>
          <cell r="M843" t="str">
            <v>A</v>
          </cell>
          <cell r="N843" t="str">
            <v>B</v>
          </cell>
          <cell r="O843" t="str">
            <v>A</v>
          </cell>
          <cell r="P843" t="str">
            <v>C</v>
          </cell>
          <cell r="Q843" t="str">
            <v>B</v>
          </cell>
          <cell r="R843" t="str">
            <v>A</v>
          </cell>
          <cell r="X843">
            <v>48.5</v>
          </cell>
        </row>
        <row r="844">
          <cell r="C844">
            <v>45093095</v>
          </cell>
          <cell r="D844" t="str">
            <v>ТОВАРИСТВО З ОБМЕЖЕНОЮ ВІДПОВІДАЛЬНІСТЮ СПЕКТР НАФТА</v>
          </cell>
          <cell r="E844">
            <v>45833.661099999998</v>
          </cell>
          <cell r="F844">
            <v>45748</v>
          </cell>
          <cell r="G844" t="str">
            <v>E</v>
          </cell>
          <cell r="H844" t="str">
            <v>B</v>
          </cell>
          <cell r="I844" t="str">
            <v>A</v>
          </cell>
          <cell r="J844" t="str">
            <v>C</v>
          </cell>
          <cell r="K844" t="str">
            <v>A</v>
          </cell>
          <cell r="L844" t="str">
            <v>B</v>
          </cell>
          <cell r="M844" t="str">
            <v>B</v>
          </cell>
          <cell r="N844" t="str">
            <v>B</v>
          </cell>
          <cell r="O844" t="str">
            <v>B</v>
          </cell>
          <cell r="P844" t="str">
            <v>C</v>
          </cell>
          <cell r="Q844" t="str">
            <v>B</v>
          </cell>
          <cell r="R844" t="str">
            <v>B</v>
          </cell>
          <cell r="X844">
            <v>40.5</v>
          </cell>
        </row>
        <row r="845">
          <cell r="C845">
            <v>45111522</v>
          </cell>
          <cell r="D845" t="str">
            <v>ТОВ "БЛЕК ОІЛ ТРЕЙД"</v>
          </cell>
          <cell r="E845">
            <v>45930.775800000003</v>
          </cell>
          <cell r="F845">
            <v>45748</v>
          </cell>
          <cell r="G845" t="str">
            <v>E</v>
          </cell>
          <cell r="H845" t="str">
            <v>B</v>
          </cell>
          <cell r="I845" t="str">
            <v>A</v>
          </cell>
          <cell r="J845" t="str">
            <v>A</v>
          </cell>
          <cell r="K845" t="str">
            <v>D</v>
          </cell>
          <cell r="L845" t="str">
            <v>B</v>
          </cell>
          <cell r="M845" t="str">
            <v>B</v>
          </cell>
          <cell r="N845" t="str">
            <v>D</v>
          </cell>
          <cell r="O845" t="str">
            <v>B</v>
          </cell>
          <cell r="P845" t="str">
            <v>C</v>
          </cell>
          <cell r="Q845" t="str">
            <v>C</v>
          </cell>
          <cell r="R845" t="str">
            <v>A</v>
          </cell>
          <cell r="X845">
            <v>29.200000000000003</v>
          </cell>
        </row>
        <row r="846">
          <cell r="C846">
            <v>45119157</v>
          </cell>
          <cell r="D846" t="str">
            <v>ТОВ "ТК" БЕЛТРАНС"</v>
          </cell>
          <cell r="E846">
            <v>45973.512799999997</v>
          </cell>
          <cell r="F846">
            <v>45658</v>
          </cell>
          <cell r="G846" t="str">
            <v>E</v>
          </cell>
          <cell r="H846" t="str">
            <v>B</v>
          </cell>
          <cell r="I846" t="str">
            <v>B</v>
          </cell>
          <cell r="J846" t="str">
            <v>A</v>
          </cell>
          <cell r="K846" t="str">
            <v>D</v>
          </cell>
          <cell r="L846" t="str">
            <v>A</v>
          </cell>
          <cell r="M846" t="str">
            <v>A</v>
          </cell>
          <cell r="N846" t="str">
            <v>B</v>
          </cell>
          <cell r="O846" t="str">
            <v>A</v>
          </cell>
          <cell r="P846" t="str">
            <v>C</v>
          </cell>
          <cell r="Q846" t="str">
            <v>B</v>
          </cell>
          <cell r="R846" t="str">
            <v>A</v>
          </cell>
          <cell r="X846">
            <v>52.9</v>
          </cell>
        </row>
        <row r="847">
          <cell r="C847">
            <v>45136856</v>
          </cell>
          <cell r="D847" t="str">
            <v>ТОВ "УБМ"</v>
          </cell>
          <cell r="E847">
            <v>45825</v>
          </cell>
          <cell r="F847">
            <v>45658</v>
          </cell>
          <cell r="G847" t="str">
            <v>B</v>
          </cell>
          <cell r="H847" t="str">
            <v>B</v>
          </cell>
          <cell r="I847" t="str">
            <v>B</v>
          </cell>
          <cell r="J847" t="str">
            <v>C</v>
          </cell>
          <cell r="K847" t="str">
            <v>D</v>
          </cell>
          <cell r="L847" t="str">
            <v>A</v>
          </cell>
          <cell r="M847" t="str">
            <v>C</v>
          </cell>
          <cell r="N847" t="str">
            <v>A</v>
          </cell>
          <cell r="O847" t="str">
            <v>A</v>
          </cell>
          <cell r="P847" t="str">
            <v>C</v>
          </cell>
          <cell r="Q847" t="str">
            <v>B</v>
          </cell>
          <cell r="R847" t="str">
            <v>A</v>
          </cell>
          <cell r="X847">
            <v>62.2</v>
          </cell>
        </row>
        <row r="848">
          <cell r="C848">
            <v>45144076</v>
          </cell>
          <cell r="D848" t="str">
            <v>ТОВ "БУРНАС ВАЙНЕРІ"</v>
          </cell>
          <cell r="E848">
            <v>45930.962699999996</v>
          </cell>
          <cell r="F848">
            <v>45839</v>
          </cell>
          <cell r="G848" t="str">
            <v>E</v>
          </cell>
          <cell r="H848" t="str">
            <v>B</v>
          </cell>
          <cell r="I848" t="str">
            <v>B</v>
          </cell>
          <cell r="J848" t="str">
            <v>A</v>
          </cell>
          <cell r="K848" t="str">
            <v>D</v>
          </cell>
          <cell r="L848" t="str">
            <v>B</v>
          </cell>
          <cell r="M848" t="str">
            <v>D</v>
          </cell>
          <cell r="N848" t="str">
            <v>B</v>
          </cell>
          <cell r="O848" t="str">
            <v>A</v>
          </cell>
          <cell r="P848" t="str">
            <v>C</v>
          </cell>
          <cell r="Q848" t="str">
            <v>C</v>
          </cell>
          <cell r="R848" t="str">
            <v>A</v>
          </cell>
          <cell r="X848">
            <v>38.299999999999997</v>
          </cell>
        </row>
        <row r="849">
          <cell r="C849">
            <v>45156296</v>
          </cell>
          <cell r="D849" t="str">
            <v>ТОВ "МЕТСИС"</v>
          </cell>
          <cell r="E849">
            <v>45797.688699999999</v>
          </cell>
          <cell r="F849">
            <v>45658</v>
          </cell>
          <cell r="G849" t="str">
            <v>E</v>
          </cell>
          <cell r="H849" t="str">
            <v>B</v>
          </cell>
          <cell r="I849" t="str">
            <v>B</v>
          </cell>
          <cell r="J849" t="str">
            <v>A</v>
          </cell>
          <cell r="K849" t="str">
            <v>D</v>
          </cell>
          <cell r="L849" t="str">
            <v>B</v>
          </cell>
          <cell r="M849" t="str">
            <v>A</v>
          </cell>
          <cell r="N849" t="str">
            <v>A</v>
          </cell>
          <cell r="O849" t="str">
            <v>A</v>
          </cell>
          <cell r="P849" t="str">
            <v>C</v>
          </cell>
          <cell r="Q849" t="str">
            <v>B</v>
          </cell>
          <cell r="R849" t="str">
            <v>B</v>
          </cell>
          <cell r="X849">
            <v>47.8</v>
          </cell>
        </row>
        <row r="850">
          <cell r="C850">
            <v>45173055</v>
          </cell>
          <cell r="D850" t="str">
            <v>ТОВ "ІДЛ  ГЛАСС"</v>
          </cell>
          <cell r="E850">
            <v>45956</v>
          </cell>
          <cell r="F850">
            <v>45658</v>
          </cell>
          <cell r="G850" t="str">
            <v>E</v>
          </cell>
          <cell r="H850" t="str">
            <v>C</v>
          </cell>
          <cell r="I850" t="str">
            <v>D</v>
          </cell>
          <cell r="J850" t="str">
            <v>A</v>
          </cell>
          <cell r="K850" t="str">
            <v>E</v>
          </cell>
          <cell r="L850" t="str">
            <v>B</v>
          </cell>
          <cell r="M850" t="str">
            <v>A</v>
          </cell>
          <cell r="N850" t="str">
            <v>B</v>
          </cell>
          <cell r="O850" t="str">
            <v>A</v>
          </cell>
          <cell r="P850" t="str">
            <v>C</v>
          </cell>
          <cell r="Q850" t="str">
            <v>B</v>
          </cell>
          <cell r="R850" t="str">
            <v>C</v>
          </cell>
          <cell r="X850">
            <v>32.5</v>
          </cell>
        </row>
        <row r="851">
          <cell r="C851">
            <v>45186404</v>
          </cell>
          <cell r="D851" t="str">
            <v>ТОВ "ВИРІЙ ІНДАСТРІ"</v>
          </cell>
          <cell r="E851">
            <v>45757.729399999997</v>
          </cell>
          <cell r="F851">
            <v>45658</v>
          </cell>
          <cell r="G851" t="str">
            <v>E</v>
          </cell>
          <cell r="H851" t="str">
            <v>B</v>
          </cell>
          <cell r="I851" t="str">
            <v>B</v>
          </cell>
          <cell r="J851" t="str">
            <v>A</v>
          </cell>
          <cell r="K851" t="str">
            <v>D</v>
          </cell>
          <cell r="L851" t="str">
            <v>A</v>
          </cell>
          <cell r="M851" t="str">
            <v>A</v>
          </cell>
          <cell r="N851" t="str">
            <v>B</v>
          </cell>
          <cell r="O851" t="str">
            <v>A</v>
          </cell>
          <cell r="P851" t="str">
            <v>C</v>
          </cell>
          <cell r="Q851" t="str">
            <v>B</v>
          </cell>
          <cell r="R851" t="str">
            <v>A</v>
          </cell>
          <cell r="X851">
            <v>52.9</v>
          </cell>
        </row>
        <row r="852">
          <cell r="C852">
            <v>45187790</v>
          </cell>
          <cell r="D852" t="str">
            <v>ТОВ "ТК ОРІОН ГРУП"</v>
          </cell>
          <cell r="E852">
            <v>45621.923300000002</v>
          </cell>
          <cell r="F852">
            <v>45566</v>
          </cell>
          <cell r="G852" t="str">
            <v>E</v>
          </cell>
          <cell r="H852" t="str">
            <v>B</v>
          </cell>
          <cell r="I852" t="str">
            <v>A</v>
          </cell>
          <cell r="J852" t="str">
            <v>A</v>
          </cell>
          <cell r="K852" t="str">
            <v>D</v>
          </cell>
          <cell r="L852" t="str">
            <v>A</v>
          </cell>
          <cell r="M852" t="str">
            <v>A</v>
          </cell>
          <cell r="N852" t="str">
            <v>B</v>
          </cell>
          <cell r="O852" t="str">
            <v>A</v>
          </cell>
          <cell r="P852" t="str">
            <v>C</v>
          </cell>
          <cell r="Q852" t="str">
            <v>B</v>
          </cell>
          <cell r="R852" t="str">
            <v>A</v>
          </cell>
          <cell r="X852">
            <v>48.5</v>
          </cell>
        </row>
        <row r="853">
          <cell r="C853">
            <v>45192334</v>
          </cell>
          <cell r="D853" t="str">
            <v>ТОВ "АКВАФЕМІЛІ"</v>
          </cell>
          <cell r="E853">
            <v>45808.024799999999</v>
          </cell>
          <cell r="F853">
            <v>45658</v>
          </cell>
          <cell r="G853" t="str">
            <v>E</v>
          </cell>
          <cell r="H853" t="str">
            <v>B</v>
          </cell>
          <cell r="I853" t="str">
            <v>B</v>
          </cell>
          <cell r="J853" t="str">
            <v>A</v>
          </cell>
          <cell r="K853" t="str">
            <v>B</v>
          </cell>
          <cell r="L853" t="str">
            <v>A</v>
          </cell>
          <cell r="M853" t="str">
            <v>A</v>
          </cell>
          <cell r="N853" t="str">
            <v>B</v>
          </cell>
          <cell r="O853" t="str">
            <v>A</v>
          </cell>
          <cell r="P853" t="str">
            <v>C</v>
          </cell>
          <cell r="Q853" t="str">
            <v>B</v>
          </cell>
          <cell r="R853" t="str">
            <v>A</v>
          </cell>
          <cell r="X853">
            <v>56.500000000000007</v>
          </cell>
        </row>
        <row r="854">
          <cell r="C854">
            <v>45194719</v>
          </cell>
          <cell r="D854" t="str">
            <v>ТОВ "ПРОДЕК"</v>
          </cell>
          <cell r="E854">
            <v>45665.731399999997</v>
          </cell>
          <cell r="F854">
            <v>45566</v>
          </cell>
          <cell r="G854" t="str">
            <v>E</v>
          </cell>
          <cell r="H854" t="str">
            <v>B</v>
          </cell>
          <cell r="I854" t="str">
            <v>A</v>
          </cell>
          <cell r="J854" t="str">
            <v>A</v>
          </cell>
          <cell r="K854" t="str">
            <v>D</v>
          </cell>
          <cell r="L854" t="str">
            <v>A</v>
          </cell>
          <cell r="M854" t="str">
            <v>A</v>
          </cell>
          <cell r="N854" t="str">
            <v>B</v>
          </cell>
          <cell r="O854" t="str">
            <v>A</v>
          </cell>
          <cell r="P854" t="str">
            <v>C</v>
          </cell>
          <cell r="Q854" t="str">
            <v>B</v>
          </cell>
          <cell r="R854" t="str">
            <v>C</v>
          </cell>
          <cell r="X854">
            <v>42.5</v>
          </cell>
        </row>
        <row r="855">
          <cell r="C855">
            <v>45209976</v>
          </cell>
          <cell r="D855" t="str">
            <v>ТОВ "Х.АгроТранс"</v>
          </cell>
          <cell r="E855">
            <v>45775.468800000002</v>
          </cell>
          <cell r="F855">
            <v>45658</v>
          </cell>
          <cell r="G855" t="str">
            <v>E</v>
          </cell>
          <cell r="H855" t="str">
            <v>B</v>
          </cell>
          <cell r="I855" t="str">
            <v>B</v>
          </cell>
          <cell r="J855" t="str">
            <v>A</v>
          </cell>
          <cell r="K855" t="str">
            <v>D</v>
          </cell>
          <cell r="L855" t="str">
            <v>B</v>
          </cell>
          <cell r="M855" t="str">
            <v>A</v>
          </cell>
          <cell r="N855" t="str">
            <v>A</v>
          </cell>
          <cell r="O855" t="str">
            <v>A</v>
          </cell>
          <cell r="P855" t="str">
            <v>B</v>
          </cell>
          <cell r="Q855" t="str">
            <v>A</v>
          </cell>
          <cell r="R855" t="str">
            <v>B</v>
          </cell>
          <cell r="X855">
            <v>52</v>
          </cell>
        </row>
        <row r="856">
          <cell r="C856">
            <v>45280158</v>
          </cell>
          <cell r="D856" t="str">
            <v>ТОВ "ФІЛД ФАРМ"</v>
          </cell>
          <cell r="E856">
            <v>45762.421999999999</v>
          </cell>
          <cell r="F856">
            <v>45658</v>
          </cell>
          <cell r="G856" t="str">
            <v>E</v>
          </cell>
          <cell r="H856" t="str">
            <v>B</v>
          </cell>
          <cell r="I856" t="str">
            <v>B</v>
          </cell>
          <cell r="J856" t="str">
            <v>A</v>
          </cell>
          <cell r="K856" t="str">
            <v>D</v>
          </cell>
          <cell r="L856" t="str">
            <v>A</v>
          </cell>
          <cell r="M856" t="str">
            <v>A</v>
          </cell>
          <cell r="N856" t="str">
            <v>B</v>
          </cell>
          <cell r="O856" t="str">
            <v>A</v>
          </cell>
          <cell r="P856" t="str">
            <v>B</v>
          </cell>
          <cell r="Q856" t="str">
            <v>B</v>
          </cell>
          <cell r="R856" t="str">
            <v>A</v>
          </cell>
          <cell r="X856">
            <v>54.7</v>
          </cell>
        </row>
        <row r="857">
          <cell r="C857">
            <v>45283536</v>
          </cell>
          <cell r="D857" t="str">
            <v>ТОВ "ПРОГРЕС 2010"</v>
          </cell>
          <cell r="E857">
            <v>45566.586000000003</v>
          </cell>
          <cell r="F857">
            <v>45474</v>
          </cell>
          <cell r="G857" t="str">
            <v>E</v>
          </cell>
          <cell r="H857" t="str">
            <v>A</v>
          </cell>
          <cell r="I857" t="str">
            <v>B</v>
          </cell>
          <cell r="J857" t="str">
            <v>A</v>
          </cell>
          <cell r="K857" t="str">
            <v>D</v>
          </cell>
          <cell r="L857" t="str">
            <v>A</v>
          </cell>
          <cell r="M857" t="str">
            <v>A</v>
          </cell>
          <cell r="N857" t="str">
            <v>B</v>
          </cell>
          <cell r="O857" t="str">
            <v>A</v>
          </cell>
          <cell r="P857" t="str">
            <v>C</v>
          </cell>
          <cell r="Q857" t="str">
            <v>C</v>
          </cell>
          <cell r="R857" t="str">
            <v>A</v>
          </cell>
          <cell r="X857">
            <v>53.5</v>
          </cell>
        </row>
        <row r="858">
          <cell r="C858">
            <v>45291222</v>
          </cell>
          <cell r="D858" t="str">
            <v>ТОВ "РАРОГ АЕРОСПЕЙС"</v>
          </cell>
          <cell r="E858">
            <v>45754.414100000002</v>
          </cell>
          <cell r="F858">
            <v>45658</v>
          </cell>
          <cell r="G858" t="str">
            <v>E</v>
          </cell>
          <cell r="H858" t="str">
            <v>B</v>
          </cell>
          <cell r="I858" t="str">
            <v>B</v>
          </cell>
          <cell r="J858" t="str">
            <v>A</v>
          </cell>
          <cell r="K858" t="str">
            <v>D</v>
          </cell>
          <cell r="L858" t="str">
            <v>A</v>
          </cell>
          <cell r="M858" t="str">
            <v>A</v>
          </cell>
          <cell r="N858" t="str">
            <v>A</v>
          </cell>
          <cell r="O858" t="str">
            <v>A</v>
          </cell>
          <cell r="P858" t="str">
            <v>C</v>
          </cell>
          <cell r="Q858" t="str">
            <v>B</v>
          </cell>
          <cell r="R858" t="str">
            <v>A</v>
          </cell>
          <cell r="X858">
            <v>56.199999999999996</v>
          </cell>
        </row>
        <row r="859">
          <cell r="C859">
            <v>45301675</v>
          </cell>
          <cell r="D859" t="str">
            <v>ТОВ "СПЕЦПРИЛАД"</v>
          </cell>
          <cell r="E859">
            <v>45925.706100000003</v>
          </cell>
          <cell r="F859">
            <v>45839</v>
          </cell>
          <cell r="G859" t="str">
            <v>E</v>
          </cell>
          <cell r="H859" t="str">
            <v>C</v>
          </cell>
          <cell r="I859" t="str">
            <v>B</v>
          </cell>
          <cell r="J859" t="str">
            <v>A</v>
          </cell>
          <cell r="K859" t="str">
            <v>C</v>
          </cell>
          <cell r="L859" t="str">
            <v>A</v>
          </cell>
          <cell r="M859" t="str">
            <v>A</v>
          </cell>
          <cell r="N859" t="str">
            <v>B</v>
          </cell>
          <cell r="O859" t="str">
            <v>A</v>
          </cell>
          <cell r="P859" t="str">
            <v>C</v>
          </cell>
          <cell r="Q859" t="str">
            <v>B</v>
          </cell>
          <cell r="R859" t="str">
            <v>A</v>
          </cell>
          <cell r="X859">
            <v>54.1</v>
          </cell>
        </row>
        <row r="860">
          <cell r="C860">
            <v>45304681</v>
          </cell>
          <cell r="D860" t="str">
            <v>ТОВ "ГЛОБАЛ МАРК"</v>
          </cell>
          <cell r="E860">
            <v>45824.416700000002</v>
          </cell>
          <cell r="F860">
            <v>45658</v>
          </cell>
          <cell r="G860" t="str">
            <v>E</v>
          </cell>
          <cell r="H860" t="str">
            <v>B</v>
          </cell>
          <cell r="I860" t="str">
            <v>A</v>
          </cell>
          <cell r="J860" t="str">
            <v>A</v>
          </cell>
          <cell r="K860" t="str">
            <v>D</v>
          </cell>
          <cell r="L860" t="str">
            <v>A</v>
          </cell>
          <cell r="M860" t="str">
            <v>A</v>
          </cell>
          <cell r="N860" t="str">
            <v>C</v>
          </cell>
          <cell r="O860" t="str">
            <v>A</v>
          </cell>
          <cell r="P860" t="str">
            <v>A</v>
          </cell>
          <cell r="Q860" t="str">
            <v>B</v>
          </cell>
          <cell r="R860" t="str">
            <v>A</v>
          </cell>
          <cell r="X860">
            <v>51.2</v>
          </cell>
        </row>
        <row r="861">
          <cell r="C861">
            <v>45318652</v>
          </cell>
          <cell r="D861" t="str">
            <v>ТОВ "МРІЯ 4.5.0 "</v>
          </cell>
          <cell r="E861">
            <v>45761.704299999998</v>
          </cell>
          <cell r="F861">
            <v>45658</v>
          </cell>
          <cell r="G861" t="str">
            <v>E</v>
          </cell>
          <cell r="H861" t="str">
            <v>B</v>
          </cell>
          <cell r="I861" t="str">
            <v>B</v>
          </cell>
          <cell r="J861" t="str">
            <v>A</v>
          </cell>
          <cell r="K861" t="str">
            <v>D</v>
          </cell>
          <cell r="L861" t="str">
            <v>A</v>
          </cell>
          <cell r="M861" t="str">
            <v>A</v>
          </cell>
          <cell r="N861" t="str">
            <v>B</v>
          </cell>
          <cell r="O861" t="str">
            <v>A</v>
          </cell>
          <cell r="P861" t="str">
            <v>A</v>
          </cell>
          <cell r="Q861" t="str">
            <v>B</v>
          </cell>
          <cell r="R861" t="str">
            <v>A</v>
          </cell>
          <cell r="X861">
            <v>57.1</v>
          </cell>
        </row>
        <row r="862">
          <cell r="C862">
            <v>45320719</v>
          </cell>
          <cell r="D862" t="str">
            <v>ТОВ "ХІМРЕЗЕРВ-УКРАЇНА"</v>
          </cell>
          <cell r="E862">
            <v>45566.586000000003</v>
          </cell>
          <cell r="F862">
            <v>45474</v>
          </cell>
          <cell r="G862" t="str">
            <v>E</v>
          </cell>
          <cell r="H862" t="str">
            <v>A</v>
          </cell>
          <cell r="I862" t="str">
            <v>B</v>
          </cell>
          <cell r="J862" t="str">
            <v>A</v>
          </cell>
          <cell r="K862" t="str">
            <v>D</v>
          </cell>
          <cell r="L862" t="str">
            <v>A</v>
          </cell>
          <cell r="M862" t="str">
            <v>A</v>
          </cell>
          <cell r="N862" t="str">
            <v>B</v>
          </cell>
          <cell r="O862" t="str">
            <v>A</v>
          </cell>
          <cell r="P862" t="str">
            <v>C</v>
          </cell>
          <cell r="Q862" t="str">
            <v>C</v>
          </cell>
          <cell r="R862" t="str">
            <v>A</v>
          </cell>
          <cell r="X862">
            <v>53.5</v>
          </cell>
        </row>
        <row r="863">
          <cell r="C863">
            <v>45332739</v>
          </cell>
          <cell r="D863" t="str">
            <v>ТОВ "ЛОКАЛСТОР"</v>
          </cell>
          <cell r="E863">
            <v>45826.916700000002</v>
          </cell>
          <cell r="F863">
            <v>45748</v>
          </cell>
          <cell r="G863" t="str">
            <v>E</v>
          </cell>
          <cell r="H863" t="str">
            <v>A</v>
          </cell>
          <cell r="I863" t="str">
            <v>B</v>
          </cell>
          <cell r="J863" t="str">
            <v>A</v>
          </cell>
          <cell r="K863" t="str">
            <v>C</v>
          </cell>
          <cell r="L863" t="str">
            <v>A</v>
          </cell>
          <cell r="M863" t="str">
            <v>A</v>
          </cell>
          <cell r="N863" t="str">
            <v>B</v>
          </cell>
          <cell r="O863" t="str">
            <v>A</v>
          </cell>
          <cell r="P863" t="str">
            <v>B</v>
          </cell>
          <cell r="Q863" t="str">
            <v>B</v>
          </cell>
          <cell r="R863" t="str">
            <v>A</v>
          </cell>
          <cell r="X863">
            <v>59.900000000000006</v>
          </cell>
        </row>
        <row r="864">
          <cell r="C864">
            <v>45335238</v>
          </cell>
          <cell r="D864" t="str">
            <v>ТОВ "ДЖІА"</v>
          </cell>
          <cell r="E864">
            <v>45925.706100000003</v>
          </cell>
          <cell r="F864">
            <v>45839</v>
          </cell>
          <cell r="G864" t="str">
            <v>E</v>
          </cell>
          <cell r="H864" t="str">
            <v>C</v>
          </cell>
          <cell r="I864" t="str">
            <v>B</v>
          </cell>
          <cell r="J864" t="str">
            <v>A</v>
          </cell>
          <cell r="K864" t="str">
            <v>C</v>
          </cell>
          <cell r="L864" t="str">
            <v>A</v>
          </cell>
          <cell r="M864" t="str">
            <v>A</v>
          </cell>
          <cell r="N864" t="str">
            <v>B</v>
          </cell>
          <cell r="O864" t="str">
            <v>A</v>
          </cell>
          <cell r="P864" t="str">
            <v>C</v>
          </cell>
          <cell r="Q864" t="str">
            <v>B</v>
          </cell>
          <cell r="R864" t="str">
            <v>A</v>
          </cell>
          <cell r="X864">
            <v>54.1</v>
          </cell>
        </row>
        <row r="865">
          <cell r="C865">
            <v>45336121</v>
          </cell>
          <cell r="D865" t="str">
            <v>ТОВ "КЛАС І К 8"</v>
          </cell>
          <cell r="E865">
            <v>45898.599199999997</v>
          </cell>
          <cell r="F865">
            <v>45839</v>
          </cell>
          <cell r="G865" t="str">
            <v>E</v>
          </cell>
          <cell r="H865" t="str">
            <v>B</v>
          </cell>
          <cell r="I865" t="str">
            <v>C</v>
          </cell>
          <cell r="J865" t="str">
            <v>A</v>
          </cell>
          <cell r="K865" t="str">
            <v>D</v>
          </cell>
          <cell r="L865" t="str">
            <v>A</v>
          </cell>
          <cell r="M865" t="str">
            <v>A</v>
          </cell>
          <cell r="N865" t="str">
            <v>B</v>
          </cell>
          <cell r="O865" t="str">
            <v>A</v>
          </cell>
          <cell r="P865" t="str">
            <v>C</v>
          </cell>
          <cell r="Q865" t="str">
            <v>B</v>
          </cell>
          <cell r="R865" t="str">
            <v>C</v>
          </cell>
          <cell r="X865">
            <v>38.9</v>
          </cell>
        </row>
        <row r="866">
          <cell r="C866">
            <v>45342459</v>
          </cell>
          <cell r="D866" t="str">
            <v>ТОВ "ДЕСЕМБЕР ВАН РНД"</v>
          </cell>
          <cell r="E866">
            <v>45838.597199999997</v>
          </cell>
          <cell r="F866">
            <v>45658</v>
          </cell>
          <cell r="G866" t="str">
            <v>E</v>
          </cell>
          <cell r="H866" t="str">
            <v>C</v>
          </cell>
          <cell r="I866" t="str">
            <v>C</v>
          </cell>
          <cell r="J866" t="str">
            <v>A</v>
          </cell>
          <cell r="K866" t="str">
            <v>B</v>
          </cell>
          <cell r="L866" t="str">
            <v>B</v>
          </cell>
          <cell r="M866" t="str">
            <v>A</v>
          </cell>
          <cell r="N866" t="str">
            <v>B</v>
          </cell>
          <cell r="O866" t="str">
            <v>A</v>
          </cell>
          <cell r="P866" t="str">
            <v>C</v>
          </cell>
          <cell r="Q866" t="str">
            <v>B</v>
          </cell>
          <cell r="R866" t="str">
            <v>A</v>
          </cell>
          <cell r="X866">
            <v>42.1</v>
          </cell>
        </row>
        <row r="867">
          <cell r="C867">
            <v>45351684</v>
          </cell>
          <cell r="D867" t="str">
            <v>ТОВ "ЮТ КОМПАНІ"</v>
          </cell>
          <cell r="E867">
            <v>45721.500399999997</v>
          </cell>
          <cell r="F867">
            <v>45658</v>
          </cell>
          <cell r="G867" t="str">
            <v>E</v>
          </cell>
          <cell r="H867" t="str">
            <v>A</v>
          </cell>
          <cell r="I867" t="str">
            <v>C</v>
          </cell>
          <cell r="J867" t="str">
            <v>A</v>
          </cell>
          <cell r="K867" t="str">
            <v>D</v>
          </cell>
          <cell r="L867" t="str">
            <v>B</v>
          </cell>
          <cell r="M867" t="str">
            <v>A</v>
          </cell>
          <cell r="N867" t="str">
            <v>B</v>
          </cell>
          <cell r="O867" t="str">
            <v>B</v>
          </cell>
          <cell r="P867" t="str">
            <v>C</v>
          </cell>
          <cell r="Q867" t="str">
            <v>B</v>
          </cell>
          <cell r="R867" t="str">
            <v>C</v>
          </cell>
          <cell r="X867">
            <v>32.9</v>
          </cell>
        </row>
        <row r="868">
          <cell r="C868">
            <v>45355940</v>
          </cell>
          <cell r="D868" t="str">
            <v>ТОВ "АСГАРДА ЮГ"</v>
          </cell>
          <cell r="E868">
            <v>45793.7696</v>
          </cell>
          <cell r="F868">
            <v>45658</v>
          </cell>
          <cell r="G868" t="str">
            <v>E</v>
          </cell>
          <cell r="H868" t="str">
            <v>B</v>
          </cell>
          <cell r="I868" t="str">
            <v>B</v>
          </cell>
          <cell r="J868" t="str">
            <v>A</v>
          </cell>
          <cell r="K868" t="str">
            <v>D</v>
          </cell>
          <cell r="L868" t="str">
            <v>A</v>
          </cell>
          <cell r="M868" t="str">
            <v>A</v>
          </cell>
          <cell r="N868" t="str">
            <v>C</v>
          </cell>
          <cell r="O868" t="str">
            <v>B</v>
          </cell>
          <cell r="P868" t="str">
            <v>C</v>
          </cell>
          <cell r="Q868" t="str">
            <v>B</v>
          </cell>
          <cell r="R868" t="str">
            <v>A</v>
          </cell>
          <cell r="X868">
            <v>47.8</v>
          </cell>
        </row>
        <row r="869">
          <cell r="C869">
            <v>45358391</v>
          </cell>
          <cell r="D869" t="str">
            <v>ТОВ "ХАЙ-ЕНЕРДЖІ-ТРЕЙД"</v>
          </cell>
          <cell r="E869">
            <v>45890</v>
          </cell>
          <cell r="F869">
            <v>45839</v>
          </cell>
          <cell r="G869" t="str">
            <v>E</v>
          </cell>
          <cell r="H869" t="str">
            <v>A</v>
          </cell>
          <cell r="I869" t="str">
            <v>B</v>
          </cell>
          <cell r="J869" t="str">
            <v>A</v>
          </cell>
          <cell r="K869" t="str">
            <v>D</v>
          </cell>
          <cell r="L869" t="str">
            <v>A</v>
          </cell>
          <cell r="M869" t="str">
            <v>A</v>
          </cell>
          <cell r="N869" t="str">
            <v>B</v>
          </cell>
          <cell r="O869" t="str">
            <v>A</v>
          </cell>
          <cell r="P869" t="str">
            <v>C</v>
          </cell>
          <cell r="Q869" t="str">
            <v>B</v>
          </cell>
          <cell r="R869" t="str">
            <v>A</v>
          </cell>
          <cell r="X869">
            <v>55.300000000000004</v>
          </cell>
        </row>
        <row r="870">
          <cell r="C870">
            <v>45359809</v>
          </cell>
          <cell r="D870" t="str">
            <v>ТОВ "ХАБИКС"</v>
          </cell>
          <cell r="E870">
            <v>45967.499900000003</v>
          </cell>
          <cell r="F870">
            <v>45839</v>
          </cell>
          <cell r="G870" t="str">
            <v>E</v>
          </cell>
          <cell r="H870" t="str">
            <v>C</v>
          </cell>
          <cell r="I870" t="str">
            <v>B</v>
          </cell>
          <cell r="J870" t="str">
            <v>A</v>
          </cell>
          <cell r="K870" t="str">
            <v>D</v>
          </cell>
          <cell r="L870" t="str">
            <v>A</v>
          </cell>
          <cell r="M870" t="str">
            <v>A</v>
          </cell>
          <cell r="N870" t="str">
            <v>B</v>
          </cell>
          <cell r="O870" t="str">
            <v>A</v>
          </cell>
          <cell r="P870" t="str">
            <v>A</v>
          </cell>
          <cell r="Q870" t="str">
            <v>B</v>
          </cell>
          <cell r="R870" t="str">
            <v>A</v>
          </cell>
          <cell r="X870">
            <v>55.5</v>
          </cell>
        </row>
        <row r="871">
          <cell r="C871">
            <v>45370466</v>
          </cell>
          <cell r="D871" t="str">
            <v>ТОВ "ТЕНКОР"</v>
          </cell>
          <cell r="E871">
            <v>45840.804300000003</v>
          </cell>
          <cell r="F871">
            <v>45748</v>
          </cell>
          <cell r="G871" t="str">
            <v>E</v>
          </cell>
          <cell r="H871" t="str">
            <v>B</v>
          </cell>
          <cell r="I871" t="str">
            <v>B</v>
          </cell>
          <cell r="J871" t="str">
            <v>A</v>
          </cell>
          <cell r="K871" t="str">
            <v>B</v>
          </cell>
          <cell r="L871" t="str">
            <v>A</v>
          </cell>
          <cell r="M871" t="str">
            <v>A</v>
          </cell>
          <cell r="N871" t="str">
            <v>B</v>
          </cell>
          <cell r="O871" t="str">
            <v>A</v>
          </cell>
          <cell r="P871" t="str">
            <v>B</v>
          </cell>
          <cell r="Q871" t="str">
            <v>B</v>
          </cell>
          <cell r="R871" t="str">
            <v>C</v>
          </cell>
          <cell r="X871">
            <v>52.300000000000011</v>
          </cell>
        </row>
        <row r="872">
          <cell r="C872">
            <v>45391560</v>
          </cell>
          <cell r="D872" t="str">
            <v>ТОВ "БАКАЛІСТ"</v>
          </cell>
          <cell r="E872">
            <v>45926.595000000001</v>
          </cell>
          <cell r="F872">
            <v>45839</v>
          </cell>
          <cell r="G872" t="str">
            <v>E</v>
          </cell>
          <cell r="H872" t="str">
            <v>A</v>
          </cell>
          <cell r="I872" t="str">
            <v>A</v>
          </cell>
          <cell r="J872" t="str">
            <v>A</v>
          </cell>
          <cell r="K872" t="str">
            <v>A</v>
          </cell>
          <cell r="L872" t="str">
            <v>A</v>
          </cell>
          <cell r="M872" t="str">
            <v>A</v>
          </cell>
          <cell r="N872" t="str">
            <v>B</v>
          </cell>
          <cell r="O872" t="str">
            <v>A</v>
          </cell>
          <cell r="P872" t="str">
            <v>C</v>
          </cell>
          <cell r="Q872" t="str">
            <v>B</v>
          </cell>
          <cell r="R872" t="str">
            <v>A</v>
          </cell>
          <cell r="X872">
            <v>55.7</v>
          </cell>
        </row>
        <row r="873">
          <cell r="C873">
            <v>45404264</v>
          </cell>
          <cell r="D873" t="str">
            <v>ТОВ "АВТОМИР-Н"</v>
          </cell>
          <cell r="E873">
            <v>45926.4833</v>
          </cell>
          <cell r="F873">
            <v>45839</v>
          </cell>
          <cell r="G873" t="str">
            <v>D</v>
          </cell>
          <cell r="H873" t="str">
            <v>A</v>
          </cell>
          <cell r="I873" t="str">
            <v>C</v>
          </cell>
          <cell r="J873" t="str">
            <v>B</v>
          </cell>
          <cell r="K873" t="str">
            <v>C</v>
          </cell>
          <cell r="L873" t="str">
            <v>A</v>
          </cell>
          <cell r="M873" t="str">
            <v>A</v>
          </cell>
          <cell r="N873" t="str">
            <v>B</v>
          </cell>
          <cell r="O873" t="str">
            <v>A</v>
          </cell>
          <cell r="P873" t="str">
            <v>A</v>
          </cell>
          <cell r="Q873" t="str">
            <v>B</v>
          </cell>
          <cell r="R873" t="str">
            <v>A</v>
          </cell>
          <cell r="X873">
            <v>60.7</v>
          </cell>
        </row>
        <row r="874">
          <cell r="C874">
            <v>45455408</v>
          </cell>
          <cell r="D874" t="str">
            <v>ТОВ КРИСТАЛ ДЕНТАЛ</v>
          </cell>
          <cell r="E874">
            <v>45953.709300000002</v>
          </cell>
          <cell r="F874">
            <v>45839</v>
          </cell>
          <cell r="G874" t="str">
            <v>E</v>
          </cell>
          <cell r="H874" t="str">
            <v>C</v>
          </cell>
          <cell r="I874" t="str">
            <v>B</v>
          </cell>
          <cell r="J874" t="str">
            <v>A</v>
          </cell>
          <cell r="K874" t="str">
            <v>C</v>
          </cell>
          <cell r="L874" t="str">
            <v>A</v>
          </cell>
          <cell r="M874" t="str">
            <v>A</v>
          </cell>
          <cell r="N874" t="str">
            <v>B</v>
          </cell>
          <cell r="O874" t="str">
            <v>A</v>
          </cell>
          <cell r="P874" t="str">
            <v>C</v>
          </cell>
          <cell r="Q874" t="str">
            <v>B</v>
          </cell>
          <cell r="R874" t="str">
            <v>C</v>
          </cell>
          <cell r="X874">
            <v>48.1</v>
          </cell>
        </row>
        <row r="875">
          <cell r="C875">
            <v>45495042</v>
          </cell>
          <cell r="D875" t="str">
            <v>ТОВ "ФОГ ЮА 2"</v>
          </cell>
          <cell r="E875">
            <v>45917.687899999997</v>
          </cell>
          <cell r="F875">
            <v>45839</v>
          </cell>
          <cell r="G875" t="str">
            <v>E</v>
          </cell>
          <cell r="H875" t="str">
            <v>B</v>
          </cell>
          <cell r="I875" t="str">
            <v>C</v>
          </cell>
          <cell r="J875" t="str">
            <v>A</v>
          </cell>
          <cell r="K875" t="str">
            <v>B</v>
          </cell>
          <cell r="L875" t="str">
            <v>B</v>
          </cell>
          <cell r="M875" t="str">
            <v>B</v>
          </cell>
          <cell r="N875" t="str">
            <v>B</v>
          </cell>
          <cell r="O875" t="str">
            <v>A</v>
          </cell>
          <cell r="P875" t="str">
            <v>B</v>
          </cell>
          <cell r="Q875" t="str">
            <v>B</v>
          </cell>
          <cell r="R875" t="str">
            <v>C</v>
          </cell>
          <cell r="X875">
            <v>33.1</v>
          </cell>
        </row>
        <row r="876">
          <cell r="C876">
            <v>45502929</v>
          </cell>
          <cell r="D876" t="str">
            <v>ТОВ "ВІКТОРІСОФТ"</v>
          </cell>
          <cell r="E876">
            <v>45906.020400000001</v>
          </cell>
          <cell r="F876">
            <v>45839</v>
          </cell>
          <cell r="G876" t="str">
            <v>E</v>
          </cell>
          <cell r="H876" t="str">
            <v>B</v>
          </cell>
          <cell r="I876" t="str">
            <v>B</v>
          </cell>
          <cell r="J876" t="str">
            <v>A</v>
          </cell>
          <cell r="K876" t="str">
            <v>B</v>
          </cell>
          <cell r="L876" t="str">
            <v>A</v>
          </cell>
          <cell r="M876" t="str">
            <v>A</v>
          </cell>
          <cell r="N876" t="str">
            <v>B</v>
          </cell>
          <cell r="O876" t="str">
            <v>A</v>
          </cell>
          <cell r="P876" t="str">
            <v>C</v>
          </cell>
          <cell r="Q876" t="str">
            <v>B</v>
          </cell>
          <cell r="R876" t="str">
            <v>A</v>
          </cell>
          <cell r="X876">
            <v>56.500000000000007</v>
          </cell>
        </row>
        <row r="877">
          <cell r="C877">
            <v>45509201</v>
          </cell>
          <cell r="D877" t="str">
            <v>ПП "ВК Гармонія Смаку"</v>
          </cell>
          <cell r="E877">
            <v>45870.475599999998</v>
          </cell>
          <cell r="F877">
            <v>45658</v>
          </cell>
          <cell r="G877" t="str">
            <v>E</v>
          </cell>
          <cell r="H877" t="str">
            <v>B</v>
          </cell>
          <cell r="I877" t="str">
            <v>B</v>
          </cell>
          <cell r="J877" t="str">
            <v>A</v>
          </cell>
          <cell r="K877" t="str">
            <v>D</v>
          </cell>
          <cell r="L877" t="str">
            <v>B</v>
          </cell>
          <cell r="M877" t="str">
            <v>A</v>
          </cell>
          <cell r="N877" t="str">
            <v>B</v>
          </cell>
          <cell r="O877" t="str">
            <v>B</v>
          </cell>
          <cell r="P877" t="str">
            <v>C</v>
          </cell>
          <cell r="Q877" t="str">
            <v>C</v>
          </cell>
          <cell r="R877" t="str">
            <v>C</v>
          </cell>
          <cell r="X877">
            <v>36.699999999999996</v>
          </cell>
        </row>
        <row r="878">
          <cell r="C878">
            <v>45522641</v>
          </cell>
          <cell r="D878" t="str">
            <v>ТОВ «Брент Рітейл»</v>
          </cell>
          <cell r="E878">
            <v>45939.6299</v>
          </cell>
          <cell r="F878">
            <v>45839</v>
          </cell>
          <cell r="G878" t="str">
            <v>E</v>
          </cell>
          <cell r="H878" t="str">
            <v>B</v>
          </cell>
          <cell r="I878" t="str">
            <v>B</v>
          </cell>
          <cell r="J878" t="str">
            <v>B</v>
          </cell>
          <cell r="K878" t="str">
            <v>D</v>
          </cell>
          <cell r="L878" t="str">
            <v>B</v>
          </cell>
          <cell r="M878" t="str">
            <v>B</v>
          </cell>
          <cell r="N878" t="str">
            <v>B</v>
          </cell>
          <cell r="O878" t="str">
            <v>B</v>
          </cell>
          <cell r="P878" t="str">
            <v>C</v>
          </cell>
          <cell r="Q878" t="str">
            <v>C</v>
          </cell>
          <cell r="R878" t="str">
            <v>B</v>
          </cell>
          <cell r="X878">
            <v>35.5</v>
          </cell>
        </row>
        <row r="879">
          <cell r="C879">
            <v>45525417</v>
          </cell>
          <cell r="D879" t="str">
            <v>ТОВ "СТР"</v>
          </cell>
          <cell r="E879">
            <v>45722.520299999996</v>
          </cell>
          <cell r="F879">
            <v>45474</v>
          </cell>
          <cell r="G879" t="str">
            <v>E</v>
          </cell>
          <cell r="H879" t="str">
            <v>C</v>
          </cell>
          <cell r="I879" t="str">
            <v>A</v>
          </cell>
          <cell r="J879" t="str">
            <v>B</v>
          </cell>
          <cell r="K879" t="str">
            <v>D</v>
          </cell>
          <cell r="L879" t="str">
            <v>B</v>
          </cell>
          <cell r="M879" t="str">
            <v>C</v>
          </cell>
          <cell r="N879" t="str">
            <v>B</v>
          </cell>
          <cell r="O879" t="str">
            <v>A</v>
          </cell>
          <cell r="P879" t="str">
            <v>C</v>
          </cell>
          <cell r="Q879" t="str">
            <v>C</v>
          </cell>
          <cell r="R879" t="str">
            <v>C</v>
          </cell>
          <cell r="X879">
            <v>29.5</v>
          </cell>
        </row>
        <row r="880">
          <cell r="C880">
            <v>45712841</v>
          </cell>
          <cell r="D880" t="str">
            <v>ТОВ "ВІОЛА ФС"</v>
          </cell>
          <cell r="E880">
            <v>45965.636599999998</v>
          </cell>
          <cell r="F880">
            <v>45839</v>
          </cell>
          <cell r="G880" t="str">
            <v>D</v>
          </cell>
          <cell r="H880" t="str">
            <v>B</v>
          </cell>
          <cell r="I880" t="str">
            <v>B</v>
          </cell>
          <cell r="J880" t="str">
            <v>C</v>
          </cell>
          <cell r="K880" t="str">
            <v>C</v>
          </cell>
          <cell r="L880" t="str">
            <v>A</v>
          </cell>
          <cell r="M880" t="str">
            <v>A</v>
          </cell>
          <cell r="N880" t="str">
            <v>A</v>
          </cell>
          <cell r="O880" t="str">
            <v>A</v>
          </cell>
          <cell r="P880" t="str">
            <v>A</v>
          </cell>
          <cell r="Q880" t="str">
            <v>A</v>
          </cell>
          <cell r="R880" t="str">
            <v>B</v>
          </cell>
          <cell r="X880">
            <v>71.200000000000017</v>
          </cell>
        </row>
        <row r="881">
          <cell r="C881">
            <v>45729593</v>
          </cell>
          <cell r="D881" t="str">
            <v>ТОВ «ІННОВО КІДС»</v>
          </cell>
          <cell r="E881">
            <v>45881.635000000002</v>
          </cell>
          <cell r="F881">
            <v>45658</v>
          </cell>
          <cell r="G881" t="str">
            <v>E</v>
          </cell>
          <cell r="H881" t="str">
            <v>B</v>
          </cell>
          <cell r="I881" t="str">
            <v>B</v>
          </cell>
          <cell r="J881" t="str">
            <v>D</v>
          </cell>
          <cell r="K881" t="str">
            <v>D</v>
          </cell>
          <cell r="L881" t="str">
            <v>B</v>
          </cell>
          <cell r="M881" t="str">
            <v>A</v>
          </cell>
          <cell r="N881" t="str">
            <v>B</v>
          </cell>
          <cell r="O881" t="str">
            <v>A</v>
          </cell>
          <cell r="P881" t="str">
            <v>C</v>
          </cell>
          <cell r="Q881" t="str">
            <v>B</v>
          </cell>
          <cell r="R881" t="str">
            <v>A</v>
          </cell>
          <cell r="X881">
            <v>56.1</v>
          </cell>
        </row>
        <row r="882">
          <cell r="C882">
            <v>45759853</v>
          </cell>
          <cell r="D882" t="str">
            <v>ТОВ "ПЕНТОПАК УКРАЇНА"</v>
          </cell>
          <cell r="E882">
            <v>45862.927300000003</v>
          </cell>
          <cell r="F882">
            <v>45748</v>
          </cell>
          <cell r="G882" t="str">
            <v>E</v>
          </cell>
          <cell r="H882" t="str">
            <v>B</v>
          </cell>
          <cell r="I882" t="str">
            <v>C</v>
          </cell>
          <cell r="J882" t="str">
            <v>A</v>
          </cell>
          <cell r="K882" t="str">
            <v>D</v>
          </cell>
          <cell r="L882" t="str">
            <v>A</v>
          </cell>
          <cell r="M882" t="str">
            <v>A</v>
          </cell>
          <cell r="N882" t="str">
            <v>B</v>
          </cell>
          <cell r="O882" t="str">
            <v>A</v>
          </cell>
          <cell r="P882" t="str">
            <v>C</v>
          </cell>
          <cell r="Q882" t="str">
            <v>C</v>
          </cell>
          <cell r="R882" t="str">
            <v>A</v>
          </cell>
          <cell r="X882">
            <v>43.099999999999994</v>
          </cell>
        </row>
        <row r="883">
          <cell r="C883">
            <v>45787571</v>
          </cell>
          <cell r="D883" t="str">
            <v>ТОВ "АЙС ЛОГІСТИК ГРУП"</v>
          </cell>
          <cell r="E883">
            <v>45933.659500000002</v>
          </cell>
          <cell r="F883">
            <v>45748</v>
          </cell>
          <cell r="G883" t="str">
            <v>E</v>
          </cell>
          <cell r="H883" t="str">
            <v>C</v>
          </cell>
          <cell r="I883" t="str">
            <v>B</v>
          </cell>
          <cell r="J883" t="str">
            <v>A</v>
          </cell>
          <cell r="K883" t="str">
            <v>C</v>
          </cell>
          <cell r="L883" t="str">
            <v>A</v>
          </cell>
          <cell r="M883" t="str">
            <v>A</v>
          </cell>
          <cell r="N883" t="str">
            <v>A</v>
          </cell>
          <cell r="O883" t="str">
            <v>A</v>
          </cell>
          <cell r="P883" t="str">
            <v>C</v>
          </cell>
          <cell r="Q883" t="str">
            <v>B</v>
          </cell>
          <cell r="R883" t="str">
            <v>A</v>
          </cell>
          <cell r="X883">
            <v>57.4</v>
          </cell>
        </row>
        <row r="884">
          <cell r="C884">
            <v>2834002935</v>
          </cell>
          <cell r="D884" t="str">
            <v>Костенко Ярослав Валерійович</v>
          </cell>
          <cell r="E884">
            <v>45959</v>
          </cell>
          <cell r="F884">
            <v>45658</v>
          </cell>
          <cell r="G884" t="str">
            <v>E</v>
          </cell>
          <cell r="H884" t="str">
            <v>B</v>
          </cell>
          <cell r="I884" t="str">
            <v>B</v>
          </cell>
          <cell r="J884" t="str">
            <v>B</v>
          </cell>
          <cell r="K884" t="str">
            <v>D</v>
          </cell>
          <cell r="L884" t="str">
            <v>C</v>
          </cell>
          <cell r="M884" t="str">
            <v>A</v>
          </cell>
          <cell r="N884" t="str">
            <v>A</v>
          </cell>
          <cell r="O884" t="str">
            <v>B</v>
          </cell>
          <cell r="P884" t="str">
            <v>C</v>
          </cell>
          <cell r="Q884" t="str">
            <v>B</v>
          </cell>
          <cell r="R884" t="str">
            <v>A</v>
          </cell>
          <cell r="X884">
            <v>49.8</v>
          </cell>
        </row>
        <row r="885">
          <cell r="C885">
            <v>3138416621</v>
          </cell>
          <cell r="D885" t="str">
            <v>Шевченко Тетяна Сергіївна</v>
          </cell>
          <cell r="E885">
            <v>45959</v>
          </cell>
          <cell r="F885">
            <v>45658</v>
          </cell>
          <cell r="G885" t="str">
            <v>E</v>
          </cell>
          <cell r="H885" t="str">
            <v>B</v>
          </cell>
          <cell r="I885" t="str">
            <v>B</v>
          </cell>
          <cell r="J885" t="str">
            <v>B</v>
          </cell>
          <cell r="K885" t="str">
            <v>D</v>
          </cell>
          <cell r="L885" t="str">
            <v>C</v>
          </cell>
          <cell r="M885" t="str">
            <v>A</v>
          </cell>
          <cell r="N885" t="str">
            <v>A</v>
          </cell>
          <cell r="O885" t="str">
            <v>B</v>
          </cell>
          <cell r="P885" t="str">
            <v>C</v>
          </cell>
          <cell r="Q885" t="str">
            <v>B</v>
          </cell>
          <cell r="R885" t="str">
            <v>A</v>
          </cell>
          <cell r="X885">
            <v>49.8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Тема Office">
  <a:themeElements>
    <a:clrScheme name="Офіс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Офіс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Офіс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D1186"/>
  <sheetViews>
    <sheetView tabSelected="1" zoomScale="55" zoomScaleNormal="55" workbookViewId="0">
      <pane ySplit="6" topLeftCell="A7" activePane="bottomLeft" state="frozen"/>
      <selection activeCell="AK1" sqref="AK1"/>
      <selection pane="bottomLeft" activeCell="L26" sqref="L26"/>
    </sheetView>
  </sheetViews>
  <sheetFormatPr defaultRowHeight="14.5" outlineLevelCol="1" x14ac:dyDescent="0.35"/>
  <cols>
    <col min="1" max="1" width="38.36328125" customWidth="1"/>
    <col min="2" max="2" width="11.90625" customWidth="1"/>
    <col min="3" max="3" width="12.08984375" customWidth="1"/>
    <col min="4" max="4" width="22.90625" customWidth="1"/>
    <col min="5" max="5" width="11.90625" customWidth="1"/>
    <col min="6" max="6" width="13.36328125" style="1" customWidth="1"/>
    <col min="25" max="26" width="7.08984375" style="3" customWidth="1" outlineLevel="1"/>
    <col min="27" max="27" width="7.453125" style="3" customWidth="1" outlineLevel="1"/>
    <col min="28" max="38" width="7.08984375" style="3" customWidth="1" outlineLevel="1"/>
    <col min="39" max="39" width="9.453125" style="3" customWidth="1" outlineLevel="1"/>
    <col min="40" max="45" width="7.08984375" style="3" customWidth="1" outlineLevel="1"/>
    <col min="46" max="46" width="8.453125" customWidth="1"/>
    <col min="47" max="47" width="5" customWidth="1"/>
    <col min="48" max="48" width="23.81640625" customWidth="1"/>
    <col min="49" max="49" width="4.08984375" style="49" customWidth="1"/>
    <col min="50" max="50" width="7.54296875" customWidth="1"/>
    <col min="51" max="51" width="19.36328125" style="5" bestFit="1" customWidth="1"/>
    <col min="52" max="52" width="11.08984375" style="18" customWidth="1"/>
    <col min="53" max="53" width="12.81640625" style="5" customWidth="1"/>
    <col min="54" max="54" width="15" customWidth="1"/>
    <col min="55" max="55" width="13.08984375" customWidth="1"/>
    <col min="56" max="56" width="12" customWidth="1"/>
  </cols>
  <sheetData>
    <row r="1" spans="1:56" x14ac:dyDescent="0.35">
      <c r="C1">
        <f>18*30</f>
        <v>540</v>
      </c>
      <c r="F1" s="56" t="s">
        <v>96</v>
      </c>
      <c r="G1" s="29">
        <v>0.06</v>
      </c>
      <c r="H1" s="29">
        <v>0.06</v>
      </c>
      <c r="I1" s="29">
        <v>0.06</v>
      </c>
      <c r="J1" s="29">
        <v>0.06</v>
      </c>
      <c r="K1" s="29">
        <v>0.06</v>
      </c>
      <c r="L1" s="29">
        <v>0.06</v>
      </c>
      <c r="M1" s="29">
        <v>0.06</v>
      </c>
      <c r="N1" s="29">
        <v>4.8599999999999997E-2</v>
      </c>
      <c r="O1" s="29">
        <v>4.8800000000000003E-2</v>
      </c>
      <c r="P1" s="29">
        <v>4.8800000000000003E-2</v>
      </c>
      <c r="Q1" s="29">
        <v>4.8800000000000003E-2</v>
      </c>
      <c r="R1" s="29">
        <v>4.8800000000000003E-2</v>
      </c>
      <c r="S1" s="10">
        <v>4.8800000000000003E-2</v>
      </c>
      <c r="T1" s="10">
        <v>4.8800000000000003E-2</v>
      </c>
      <c r="U1" s="10">
        <v>4.8800000000000003E-2</v>
      </c>
      <c r="V1" s="10">
        <v>4.8800000000000003E-2</v>
      </c>
      <c r="W1" s="10"/>
      <c r="X1" s="56" t="s">
        <v>96</v>
      </c>
      <c r="Y1" s="19">
        <v>0</v>
      </c>
      <c r="Z1" s="19">
        <v>0</v>
      </c>
      <c r="AA1" s="54">
        <v>-50</v>
      </c>
      <c r="AB1" s="19">
        <v>0</v>
      </c>
      <c r="AC1" s="54">
        <v>-100</v>
      </c>
      <c r="AD1" s="19">
        <v>0</v>
      </c>
      <c r="AE1" s="54">
        <v>-20</v>
      </c>
      <c r="AF1" s="54">
        <v>-25</v>
      </c>
      <c r="AG1" s="54">
        <v>-100</v>
      </c>
      <c r="AH1" s="19">
        <v>0</v>
      </c>
      <c r="AI1" s="54">
        <v>-50</v>
      </c>
      <c r="AJ1" s="54">
        <v>-100</v>
      </c>
      <c r="AK1" s="19">
        <v>0</v>
      </c>
      <c r="AL1" s="19">
        <v>0</v>
      </c>
      <c r="AM1" s="19">
        <v>0</v>
      </c>
    </row>
    <row r="2" spans="1:56" x14ac:dyDescent="0.35">
      <c r="C2" s="1">
        <v>45809</v>
      </c>
    </row>
    <row r="3" spans="1:56" ht="15" thickBot="1" x14ac:dyDescent="0.4">
      <c r="C3" s="1">
        <f>C2-C1</f>
        <v>45269</v>
      </c>
      <c r="G3" s="58">
        <v>0.08</v>
      </c>
      <c r="H3" s="58">
        <v>0.08</v>
      </c>
      <c r="I3" s="58">
        <v>0.08</v>
      </c>
      <c r="J3" s="58">
        <v>0.08</v>
      </c>
      <c r="K3" s="58">
        <v>0.08</v>
      </c>
      <c r="L3" s="58">
        <v>0.08</v>
      </c>
      <c r="M3" s="58">
        <v>0.08</v>
      </c>
      <c r="N3" s="59">
        <v>0.06</v>
      </c>
      <c r="O3" s="59">
        <v>0.06</v>
      </c>
      <c r="P3" s="59">
        <v>0.06</v>
      </c>
      <c r="Q3" s="59">
        <v>0.06</v>
      </c>
      <c r="R3" s="59">
        <v>0.06</v>
      </c>
      <c r="S3" s="57"/>
      <c r="T3" s="57"/>
      <c r="U3" s="57"/>
      <c r="V3" s="57"/>
      <c r="W3" s="57"/>
    </row>
    <row r="4" spans="1:56" ht="57.65" customHeight="1" x14ac:dyDescent="0.35">
      <c r="F4" s="53" t="s">
        <v>103</v>
      </c>
      <c r="G4" s="37" t="s">
        <v>56</v>
      </c>
      <c r="H4" s="37" t="s">
        <v>41</v>
      </c>
      <c r="I4" s="37" t="s">
        <v>57</v>
      </c>
      <c r="J4" s="37" t="s">
        <v>58</v>
      </c>
      <c r="K4" s="37" t="s">
        <v>59</v>
      </c>
      <c r="L4" s="37" t="s">
        <v>60</v>
      </c>
      <c r="M4" s="37" t="s">
        <v>61</v>
      </c>
      <c r="N4" s="37" t="s">
        <v>62</v>
      </c>
      <c r="O4" s="37" t="s">
        <v>63</v>
      </c>
      <c r="P4" s="37" t="s">
        <v>64</v>
      </c>
      <c r="Q4" s="37" t="s">
        <v>65</v>
      </c>
      <c r="R4" s="37" t="s">
        <v>66</v>
      </c>
      <c r="S4" s="38" t="s">
        <v>67</v>
      </c>
      <c r="T4" s="38" t="s">
        <v>68</v>
      </c>
      <c r="U4" s="38" t="s">
        <v>69</v>
      </c>
      <c r="V4" s="38" t="s">
        <v>70</v>
      </c>
      <c r="W4" s="30" t="s">
        <v>86</v>
      </c>
      <c r="Y4" s="35" t="s">
        <v>71</v>
      </c>
      <c r="Z4" s="35" t="s">
        <v>72</v>
      </c>
      <c r="AA4" s="35" t="s">
        <v>73</v>
      </c>
      <c r="AB4" s="35" t="s">
        <v>74</v>
      </c>
      <c r="AC4" s="35" t="s">
        <v>75</v>
      </c>
      <c r="AD4" s="35" t="s">
        <v>76</v>
      </c>
      <c r="AE4" s="35" t="s">
        <v>77</v>
      </c>
      <c r="AF4" s="35" t="s">
        <v>78</v>
      </c>
      <c r="AG4" s="35" t="s">
        <v>79</v>
      </c>
      <c r="AH4" s="35" t="s">
        <v>80</v>
      </c>
      <c r="AI4" s="35" t="s">
        <v>81</v>
      </c>
      <c r="AJ4" s="35" t="s">
        <v>82</v>
      </c>
      <c r="AK4" s="35" t="s">
        <v>83</v>
      </c>
      <c r="AL4" s="35" t="s">
        <v>84</v>
      </c>
      <c r="AM4" s="35" t="s">
        <v>85</v>
      </c>
      <c r="AN4" s="35"/>
      <c r="AO4" s="35"/>
      <c r="AP4" s="35"/>
      <c r="AQ4" s="35"/>
      <c r="AR4" s="35"/>
      <c r="AS4" s="35"/>
      <c r="AY4" s="5" t="s">
        <v>102</v>
      </c>
    </row>
    <row r="5" spans="1:56" x14ac:dyDescent="0.35">
      <c r="G5" s="9">
        <v>1</v>
      </c>
      <c r="H5" s="9">
        <v>2</v>
      </c>
      <c r="I5" s="9">
        <v>3</v>
      </c>
      <c r="J5" s="45">
        <v>4</v>
      </c>
      <c r="K5" s="9">
        <v>5</v>
      </c>
      <c r="L5" s="9">
        <v>6</v>
      </c>
      <c r="M5" s="9">
        <v>7</v>
      </c>
      <c r="N5" s="9">
        <v>8</v>
      </c>
      <c r="O5" s="9">
        <v>9</v>
      </c>
      <c r="P5" s="9">
        <v>10</v>
      </c>
      <c r="Q5" s="9">
        <v>11</v>
      </c>
      <c r="R5" s="9">
        <v>12</v>
      </c>
      <c r="S5" s="28">
        <v>13</v>
      </c>
      <c r="T5" s="28">
        <v>14</v>
      </c>
      <c r="U5" s="28">
        <v>15</v>
      </c>
      <c r="V5" s="28">
        <v>16</v>
      </c>
      <c r="W5" s="28">
        <v>17</v>
      </c>
      <c r="X5" s="18"/>
      <c r="Y5" s="5">
        <v>0</v>
      </c>
      <c r="Z5" s="55">
        <v>-25</v>
      </c>
      <c r="AA5" s="55">
        <v>-50</v>
      </c>
      <c r="AB5" s="55">
        <v>-50</v>
      </c>
      <c r="AC5" s="5">
        <v>0</v>
      </c>
      <c r="AD5" s="5">
        <v>0</v>
      </c>
      <c r="AE5" s="55">
        <v>-25</v>
      </c>
      <c r="AF5" s="5">
        <v>0</v>
      </c>
      <c r="AG5" s="55">
        <v>-50</v>
      </c>
      <c r="AH5" s="5">
        <v>0</v>
      </c>
      <c r="AI5" s="5">
        <v>0</v>
      </c>
      <c r="AJ5" s="5">
        <v>0</v>
      </c>
      <c r="AK5" s="55">
        <v>-25</v>
      </c>
      <c r="AL5" s="55">
        <v>-75</v>
      </c>
      <c r="AM5" s="55">
        <v>-100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BB5" s="3"/>
    </row>
    <row r="6" spans="1:56" x14ac:dyDescent="0.35">
      <c r="A6" t="s">
        <v>0</v>
      </c>
      <c r="B6" t="s">
        <v>1</v>
      </c>
      <c r="C6" t="s">
        <v>2</v>
      </c>
      <c r="D6" t="s">
        <v>3</v>
      </c>
      <c r="E6" s="65" t="s">
        <v>100</v>
      </c>
      <c r="F6" s="22" t="s">
        <v>53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 t="s">
        <v>45</v>
      </c>
      <c r="Y6" s="50" t="s">
        <v>4</v>
      </c>
      <c r="Z6" s="50" t="s">
        <v>5</v>
      </c>
      <c r="AA6" s="50" t="s">
        <v>6</v>
      </c>
      <c r="AB6" s="50" t="s">
        <v>7</v>
      </c>
      <c r="AC6" s="50" t="s">
        <v>8</v>
      </c>
      <c r="AD6" s="50" t="s">
        <v>9</v>
      </c>
      <c r="AE6" s="50" t="s">
        <v>10</v>
      </c>
      <c r="AF6" s="50" t="s">
        <v>11</v>
      </c>
      <c r="AG6" s="50" t="s">
        <v>12</v>
      </c>
      <c r="AH6" s="50" t="s">
        <v>13</v>
      </c>
      <c r="AI6" s="50" t="s">
        <v>14</v>
      </c>
      <c r="AJ6" s="50" t="s">
        <v>15</v>
      </c>
      <c r="AK6" s="50" t="s">
        <v>16</v>
      </c>
      <c r="AL6" s="50" t="s">
        <v>17</v>
      </c>
      <c r="AM6" s="50" t="s">
        <v>18</v>
      </c>
      <c r="AN6" s="3" t="s">
        <v>19</v>
      </c>
      <c r="AO6" s="3" t="s">
        <v>20</v>
      </c>
      <c r="AP6" s="3" t="s">
        <v>21</v>
      </c>
      <c r="AQ6" s="3" t="s">
        <v>22</v>
      </c>
      <c r="AR6" s="3" t="s">
        <v>23</v>
      </c>
      <c r="AS6" s="3" t="s">
        <v>24</v>
      </c>
      <c r="AT6" s="3" t="s">
        <v>46</v>
      </c>
      <c r="AU6" s="3" t="s">
        <v>47</v>
      </c>
      <c r="AV6" s="46" t="s">
        <v>93</v>
      </c>
      <c r="AX6" s="3"/>
      <c r="AY6" s="63" t="s">
        <v>101</v>
      </c>
      <c r="AZ6" s="18" t="s">
        <v>97</v>
      </c>
      <c r="BA6" s="18" t="e">
        <f>AY7-X7</f>
        <v>#N/A</v>
      </c>
      <c r="BB6" s="64" t="s">
        <v>99</v>
      </c>
      <c r="BC6" s="60" t="s">
        <v>97</v>
      </c>
      <c r="BD6" s="61" t="s">
        <v>98</v>
      </c>
    </row>
    <row r="7" spans="1:56" ht="15" customHeight="1" x14ac:dyDescent="0.35">
      <c r="A7" t="s">
        <v>104</v>
      </c>
      <c r="B7" t="s">
        <v>54</v>
      </c>
      <c r="C7">
        <v>111111</v>
      </c>
      <c r="D7" t="s">
        <v>109</v>
      </c>
      <c r="E7" s="1">
        <v>45975.630700000002</v>
      </c>
      <c r="F7" s="1">
        <v>45931</v>
      </c>
      <c r="G7" t="s">
        <v>26</v>
      </c>
      <c r="H7" t="s">
        <v>27</v>
      </c>
      <c r="I7" t="s">
        <v>27</v>
      </c>
      <c r="J7" t="s">
        <v>27</v>
      </c>
      <c r="K7" t="s">
        <v>27</v>
      </c>
      <c r="L7" t="s">
        <v>26</v>
      </c>
      <c r="M7" t="s">
        <v>26</v>
      </c>
      <c r="N7" t="s">
        <v>26</v>
      </c>
      <c r="O7" t="s">
        <v>26</v>
      </c>
      <c r="P7" t="s">
        <v>25</v>
      </c>
      <c r="Q7" t="s">
        <v>26</v>
      </c>
      <c r="R7" t="s">
        <v>26</v>
      </c>
      <c r="S7" s="47"/>
      <c r="T7" s="47"/>
      <c r="U7" s="47"/>
      <c r="V7" s="47"/>
      <c r="W7" s="47"/>
      <c r="X7" s="31">
        <f>VLOOKUP(G7,'справ нов'!$AE$2:$AV$11,$G$5+1,0)*$G$3+           VLOOKUP(H7,'справ нов'!$AE$2:$AV$11,$H$5+1,0)*$H$3+          VLOOKUP(I7,'справ нов'!$AE$2:$AV$11,$I$5+1,0)*$I$3+       VLOOKUP(J7,'справ нов'!$AE$2:$AV$11,$J$5+1,0)*$J$3+
  VLOOKUP(K7,'справ нов'!$AE$2:$AV$11,$K$5+1,0)*$K$3+   VLOOKUP(L7,'справ нов'!$AE$2:$AV$11,$L$5+1,0)*$L$3+     VLOOKUP(M7,'справ нов'!$AE$2:$AV$11,$M$5+1,0)*$M$3+     VLOOKUP(N7,'справ нов'!$AE$2:$AV$11,$N$5+1,0)*$N$3+
  VLOOKUP(O7,'справ нов'!$AE$2:$AV$11,$O$5+1,0)*$O$3+     VLOOKUP(P7,'справ нов'!$AE$2:$AV$11,$P$5+1,0)*$P$3+       VLOOKUP(Q7,'справ нов'!$AE$2:$AV$11,$Q$5+1,0)*$Q$3+
  _xlfn.IFNA(VLOOKUP(R7,'справ нов'!$AE$2:$AV$11,$R$5+1,0),0)*$R$3+   _xlfn.IFNA(VLOOKUP(S7,'справ нов'!$AE$2:$AV$11,$S$5+1,0),0)*$S$3+
  _xlfn.IFNA(VLOOKUP(T7,'справ нов'!$AE$2:$AV$11,$T$5+1,0),0)*$T$3+ _xlfn.IFNA(VLOOKUP(U7,'справ нов'!$AE$2:$AV$11,$U$5+1,0),0)*$U$3+
  _xlfn.IFNA(VLOOKUP(V7,'справ нов'!$AE$2:$AV$11,$V$5+1,0),0)*$V$3</f>
        <v>71.400000000000006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O7"/>
      <c r="AP7"/>
      <c r="AQ7"/>
      <c r="AR7"/>
      <c r="AS7">
        <v>0</v>
      </c>
      <c r="AT7">
        <f t="shared" ref="AT7:AT10" si="0">SUMPRODUCT(Y7:AS7,$Y$5:$AS$5)</f>
        <v>-25</v>
      </c>
      <c r="AU7">
        <f t="shared" ref="AU7:AU10" si="1">SUM(Y7:AS7)</f>
        <v>1</v>
      </c>
      <c r="AV7" t="e">
        <f ca="1">IF(YEAR(TODAY())-J7&lt;=2,"A",IF(AND(YEAR(TODAY())-J7&gt;=3,YEAR(TODAY())-J7&lt;=5),"B",IF(AND(YEAR(TODAY())-J7&gt;=6,YEAR(TODAY())-J7&lt;=9),"C",IF(YEAR(TODAY())-J7&gt;=10,"D"))))</f>
        <v>#VALUE!</v>
      </c>
      <c r="AW7" s="50"/>
      <c r="AY7" s="5" t="e">
        <f>VLOOKUP(C7,[8]PDm!$C:$X,22,0)</f>
        <v>#N/A</v>
      </c>
      <c r="AZ7" s="18" t="e">
        <f t="shared" ref="AZ7:AZ10" si="2">AY7-X7</f>
        <v>#N/A</v>
      </c>
      <c r="BB7" s="1" t="e">
        <f>VLOOKUP(C7,[8]PDm!$C:$F,3,0)</f>
        <v>#N/A</v>
      </c>
      <c r="BC7" s="60" t="e">
        <f t="shared" ref="BC7:BC10" si="3">BB7-E7</f>
        <v>#N/A</v>
      </c>
      <c r="BD7" s="62"/>
    </row>
    <row r="8" spans="1:56" ht="15" customHeight="1" x14ac:dyDescent="0.35">
      <c r="A8" t="s">
        <v>105</v>
      </c>
      <c r="B8" t="s">
        <v>54</v>
      </c>
      <c r="C8">
        <v>133333</v>
      </c>
      <c r="D8" t="s">
        <v>110</v>
      </c>
      <c r="E8" s="1">
        <v>46005.753499999999</v>
      </c>
      <c r="F8" s="1">
        <v>45931</v>
      </c>
      <c r="G8" t="s">
        <v>27</v>
      </c>
      <c r="H8" t="s">
        <v>26</v>
      </c>
      <c r="I8" t="s">
        <v>27</v>
      </c>
      <c r="J8" t="s">
        <v>27</v>
      </c>
      <c r="K8" t="s">
        <v>30</v>
      </c>
      <c r="L8" t="s">
        <v>27</v>
      </c>
      <c r="M8" t="s">
        <v>26</v>
      </c>
      <c r="N8" t="s">
        <v>27</v>
      </c>
      <c r="O8" t="s">
        <v>26</v>
      </c>
      <c r="P8" t="s">
        <v>28</v>
      </c>
      <c r="Q8" t="s">
        <v>28</v>
      </c>
      <c r="R8" t="s">
        <v>25</v>
      </c>
      <c r="S8" s="47"/>
      <c r="T8" s="47"/>
      <c r="U8" s="47"/>
      <c r="V8" s="47"/>
      <c r="W8" s="47"/>
      <c r="X8" s="31">
        <f>VLOOKUP(G8,'справ нов'!$AE$2:$AV$11,$G$5+1,0)*$G$3+           VLOOKUP(H8,'справ нов'!$AE$2:$AV$11,$H$5+1,0)*$H$3+          VLOOKUP(I8,'справ нов'!$AE$2:$AV$11,$I$5+1,0)*$I$3+       VLOOKUP(J8,'справ нов'!$AE$2:$AV$11,$J$5+1,0)*$J$3+
  VLOOKUP(K8,'справ нов'!$AE$2:$AV$11,$K$5+1,0)*$K$3+   VLOOKUP(L8,'справ нов'!$AE$2:$AV$11,$L$5+1,0)*$L$3+     VLOOKUP(M8,'справ нов'!$AE$2:$AV$11,$M$5+1,0)*$M$3+     VLOOKUP(N8,'справ нов'!$AE$2:$AV$11,$N$5+1,0)*$N$3+
  VLOOKUP(O8,'справ нов'!$AE$2:$AV$11,$O$5+1,0)*$O$3+     VLOOKUP(P8,'справ нов'!$AE$2:$AV$11,$P$5+1,0)*$P$3+       VLOOKUP(Q8,'справ нов'!$AE$2:$AV$11,$Q$5+1,0)*$Q$3+
  _xlfn.IFNA(VLOOKUP(R8,'справ нов'!$AE$2:$AV$11,$R$5+1,0),0)*$R$3+   _xlfn.IFNA(VLOOKUP(S8,'справ нов'!$AE$2:$AV$11,$S$5+1,0),0)*$S$3+
  _xlfn.IFNA(VLOOKUP(T8,'справ нов'!$AE$2:$AV$11,$T$5+1,0),0)*$T$3+ _xlfn.IFNA(VLOOKUP(U8,'справ нов'!$AE$2:$AV$11,$U$5+1,0),0)*$U$3+
  _xlfn.IFNA(VLOOKUP(V8,'справ нов'!$AE$2:$AV$11,$V$5+1,0),0)*$V$3</f>
        <v>46.7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O8"/>
      <c r="AP8"/>
      <c r="AQ8"/>
      <c r="AR8"/>
      <c r="AS8">
        <v>0</v>
      </c>
      <c r="AT8">
        <f t="shared" si="0"/>
        <v>0</v>
      </c>
      <c r="AU8">
        <f t="shared" si="1"/>
        <v>0</v>
      </c>
      <c r="AV8" t="e">
        <f ca="1">IF(YEAR(TODAY())-J8&lt;=2,"A",IF(AND(YEAR(TODAY())-J8&gt;=3,YEAR(TODAY())-J8&lt;=5),"B",IF(AND(YEAR(TODAY())-J8&gt;=6,YEAR(TODAY())-J8&lt;=9),"C",IF(YEAR(TODAY())-J8&gt;=10,"D"))))</f>
        <v>#VALUE!</v>
      </c>
      <c r="AW8" s="50"/>
      <c r="AY8" s="5" t="e">
        <f>VLOOKUP(C8,[8]PDm!$C:$X,22,0)</f>
        <v>#N/A</v>
      </c>
      <c r="AZ8" s="18" t="e">
        <f t="shared" si="2"/>
        <v>#N/A</v>
      </c>
      <c r="BB8" s="1" t="e">
        <f>VLOOKUP(C8,[8]PDm!$C:$F,3,0)</f>
        <v>#N/A</v>
      </c>
      <c r="BC8" s="60" t="e">
        <f>BB8-E8</f>
        <v>#N/A</v>
      </c>
      <c r="BD8" s="62"/>
    </row>
    <row r="9" spans="1:56" ht="15" customHeight="1" x14ac:dyDescent="0.35">
      <c r="A9" t="s">
        <v>106</v>
      </c>
      <c r="B9" t="s">
        <v>54</v>
      </c>
      <c r="C9">
        <v>155555</v>
      </c>
      <c r="D9" t="s">
        <v>111</v>
      </c>
      <c r="E9" s="1">
        <v>45945</v>
      </c>
      <c r="F9" s="1">
        <v>45839</v>
      </c>
      <c r="G9" t="s">
        <v>28</v>
      </c>
      <c r="H9" t="s">
        <v>27</v>
      </c>
      <c r="I9" t="s">
        <v>27</v>
      </c>
      <c r="J9" t="s">
        <v>25</v>
      </c>
      <c r="K9" t="s">
        <v>30</v>
      </c>
      <c r="L9" t="s">
        <v>26</v>
      </c>
      <c r="M9" t="s">
        <v>26</v>
      </c>
      <c r="N9" t="s">
        <v>27</v>
      </c>
      <c r="O9" t="s">
        <v>26</v>
      </c>
      <c r="P9" t="s">
        <v>25</v>
      </c>
      <c r="Q9" t="s">
        <v>27</v>
      </c>
      <c r="R9" t="s">
        <v>27</v>
      </c>
      <c r="S9" s="47"/>
      <c r="T9" s="47"/>
      <c r="U9" s="47"/>
      <c r="V9" s="47"/>
      <c r="W9" s="47"/>
      <c r="X9" s="31">
        <f>VLOOKUP(G9,'справ нов'!$AE$2:$AV$11,$G$5+1,0)*$G$3+           VLOOKUP(H9,'справ нов'!$AE$2:$AV$11,$H$5+1,0)*$H$3+          VLOOKUP(I9,'справ нов'!$AE$2:$AV$11,$I$5+1,0)*$I$3+       VLOOKUP(J9,'справ нов'!$AE$2:$AV$11,$J$5+1,0)*$J$3+
  VLOOKUP(K9,'справ нов'!$AE$2:$AV$11,$K$5+1,0)*$K$3+   VLOOKUP(L9,'справ нов'!$AE$2:$AV$11,$L$5+1,0)*$L$3+     VLOOKUP(M9,'справ нов'!$AE$2:$AV$11,$M$5+1,0)*$M$3+     VLOOKUP(N9,'справ нов'!$AE$2:$AV$11,$N$5+1,0)*$N$3+
  VLOOKUP(O9,'справ нов'!$AE$2:$AV$11,$O$5+1,0)*$O$3+     VLOOKUP(P9,'справ нов'!$AE$2:$AV$11,$P$5+1,0)*$P$3+       VLOOKUP(Q9,'справ нов'!$AE$2:$AV$11,$Q$5+1,0)*$Q$3+
  _xlfn.IFNA(VLOOKUP(R9,'справ нов'!$AE$2:$AV$11,$R$5+1,0),0)*$R$3+   _xlfn.IFNA(VLOOKUP(S9,'справ нов'!$AE$2:$AV$11,$S$5+1,0),0)*$S$3+
  _xlfn.IFNA(VLOOKUP(T9,'справ нов'!$AE$2:$AV$11,$T$5+1,0),0)*$T$3+ _xlfn.IFNA(VLOOKUP(U9,'справ нов'!$AE$2:$AV$11,$U$5+1,0),0)*$U$3+
  _xlfn.IFNA(VLOOKUP(V9,'справ нов'!$AE$2:$AV$11,$V$5+1,0),0)*$V$3</f>
        <v>55.300000000000004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O9"/>
      <c r="AP9"/>
      <c r="AQ9"/>
      <c r="AR9"/>
      <c r="AS9">
        <v>0</v>
      </c>
      <c r="AT9">
        <f t="shared" si="0"/>
        <v>0</v>
      </c>
      <c r="AU9">
        <f t="shared" si="1"/>
        <v>0</v>
      </c>
      <c r="AV9" t="e">
        <f t="shared" ref="AV9:AV10" ca="1" si="4">IF(YEAR(TODAY())-J9&lt;=2,"A",IF(AND(YEAR(TODAY())-J9&gt;=3,YEAR(TODAY())-J9&lt;=5),"B",IF(AND(YEAR(TODAY())-J9&gt;=6,YEAR(TODAY())-J9&lt;=9),"C",IF(YEAR(TODAY())-J9&gt;=10,"D"))))</f>
        <v>#VALUE!</v>
      </c>
      <c r="AW9" s="50"/>
      <c r="AY9" s="5" t="e">
        <f>VLOOKUP(C9,[8]PDm!$C:$X,22,0)</f>
        <v>#N/A</v>
      </c>
      <c r="AZ9" s="18" t="e">
        <f t="shared" si="2"/>
        <v>#N/A</v>
      </c>
      <c r="BB9" s="1" t="e">
        <f>VLOOKUP(C9,[8]PDm!$C:$F,3,0)</f>
        <v>#N/A</v>
      </c>
      <c r="BC9" s="60" t="e">
        <f t="shared" si="3"/>
        <v>#N/A</v>
      </c>
    </row>
    <row r="10" spans="1:56" ht="15" customHeight="1" x14ac:dyDescent="0.35">
      <c r="A10" t="s">
        <v>107</v>
      </c>
      <c r="B10" t="s">
        <v>54</v>
      </c>
      <c r="C10">
        <v>211111</v>
      </c>
      <c r="D10" t="s">
        <v>112</v>
      </c>
      <c r="E10" s="1">
        <v>45395.658600000002</v>
      </c>
      <c r="F10" s="1">
        <v>45748</v>
      </c>
      <c r="G10" t="s">
        <v>28</v>
      </c>
      <c r="H10" t="s">
        <v>27</v>
      </c>
      <c r="I10" t="s">
        <v>27</v>
      </c>
      <c r="J10" t="s">
        <v>28</v>
      </c>
      <c r="K10" t="s">
        <v>25</v>
      </c>
      <c r="L10" t="s">
        <v>26</v>
      </c>
      <c r="M10" t="s">
        <v>27</v>
      </c>
      <c r="N10" t="s">
        <v>27</v>
      </c>
      <c r="O10" t="s">
        <v>26</v>
      </c>
      <c r="P10" t="s">
        <v>27</v>
      </c>
      <c r="Q10" t="s">
        <v>27</v>
      </c>
      <c r="R10" t="s">
        <v>26</v>
      </c>
      <c r="S10" s="47"/>
      <c r="T10" s="47"/>
      <c r="U10" s="47"/>
      <c r="V10" s="47"/>
      <c r="W10" s="47"/>
      <c r="X10" s="31">
        <f>VLOOKUP(G10,'справ нов'!$AE$2:$AV$11,$G$5+1,0)*$G$3+           VLOOKUP(H10,'справ нов'!$AE$2:$AV$11,$H$5+1,0)*$H$3+          VLOOKUP(I10,'справ нов'!$AE$2:$AV$11,$I$5+1,0)*$I$3+       VLOOKUP(J10,'справ нов'!$AE$2:$AV$11,$J$5+1,0)*$J$3+
  VLOOKUP(K10,'справ нов'!$AE$2:$AV$11,$K$5+1,0)*$K$3+   VLOOKUP(L10,'справ нов'!$AE$2:$AV$11,$L$5+1,0)*$L$3+     VLOOKUP(M10,'справ нов'!$AE$2:$AV$11,$M$5+1,0)*$M$3+     VLOOKUP(N10,'справ нов'!$AE$2:$AV$11,$N$5+1,0)*$N$3+
  VLOOKUP(O10,'справ нов'!$AE$2:$AV$11,$O$5+1,0)*$O$3+     VLOOKUP(P10,'справ нов'!$AE$2:$AV$11,$P$5+1,0)*$P$3+       VLOOKUP(Q10,'справ нов'!$AE$2:$AV$11,$Q$5+1,0)*$Q$3+
  _xlfn.IFNA(VLOOKUP(R10,'справ нов'!$AE$2:$AV$11,$R$5+1,0),0)*$R$3+   _xlfn.IFNA(VLOOKUP(S10,'справ нов'!$AE$2:$AV$11,$S$5+1,0),0)*$S$3+
  _xlfn.IFNA(VLOOKUP(T10,'справ нов'!$AE$2:$AV$11,$T$5+1,0),0)*$T$3+ _xlfn.IFNA(VLOOKUP(U10,'справ нов'!$AE$2:$AV$11,$U$5+1,0),0)*$U$3+
  _xlfn.IFNA(VLOOKUP(V10,'справ нов'!$AE$2:$AV$11,$V$5+1,0),0)*$V$3</f>
        <v>62.70000000000001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O10"/>
      <c r="AP10"/>
      <c r="AQ10"/>
      <c r="AR10"/>
      <c r="AS10">
        <v>0</v>
      </c>
      <c r="AT10">
        <f t="shared" si="0"/>
        <v>0</v>
      </c>
      <c r="AU10">
        <f t="shared" si="1"/>
        <v>0</v>
      </c>
      <c r="AV10" t="e">
        <f t="shared" ca="1" si="4"/>
        <v>#VALUE!</v>
      </c>
      <c r="AW10" s="50"/>
      <c r="AY10" s="5" t="e">
        <f>VLOOKUP(C10,[8]PDm!$C:$X,22,0)</f>
        <v>#N/A</v>
      </c>
      <c r="AZ10" s="18" t="e">
        <f t="shared" si="2"/>
        <v>#N/A</v>
      </c>
      <c r="BB10" s="1" t="e">
        <f>VLOOKUP(C10,[8]PDm!$C:$F,3,0)</f>
        <v>#N/A</v>
      </c>
      <c r="BC10" s="60" t="e">
        <f t="shared" si="3"/>
        <v>#N/A</v>
      </c>
    </row>
    <row r="11" spans="1:56" ht="15" customHeight="1" x14ac:dyDescent="0.35">
      <c r="E11" s="1"/>
      <c r="S11" s="47"/>
      <c r="T11" s="47"/>
      <c r="U11" s="47"/>
      <c r="V11" s="47"/>
      <c r="W11" s="47"/>
      <c r="X11" s="3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O11"/>
      <c r="AP11"/>
      <c r="AQ11"/>
      <c r="AR11"/>
      <c r="AS11"/>
      <c r="AW11" s="50"/>
      <c r="BB11" s="1"/>
      <c r="BC11" s="60"/>
    </row>
    <row r="12" spans="1:56" ht="15" customHeight="1" x14ac:dyDescent="0.35">
      <c r="E12" s="1"/>
      <c r="S12" s="47"/>
      <c r="T12" s="47"/>
      <c r="U12" s="47"/>
      <c r="V12" s="47"/>
      <c r="W12" s="47"/>
      <c r="X12" s="31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O12"/>
      <c r="AP12"/>
      <c r="AQ12"/>
      <c r="AR12"/>
      <c r="AS12"/>
      <c r="AW12" s="50"/>
      <c r="BB12" s="1"/>
      <c r="BC12" s="60"/>
      <c r="BD12" s="62"/>
    </row>
    <row r="13" spans="1:56" ht="15" customHeight="1" x14ac:dyDescent="0.35">
      <c r="E13" s="1"/>
      <c r="S13" s="47"/>
      <c r="T13" s="47"/>
      <c r="U13" s="47"/>
      <c r="V13" s="47"/>
      <c r="W13" s="47"/>
      <c r="X13" s="31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O13"/>
      <c r="AP13"/>
      <c r="AQ13"/>
      <c r="AR13"/>
      <c r="AS13"/>
      <c r="AW13" s="50"/>
      <c r="BB13" s="1"/>
      <c r="BC13" s="60"/>
      <c r="BD13" s="62"/>
    </row>
    <row r="14" spans="1:56" ht="15" customHeight="1" x14ac:dyDescent="0.35">
      <c r="E14" s="1"/>
      <c r="S14" s="47"/>
      <c r="T14" s="47"/>
      <c r="U14" s="47"/>
      <c r="V14" s="47"/>
      <c r="W14" s="47"/>
      <c r="X14" s="31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O14"/>
      <c r="AP14"/>
      <c r="AQ14"/>
      <c r="AR14"/>
      <c r="AS14"/>
      <c r="AW14" s="50"/>
      <c r="BB14" s="1"/>
      <c r="BC14" s="60"/>
      <c r="BD14" s="62"/>
    </row>
    <row r="15" spans="1:56" ht="15" customHeight="1" x14ac:dyDescent="0.35">
      <c r="E15" s="1"/>
      <c r="S15" s="47"/>
      <c r="T15" s="47"/>
      <c r="U15" s="47"/>
      <c r="V15" s="47"/>
      <c r="W15" s="47"/>
      <c r="X15" s="31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O15"/>
      <c r="AP15"/>
      <c r="AQ15"/>
      <c r="AR15"/>
      <c r="AS15"/>
      <c r="AW15" s="50"/>
      <c r="BB15" s="1"/>
      <c r="BC15" s="60"/>
      <c r="BD15" s="62"/>
    </row>
    <row r="16" spans="1:56" ht="15" customHeight="1" x14ac:dyDescent="0.35">
      <c r="E16" s="1"/>
      <c r="S16" s="47"/>
      <c r="T16" s="47"/>
      <c r="U16" s="47"/>
      <c r="V16" s="47"/>
      <c r="W16" s="47"/>
      <c r="X16" s="31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O16"/>
      <c r="AP16"/>
      <c r="AQ16"/>
      <c r="AR16"/>
      <c r="AS16"/>
      <c r="AW16" s="50"/>
      <c r="BB16" s="1"/>
      <c r="BC16" s="60"/>
      <c r="BD16" s="62"/>
    </row>
    <row r="17" spans="5:56" ht="15" customHeight="1" x14ac:dyDescent="0.35">
      <c r="E17" s="1"/>
      <c r="S17" s="47"/>
      <c r="T17" s="47"/>
      <c r="U17" s="47"/>
      <c r="V17" s="47"/>
      <c r="W17" s="47"/>
      <c r="X17" s="31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O17"/>
      <c r="AP17"/>
      <c r="AQ17"/>
      <c r="AR17"/>
      <c r="AS17"/>
      <c r="AW17" s="50"/>
      <c r="BB17" s="1"/>
      <c r="BC17" s="60"/>
      <c r="BD17" s="62"/>
    </row>
    <row r="18" spans="5:56" ht="15" customHeight="1" x14ac:dyDescent="0.35">
      <c r="E18" s="1"/>
      <c r="S18" s="47"/>
      <c r="T18" s="47"/>
      <c r="U18" s="47"/>
      <c r="V18" s="47"/>
      <c r="W18" s="47"/>
      <c r="X18" s="31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O18"/>
      <c r="AP18"/>
      <c r="AQ18"/>
      <c r="AR18"/>
      <c r="AS18"/>
      <c r="AW18" s="50"/>
      <c r="BB18" s="1"/>
      <c r="BC18" s="60"/>
      <c r="BD18" s="62"/>
    </row>
    <row r="19" spans="5:56" ht="15" customHeight="1" x14ac:dyDescent="0.35">
      <c r="E19" s="1"/>
      <c r="S19" s="47"/>
      <c r="T19" s="47"/>
      <c r="U19" s="47"/>
      <c r="V19" s="47"/>
      <c r="W19" s="47"/>
      <c r="X19" s="31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O19"/>
      <c r="AP19"/>
      <c r="AQ19"/>
      <c r="AR19"/>
      <c r="AS19"/>
      <c r="AW19" s="50"/>
      <c r="BB19" s="1"/>
      <c r="BC19" s="60"/>
      <c r="BD19" s="62"/>
    </row>
    <row r="20" spans="5:56" ht="15" customHeight="1" x14ac:dyDescent="0.35">
      <c r="E20" s="1"/>
      <c r="S20" s="47"/>
      <c r="T20" s="47"/>
      <c r="U20" s="47"/>
      <c r="V20" s="47"/>
      <c r="W20" s="47"/>
      <c r="X20" s="31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O20"/>
      <c r="AP20"/>
      <c r="AQ20"/>
      <c r="AR20"/>
      <c r="AS20"/>
      <c r="AW20" s="50"/>
      <c r="BB20" s="1"/>
      <c r="BC20" s="60"/>
      <c r="BD20" s="62"/>
    </row>
    <row r="21" spans="5:56" ht="15" customHeight="1" x14ac:dyDescent="0.35">
      <c r="E21" s="1"/>
      <c r="S21" s="47"/>
      <c r="T21" s="47"/>
      <c r="U21" s="47"/>
      <c r="V21" s="47"/>
      <c r="W21" s="47"/>
      <c r="X21" s="3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O21"/>
      <c r="AP21"/>
      <c r="AQ21"/>
      <c r="AR21"/>
      <c r="AS21"/>
      <c r="AW21" s="50"/>
      <c r="BB21" s="1"/>
      <c r="BC21" s="60"/>
      <c r="BD21" s="62"/>
    </row>
    <row r="22" spans="5:56" ht="15" customHeight="1" x14ac:dyDescent="0.35">
      <c r="E22" s="1"/>
      <c r="S22" s="47"/>
      <c r="T22" s="47"/>
      <c r="U22" s="47"/>
      <c r="V22" s="47"/>
      <c r="W22" s="47"/>
      <c r="X22" s="31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O22"/>
      <c r="AP22"/>
      <c r="AQ22"/>
      <c r="AR22"/>
      <c r="AS22"/>
      <c r="AW22" s="50"/>
      <c r="BB22" s="1"/>
      <c r="BC22" s="60"/>
      <c r="BD22" s="62"/>
    </row>
    <row r="23" spans="5:56" ht="15" customHeight="1" x14ac:dyDescent="0.35">
      <c r="E23" s="1"/>
      <c r="S23" s="47"/>
      <c r="T23" s="47"/>
      <c r="U23" s="47"/>
      <c r="V23" s="47"/>
      <c r="W23" s="47"/>
      <c r="X23" s="31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O23"/>
      <c r="AP23"/>
      <c r="AQ23"/>
      <c r="AR23"/>
      <c r="AS23"/>
      <c r="AW23" s="50"/>
      <c r="BB23" s="1"/>
      <c r="BC23" s="60"/>
      <c r="BD23" s="62"/>
    </row>
    <row r="24" spans="5:56" ht="15" customHeight="1" x14ac:dyDescent="0.35">
      <c r="E24" s="1"/>
      <c r="S24" s="47"/>
      <c r="T24" s="47"/>
      <c r="U24" s="47"/>
      <c r="V24" s="47"/>
      <c r="W24" s="47"/>
      <c r="X24" s="31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O24"/>
      <c r="AP24"/>
      <c r="AQ24"/>
      <c r="AR24"/>
      <c r="AS24"/>
      <c r="AW24" s="50"/>
      <c r="BB24" s="1"/>
      <c r="BC24" s="60"/>
      <c r="BD24" s="62"/>
    </row>
    <row r="25" spans="5:56" ht="15" customHeight="1" x14ac:dyDescent="0.35">
      <c r="E25" s="1"/>
      <c r="S25" s="47"/>
      <c r="T25" s="47"/>
      <c r="U25" s="47"/>
      <c r="V25" s="47"/>
      <c r="W25" s="47"/>
      <c r="X25" s="31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O25"/>
      <c r="AP25"/>
      <c r="AQ25"/>
      <c r="AR25"/>
      <c r="AS25"/>
      <c r="AW25" s="50"/>
      <c r="BB25" s="1"/>
      <c r="BC25" s="60"/>
      <c r="BD25" s="62"/>
    </row>
    <row r="26" spans="5:56" ht="15" customHeight="1" x14ac:dyDescent="0.35">
      <c r="E26" s="1"/>
      <c r="S26" s="47"/>
      <c r="T26" s="47"/>
      <c r="U26" s="47"/>
      <c r="V26" s="47"/>
      <c r="W26" s="47"/>
      <c r="X26" s="31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O26"/>
      <c r="AP26"/>
      <c r="AQ26"/>
      <c r="AR26"/>
      <c r="AS26"/>
      <c r="AW26" s="50"/>
      <c r="BB26" s="1"/>
      <c r="BC26" s="60"/>
      <c r="BD26" s="62"/>
    </row>
    <row r="27" spans="5:56" ht="15" customHeight="1" x14ac:dyDescent="0.35">
      <c r="E27" s="1"/>
      <c r="S27" s="47"/>
      <c r="T27" s="47"/>
      <c r="U27" s="47"/>
      <c r="V27" s="47"/>
      <c r="W27" s="47"/>
      <c r="X27" s="31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O27"/>
      <c r="AP27"/>
      <c r="AQ27"/>
      <c r="AR27"/>
      <c r="AS27"/>
      <c r="AW27" s="50"/>
      <c r="BB27" s="1"/>
      <c r="BC27" s="60"/>
      <c r="BD27" s="62"/>
    </row>
    <row r="28" spans="5:56" ht="15" customHeight="1" x14ac:dyDescent="0.35">
      <c r="E28" s="1"/>
      <c r="S28" s="47"/>
      <c r="T28" s="47"/>
      <c r="U28" s="47"/>
      <c r="V28" s="47"/>
      <c r="W28" s="47"/>
      <c r="X28" s="31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O28"/>
      <c r="AP28"/>
      <c r="AQ28"/>
      <c r="AR28"/>
      <c r="AS28"/>
      <c r="AW28" s="50"/>
      <c r="BB28" s="1"/>
      <c r="BC28" s="60"/>
      <c r="BD28" s="62"/>
    </row>
    <row r="29" spans="5:56" ht="15" customHeight="1" x14ac:dyDescent="0.35">
      <c r="E29" s="1"/>
      <c r="S29" s="47"/>
      <c r="T29" s="47"/>
      <c r="U29" s="47"/>
      <c r="V29" s="47"/>
      <c r="W29" s="47"/>
      <c r="X29" s="31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O29"/>
      <c r="AP29"/>
      <c r="AQ29"/>
      <c r="AR29"/>
      <c r="AS29"/>
      <c r="AW29" s="50"/>
      <c r="BB29" s="1"/>
      <c r="BC29" s="60"/>
      <c r="BD29" s="62"/>
    </row>
    <row r="30" spans="5:56" ht="15" customHeight="1" x14ac:dyDescent="0.35">
      <c r="E30" s="1"/>
      <c r="S30" s="47"/>
      <c r="T30" s="47"/>
      <c r="U30" s="47"/>
      <c r="V30" s="47"/>
      <c r="W30" s="47"/>
      <c r="X30" s="31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O30"/>
      <c r="AP30"/>
      <c r="AQ30"/>
      <c r="AR30"/>
      <c r="AS30"/>
      <c r="AW30" s="50"/>
      <c r="BB30" s="1"/>
      <c r="BC30" s="60"/>
      <c r="BD30" s="62"/>
    </row>
    <row r="31" spans="5:56" ht="15" customHeight="1" x14ac:dyDescent="0.35">
      <c r="E31" s="1"/>
      <c r="S31" s="47"/>
      <c r="T31" s="47"/>
      <c r="U31" s="47"/>
      <c r="V31" s="47"/>
      <c r="W31" s="47"/>
      <c r="X31" s="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O31"/>
      <c r="AP31"/>
      <c r="AQ31"/>
      <c r="AR31"/>
      <c r="AS31"/>
      <c r="AW31" s="50"/>
      <c r="BB31" s="1"/>
      <c r="BC31" s="60"/>
      <c r="BD31" s="62"/>
    </row>
    <row r="32" spans="5:56" ht="15" customHeight="1" x14ac:dyDescent="0.35">
      <c r="E32" s="1"/>
      <c r="S32" s="47"/>
      <c r="T32" s="47"/>
      <c r="U32" s="47"/>
      <c r="V32" s="47"/>
      <c r="W32" s="47"/>
      <c r="X32" s="31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O32"/>
      <c r="AP32"/>
      <c r="AQ32"/>
      <c r="AR32"/>
      <c r="AS32"/>
      <c r="AW32" s="50"/>
      <c r="BB32" s="1"/>
      <c r="BC32" s="60"/>
      <c r="BD32" s="62"/>
    </row>
    <row r="33" spans="5:56" ht="15" customHeight="1" x14ac:dyDescent="0.35">
      <c r="E33" s="1"/>
      <c r="S33" s="47"/>
      <c r="T33" s="47"/>
      <c r="U33" s="47"/>
      <c r="V33" s="47"/>
      <c r="W33" s="47"/>
      <c r="X33" s="31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O33"/>
      <c r="AP33"/>
      <c r="AQ33"/>
      <c r="AR33"/>
      <c r="AS33"/>
      <c r="AW33" s="50"/>
      <c r="BB33" s="1"/>
      <c r="BC33" s="60"/>
      <c r="BD33" s="62"/>
    </row>
    <row r="34" spans="5:56" ht="15" customHeight="1" x14ac:dyDescent="0.35">
      <c r="E34" s="1"/>
      <c r="S34" s="47"/>
      <c r="T34" s="47"/>
      <c r="U34" s="47"/>
      <c r="V34" s="47"/>
      <c r="W34" s="47"/>
      <c r="X34" s="31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O34"/>
      <c r="AP34"/>
      <c r="AQ34"/>
      <c r="AR34"/>
      <c r="AS34"/>
      <c r="AW34" s="50"/>
      <c r="BB34" s="1"/>
      <c r="BC34" s="60"/>
      <c r="BD34" s="62"/>
    </row>
    <row r="35" spans="5:56" ht="15" customHeight="1" x14ac:dyDescent="0.35">
      <c r="E35" s="1"/>
      <c r="S35" s="47"/>
      <c r="T35" s="47"/>
      <c r="U35" s="47"/>
      <c r="V35" s="47"/>
      <c r="W35" s="47"/>
      <c r="X35" s="31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O35"/>
      <c r="AP35"/>
      <c r="AQ35"/>
      <c r="AR35"/>
      <c r="AS35"/>
      <c r="AW35" s="50"/>
      <c r="BB35" s="1"/>
      <c r="BC35" s="60"/>
      <c r="BD35" s="62"/>
    </row>
    <row r="36" spans="5:56" ht="15" customHeight="1" x14ac:dyDescent="0.35">
      <c r="E36" s="1"/>
      <c r="S36" s="47"/>
      <c r="T36" s="47"/>
      <c r="U36" s="47"/>
      <c r="V36" s="47"/>
      <c r="W36" s="47"/>
      <c r="X36" s="31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O36"/>
      <c r="AP36"/>
      <c r="AQ36"/>
      <c r="AR36"/>
      <c r="AS36"/>
      <c r="AW36" s="50"/>
      <c r="BB36" s="1"/>
      <c r="BC36" s="60"/>
      <c r="BD36" s="62"/>
    </row>
    <row r="37" spans="5:56" ht="15" customHeight="1" x14ac:dyDescent="0.35">
      <c r="E37" s="1"/>
      <c r="S37" s="47"/>
      <c r="T37" s="47"/>
      <c r="U37" s="47"/>
      <c r="V37" s="47"/>
      <c r="W37" s="47"/>
      <c r="X37" s="31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O37"/>
      <c r="AP37"/>
      <c r="AQ37"/>
      <c r="AR37"/>
      <c r="AS37"/>
      <c r="AW37" s="50"/>
      <c r="BB37" s="1"/>
      <c r="BC37" s="60"/>
      <c r="BD37" s="62"/>
    </row>
    <row r="38" spans="5:56" ht="15" customHeight="1" x14ac:dyDescent="0.35">
      <c r="E38" s="1"/>
      <c r="S38" s="47"/>
      <c r="T38" s="47"/>
      <c r="U38" s="47"/>
      <c r="V38" s="47"/>
      <c r="W38" s="47"/>
      <c r="X38" s="31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O38"/>
      <c r="AP38"/>
      <c r="AQ38"/>
      <c r="AR38"/>
      <c r="AS38"/>
      <c r="AW38" s="50"/>
      <c r="BB38" s="1"/>
      <c r="BC38" s="60"/>
      <c r="BD38" s="62"/>
    </row>
    <row r="39" spans="5:56" ht="15" customHeight="1" x14ac:dyDescent="0.35">
      <c r="E39" s="1"/>
      <c r="S39" s="47"/>
      <c r="T39" s="47"/>
      <c r="U39" s="47"/>
      <c r="V39" s="47"/>
      <c r="W39" s="47"/>
      <c r="X39" s="31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O39"/>
      <c r="AP39"/>
      <c r="AQ39"/>
      <c r="AR39"/>
      <c r="AS39"/>
      <c r="AW39" s="50"/>
      <c r="BB39" s="1"/>
      <c r="BC39" s="60"/>
      <c r="BD39" s="62"/>
    </row>
    <row r="40" spans="5:56" ht="15" customHeight="1" x14ac:dyDescent="0.35">
      <c r="E40" s="1"/>
      <c r="S40" s="47"/>
      <c r="T40" s="47"/>
      <c r="U40" s="47"/>
      <c r="V40" s="47"/>
      <c r="W40" s="47"/>
      <c r="X40" s="31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O40"/>
      <c r="AP40"/>
      <c r="AQ40"/>
      <c r="AR40"/>
      <c r="AS40"/>
      <c r="AW40" s="50"/>
      <c r="BB40" s="1"/>
      <c r="BC40" s="60"/>
      <c r="BD40" s="62"/>
    </row>
    <row r="41" spans="5:56" ht="15" customHeight="1" x14ac:dyDescent="0.35">
      <c r="E41" s="1"/>
      <c r="S41" s="47"/>
      <c r="T41" s="47"/>
      <c r="U41" s="47"/>
      <c r="V41" s="47"/>
      <c r="W41" s="47"/>
      <c r="X41" s="3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O41"/>
      <c r="AP41"/>
      <c r="AQ41"/>
      <c r="AR41"/>
      <c r="AS41"/>
      <c r="AW41" s="50"/>
      <c r="BB41" s="1"/>
      <c r="BC41" s="60"/>
      <c r="BD41" s="62"/>
    </row>
    <row r="42" spans="5:56" ht="15" customHeight="1" x14ac:dyDescent="0.35">
      <c r="E42" s="1"/>
      <c r="S42" s="47"/>
      <c r="T42" s="47"/>
      <c r="U42" s="47"/>
      <c r="V42" s="47"/>
      <c r="W42" s="47"/>
      <c r="X42" s="31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O42"/>
      <c r="AP42"/>
      <c r="AQ42"/>
      <c r="AR42"/>
      <c r="AS42"/>
      <c r="AW42" s="50"/>
      <c r="BB42" s="1"/>
      <c r="BC42" s="60"/>
      <c r="BD42" s="62"/>
    </row>
    <row r="43" spans="5:56" ht="15" customHeight="1" x14ac:dyDescent="0.35">
      <c r="E43" s="1"/>
      <c r="S43" s="47"/>
      <c r="T43" s="47"/>
      <c r="U43" s="47"/>
      <c r="V43" s="47"/>
      <c r="W43" s="47"/>
      <c r="X43" s="31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O43"/>
      <c r="AP43"/>
      <c r="AQ43"/>
      <c r="AR43"/>
      <c r="AS43"/>
      <c r="AW43" s="50"/>
      <c r="BB43" s="1"/>
      <c r="BC43" s="60"/>
      <c r="BD43" s="62"/>
    </row>
    <row r="44" spans="5:56" ht="15" customHeight="1" x14ac:dyDescent="0.35">
      <c r="E44" s="1"/>
      <c r="S44" s="47"/>
      <c r="T44" s="47"/>
      <c r="U44" s="47"/>
      <c r="V44" s="47"/>
      <c r="W44" s="47"/>
      <c r="X44" s="31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O44"/>
      <c r="AP44"/>
      <c r="AQ44"/>
      <c r="AR44"/>
      <c r="AS44"/>
      <c r="AW44" s="50"/>
      <c r="BB44" s="1"/>
      <c r="BC44" s="60"/>
      <c r="BD44" s="62"/>
    </row>
    <row r="45" spans="5:56" ht="15" customHeight="1" x14ac:dyDescent="0.35">
      <c r="E45" s="1"/>
      <c r="S45" s="47"/>
      <c r="T45" s="47"/>
      <c r="U45" s="47"/>
      <c r="V45" s="47"/>
      <c r="W45" s="47"/>
      <c r="X45" s="31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O45"/>
      <c r="AP45"/>
      <c r="AQ45"/>
      <c r="AR45"/>
      <c r="AS45"/>
      <c r="AW45" s="50"/>
      <c r="BB45" s="1"/>
      <c r="BC45" s="60"/>
      <c r="BD45" s="62"/>
    </row>
    <row r="46" spans="5:56" ht="15" customHeight="1" x14ac:dyDescent="0.35">
      <c r="E46" s="1"/>
      <c r="S46" s="47"/>
      <c r="T46" s="47"/>
      <c r="U46" s="47"/>
      <c r="V46" s="47"/>
      <c r="W46" s="47"/>
      <c r="X46" s="31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O46"/>
      <c r="AP46"/>
      <c r="AQ46"/>
      <c r="AR46"/>
      <c r="AS46"/>
      <c r="AW46" s="50"/>
      <c r="BB46" s="1"/>
      <c r="BC46" s="60"/>
      <c r="BD46" s="62"/>
    </row>
    <row r="47" spans="5:56" ht="15" customHeight="1" x14ac:dyDescent="0.35">
      <c r="E47" s="1"/>
      <c r="X47" s="31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O47"/>
      <c r="AP47"/>
      <c r="AQ47"/>
      <c r="AR47"/>
      <c r="AS47"/>
      <c r="AW47" s="50"/>
      <c r="BB47" s="1"/>
      <c r="BC47" s="60"/>
      <c r="BD47" s="62"/>
    </row>
    <row r="48" spans="5:56" ht="15" customHeight="1" x14ac:dyDescent="0.35">
      <c r="E48" s="1"/>
      <c r="S48" s="47"/>
      <c r="T48" s="47"/>
      <c r="U48" s="47"/>
      <c r="V48" s="47"/>
      <c r="W48" s="47"/>
      <c r="X48" s="31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O48"/>
      <c r="AP48"/>
      <c r="AQ48"/>
      <c r="AR48"/>
      <c r="AS48"/>
      <c r="AW48" s="50"/>
      <c r="BB48" s="1"/>
      <c r="BC48" s="60"/>
      <c r="BD48" s="62"/>
    </row>
    <row r="49" spans="5:56" ht="15" customHeight="1" x14ac:dyDescent="0.35">
      <c r="E49" s="1"/>
      <c r="S49" s="47"/>
      <c r="T49" s="47"/>
      <c r="U49" s="47"/>
      <c r="V49" s="47"/>
      <c r="W49" s="47"/>
      <c r="X49" s="31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O49"/>
      <c r="AP49"/>
      <c r="AQ49"/>
      <c r="AR49"/>
      <c r="AS49"/>
      <c r="AW49" s="50"/>
      <c r="BB49" s="1"/>
      <c r="BC49" s="60"/>
      <c r="BD49" s="62"/>
    </row>
    <row r="50" spans="5:56" ht="15" customHeight="1" x14ac:dyDescent="0.35">
      <c r="E50" s="1"/>
      <c r="S50" s="47"/>
      <c r="T50" s="47"/>
      <c r="U50" s="47"/>
      <c r="V50" s="47"/>
      <c r="W50" s="47"/>
      <c r="X50" s="31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O50"/>
      <c r="AP50"/>
      <c r="AQ50"/>
      <c r="AR50"/>
      <c r="AS50"/>
      <c r="AW50" s="50"/>
      <c r="BB50" s="1"/>
      <c r="BC50" s="60"/>
      <c r="BD50" s="62"/>
    </row>
    <row r="51" spans="5:56" ht="15" customHeight="1" x14ac:dyDescent="0.35">
      <c r="E51" s="1"/>
      <c r="S51" s="47"/>
      <c r="T51" s="47"/>
      <c r="U51" s="47"/>
      <c r="V51" s="47"/>
      <c r="W51" s="47"/>
      <c r="X51" s="3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O51"/>
      <c r="AP51"/>
      <c r="AQ51"/>
      <c r="AR51"/>
      <c r="AS51"/>
      <c r="AW51" s="50"/>
      <c r="BB51" s="1"/>
      <c r="BC51" s="60"/>
      <c r="BD51" s="62"/>
    </row>
    <row r="52" spans="5:56" ht="15" customHeight="1" x14ac:dyDescent="0.35">
      <c r="E52" s="1"/>
      <c r="S52" s="47"/>
      <c r="T52" s="47"/>
      <c r="U52" s="47"/>
      <c r="V52" s="47"/>
      <c r="W52" s="47"/>
      <c r="X52" s="31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O52"/>
      <c r="AP52"/>
      <c r="AQ52"/>
      <c r="AR52"/>
      <c r="AS52"/>
      <c r="AW52" s="50"/>
      <c r="BB52" s="1"/>
      <c r="BC52" s="60"/>
      <c r="BD52" s="62"/>
    </row>
    <row r="53" spans="5:56" ht="15" customHeight="1" x14ac:dyDescent="0.35">
      <c r="E53" s="1"/>
      <c r="S53" s="47"/>
      <c r="T53" s="47"/>
      <c r="U53" s="47"/>
      <c r="V53" s="47"/>
      <c r="W53" s="47"/>
      <c r="X53" s="31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O53"/>
      <c r="AP53"/>
      <c r="AQ53"/>
      <c r="AR53"/>
      <c r="AS53"/>
      <c r="AW53" s="50"/>
      <c r="BB53" s="1"/>
      <c r="BC53" s="60"/>
      <c r="BD53" s="62"/>
    </row>
    <row r="54" spans="5:56" ht="15" customHeight="1" x14ac:dyDescent="0.35">
      <c r="E54" s="1"/>
      <c r="X54" s="31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O54"/>
      <c r="AP54"/>
      <c r="AQ54"/>
      <c r="AR54"/>
      <c r="AS54"/>
      <c r="AW54" s="50"/>
      <c r="BB54" s="1"/>
      <c r="BC54" s="60"/>
      <c r="BD54" s="62"/>
    </row>
    <row r="55" spans="5:56" ht="15" customHeight="1" x14ac:dyDescent="0.35">
      <c r="E55" s="1"/>
      <c r="S55" s="47"/>
      <c r="T55" s="47"/>
      <c r="U55" s="47"/>
      <c r="V55" s="47"/>
      <c r="W55" s="47"/>
      <c r="X55" s="31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O55"/>
      <c r="AP55"/>
      <c r="AQ55"/>
      <c r="AR55"/>
      <c r="AS55"/>
      <c r="AW55" s="50"/>
      <c r="BB55" s="1"/>
      <c r="BC55" s="60"/>
      <c r="BD55" s="62"/>
    </row>
    <row r="56" spans="5:56" ht="15" customHeight="1" x14ac:dyDescent="0.35">
      <c r="E56" s="1"/>
      <c r="X56" s="31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O56"/>
      <c r="AP56"/>
      <c r="AQ56"/>
      <c r="AR56"/>
      <c r="AS56"/>
      <c r="AW56" s="50"/>
      <c r="BB56" s="1"/>
      <c r="BC56" s="60"/>
      <c r="BD56" s="62"/>
    </row>
    <row r="57" spans="5:56" ht="15" customHeight="1" x14ac:dyDescent="0.35">
      <c r="E57" s="1"/>
      <c r="S57" s="47"/>
      <c r="T57" s="47"/>
      <c r="U57" s="47"/>
      <c r="V57" s="47"/>
      <c r="W57" s="47"/>
      <c r="X57" s="31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O57"/>
      <c r="AP57"/>
      <c r="AQ57"/>
      <c r="AR57"/>
      <c r="AS57"/>
      <c r="AW57" s="50"/>
      <c r="BB57" s="1"/>
      <c r="BC57" s="60"/>
      <c r="BD57" s="62"/>
    </row>
    <row r="58" spans="5:56" ht="15" customHeight="1" x14ac:dyDescent="0.35">
      <c r="E58" s="1"/>
      <c r="X58" s="31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O58"/>
      <c r="AP58"/>
      <c r="AQ58"/>
      <c r="AR58"/>
      <c r="AS58"/>
      <c r="AW58" s="50"/>
      <c r="BB58" s="1"/>
      <c r="BC58" s="60"/>
      <c r="BD58" s="62"/>
    </row>
    <row r="59" spans="5:56" ht="15" customHeight="1" x14ac:dyDescent="0.35">
      <c r="E59" s="1"/>
      <c r="S59" s="47"/>
      <c r="T59" s="47"/>
      <c r="U59" s="47"/>
      <c r="V59" s="47"/>
      <c r="W59" s="47"/>
      <c r="X59" s="31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O59"/>
      <c r="AP59"/>
      <c r="AQ59"/>
      <c r="AR59"/>
      <c r="AS59"/>
      <c r="AW59" s="50"/>
      <c r="BB59" s="1"/>
      <c r="BC59" s="60"/>
      <c r="BD59" s="62"/>
    </row>
    <row r="60" spans="5:56" ht="15" customHeight="1" x14ac:dyDescent="0.35">
      <c r="E60" s="1"/>
      <c r="S60" s="47"/>
      <c r="T60" s="47"/>
      <c r="U60" s="47"/>
      <c r="V60" s="47"/>
      <c r="W60" s="47"/>
      <c r="X60" s="31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O60"/>
      <c r="AP60"/>
      <c r="AQ60"/>
      <c r="AR60"/>
      <c r="AS60"/>
      <c r="AW60" s="50"/>
      <c r="BB60" s="1"/>
      <c r="BC60" s="60"/>
      <c r="BD60" s="62"/>
    </row>
    <row r="61" spans="5:56" ht="15" customHeight="1" x14ac:dyDescent="0.35">
      <c r="E61" s="1"/>
      <c r="S61" s="47"/>
      <c r="T61" s="47"/>
      <c r="U61" s="47"/>
      <c r="V61" s="47"/>
      <c r="W61" s="47"/>
      <c r="X61" s="3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O61"/>
      <c r="AP61"/>
      <c r="AQ61"/>
      <c r="AR61"/>
      <c r="AS61"/>
      <c r="AW61" s="50"/>
      <c r="BB61" s="1"/>
      <c r="BC61" s="60"/>
      <c r="BD61" s="62"/>
    </row>
    <row r="62" spans="5:56" ht="15" customHeight="1" x14ac:dyDescent="0.35">
      <c r="E62" s="1"/>
      <c r="S62" s="47"/>
      <c r="T62" s="47"/>
      <c r="U62" s="47"/>
      <c r="V62" s="47"/>
      <c r="W62" s="47"/>
      <c r="X62" s="31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O62"/>
      <c r="AP62"/>
      <c r="AQ62"/>
      <c r="AR62"/>
      <c r="AS62"/>
      <c r="AW62" s="50"/>
      <c r="BB62" s="1"/>
      <c r="BC62" s="60"/>
      <c r="BD62" s="62"/>
    </row>
    <row r="63" spans="5:56" ht="15" customHeight="1" x14ac:dyDescent="0.35">
      <c r="E63" s="1"/>
      <c r="S63" s="47"/>
      <c r="T63" s="47"/>
      <c r="U63" s="47"/>
      <c r="V63" s="47"/>
      <c r="W63" s="47"/>
      <c r="X63" s="31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O63"/>
      <c r="AP63"/>
      <c r="AQ63"/>
      <c r="AR63"/>
      <c r="AS63"/>
      <c r="AW63" s="50"/>
      <c r="BB63" s="1"/>
      <c r="BC63" s="60"/>
      <c r="BD63" s="62"/>
    </row>
    <row r="64" spans="5:56" ht="15" customHeight="1" x14ac:dyDescent="0.35">
      <c r="E64" s="1"/>
      <c r="S64" s="47"/>
      <c r="T64" s="47"/>
      <c r="U64" s="47"/>
      <c r="V64" s="47"/>
      <c r="W64" s="47"/>
      <c r="X64" s="31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O64"/>
      <c r="AP64"/>
      <c r="AQ64"/>
      <c r="AR64"/>
      <c r="AS64"/>
      <c r="AW64" s="50"/>
      <c r="BB64" s="1"/>
      <c r="BC64" s="60"/>
      <c r="BD64" s="62"/>
    </row>
    <row r="65" spans="5:56" ht="14.4" customHeight="1" x14ac:dyDescent="0.35">
      <c r="E65" s="1"/>
      <c r="X65" s="31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O65"/>
      <c r="AP65"/>
      <c r="AQ65"/>
      <c r="AR65"/>
      <c r="AS65"/>
      <c r="AW65" s="50"/>
      <c r="BB65" s="1"/>
      <c r="BC65" s="60"/>
      <c r="BD65" s="62"/>
    </row>
    <row r="66" spans="5:56" ht="14.4" customHeight="1" x14ac:dyDescent="0.35">
      <c r="E66" s="1"/>
      <c r="X66" s="31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O66"/>
      <c r="AP66"/>
      <c r="AQ66"/>
      <c r="AR66"/>
      <c r="AS66"/>
      <c r="AW66" s="50"/>
      <c r="BB66" s="1"/>
      <c r="BC66" s="60"/>
      <c r="BD66" s="62"/>
    </row>
    <row r="67" spans="5:56" ht="14.4" customHeight="1" x14ac:dyDescent="0.35">
      <c r="E67" s="1"/>
      <c r="X67" s="31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O67"/>
      <c r="AP67"/>
      <c r="AQ67"/>
      <c r="AR67"/>
      <c r="AS67"/>
      <c r="AW67" s="50"/>
      <c r="BB67" s="1"/>
      <c r="BC67" s="60"/>
      <c r="BD67" s="62"/>
    </row>
    <row r="68" spans="5:56" ht="14.4" customHeight="1" x14ac:dyDescent="0.35">
      <c r="E68" s="1"/>
      <c r="X68" s="31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O68"/>
      <c r="AP68"/>
      <c r="AQ68"/>
      <c r="AR68"/>
      <c r="AS68"/>
      <c r="AW68" s="50"/>
      <c r="BB68" s="1"/>
      <c r="BC68" s="60"/>
      <c r="BD68" s="62"/>
    </row>
    <row r="69" spans="5:56" ht="14.4" customHeight="1" x14ac:dyDescent="0.35">
      <c r="E69" s="1"/>
      <c r="X69" s="31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O69"/>
      <c r="AP69"/>
      <c r="AQ69"/>
      <c r="AR69"/>
      <c r="AS69"/>
      <c r="AW69" s="50"/>
      <c r="BB69" s="1"/>
      <c r="BC69" s="60"/>
      <c r="BD69" s="62"/>
    </row>
    <row r="70" spans="5:56" ht="14.4" customHeight="1" x14ac:dyDescent="0.35">
      <c r="E70" s="1"/>
      <c r="X70" s="31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O70"/>
      <c r="AP70"/>
      <c r="AQ70"/>
      <c r="AR70"/>
      <c r="AS70"/>
      <c r="AW70" s="50"/>
      <c r="BB70" s="1"/>
      <c r="BC70" s="60"/>
      <c r="BD70" s="62"/>
    </row>
    <row r="71" spans="5:56" ht="14.4" customHeight="1" x14ac:dyDescent="0.35">
      <c r="E71" s="1"/>
      <c r="X71" s="3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O71"/>
      <c r="AP71"/>
      <c r="AQ71"/>
      <c r="AR71"/>
      <c r="AS71"/>
      <c r="AW71" s="50"/>
      <c r="BB71" s="1"/>
      <c r="BC71" s="60"/>
      <c r="BD71" s="62"/>
    </row>
    <row r="72" spans="5:56" ht="14.4" customHeight="1" x14ac:dyDescent="0.35">
      <c r="E72" s="1"/>
      <c r="X72" s="31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O72"/>
      <c r="AP72"/>
      <c r="AQ72"/>
      <c r="AR72"/>
      <c r="AS72"/>
      <c r="AW72" s="50"/>
      <c r="BB72" s="1"/>
      <c r="BC72" s="60"/>
      <c r="BD72" s="62"/>
    </row>
    <row r="73" spans="5:56" ht="14.4" customHeight="1" x14ac:dyDescent="0.35">
      <c r="E73" s="1"/>
      <c r="X73" s="31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O73"/>
      <c r="AP73"/>
      <c r="AQ73"/>
      <c r="AR73"/>
      <c r="AS73"/>
      <c r="AW73" s="50"/>
      <c r="BB73" s="1"/>
      <c r="BC73" s="60"/>
      <c r="BD73" s="62"/>
    </row>
    <row r="74" spans="5:56" ht="14.4" customHeight="1" x14ac:dyDescent="0.35">
      <c r="E74" s="1"/>
      <c r="X74" s="31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O74"/>
      <c r="AP74"/>
      <c r="AQ74"/>
      <c r="AR74"/>
      <c r="AS74"/>
      <c r="AW74" s="50"/>
      <c r="BB74" s="1"/>
      <c r="BC74" s="60"/>
      <c r="BD74" s="62"/>
    </row>
    <row r="75" spans="5:56" ht="14.4" customHeight="1" x14ac:dyDescent="0.35">
      <c r="E75" s="1"/>
      <c r="X75" s="31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O75"/>
      <c r="AP75"/>
      <c r="AQ75"/>
      <c r="AR75"/>
      <c r="AS75"/>
      <c r="AW75" s="50"/>
      <c r="BB75" s="1"/>
      <c r="BC75" s="60"/>
      <c r="BD75" s="62"/>
    </row>
    <row r="76" spans="5:56" ht="14.4" customHeight="1" x14ac:dyDescent="0.35">
      <c r="E76" s="1"/>
      <c r="X76" s="31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O76"/>
      <c r="AP76"/>
      <c r="AQ76"/>
      <c r="AR76"/>
      <c r="AS76"/>
      <c r="AW76" s="50"/>
      <c r="BB76" s="1"/>
      <c r="BC76" s="60"/>
      <c r="BD76" s="62"/>
    </row>
    <row r="77" spans="5:56" ht="14.4" customHeight="1" x14ac:dyDescent="0.35">
      <c r="E77" s="1"/>
      <c r="X77" s="31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O77"/>
      <c r="AP77"/>
      <c r="AQ77"/>
      <c r="AR77"/>
      <c r="AS77"/>
      <c r="AW77" s="50"/>
      <c r="BB77" s="1"/>
      <c r="BC77" s="60"/>
      <c r="BD77" s="62"/>
    </row>
    <row r="78" spans="5:56" ht="14.4" customHeight="1" x14ac:dyDescent="0.35">
      <c r="E78" s="1"/>
      <c r="X78" s="31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O78"/>
      <c r="AP78"/>
      <c r="AQ78"/>
      <c r="AR78"/>
      <c r="AS78"/>
      <c r="AW78" s="50"/>
      <c r="BB78" s="1"/>
      <c r="BC78" s="60"/>
      <c r="BD78" s="62"/>
    </row>
    <row r="79" spans="5:56" ht="14.4" customHeight="1" x14ac:dyDescent="0.35">
      <c r="E79" s="1"/>
      <c r="X79" s="31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O79"/>
      <c r="AP79"/>
      <c r="AQ79"/>
      <c r="AR79"/>
      <c r="AS79"/>
      <c r="AW79" s="50"/>
      <c r="BB79" s="1"/>
      <c r="BC79" s="60"/>
      <c r="BD79" s="62"/>
    </row>
    <row r="80" spans="5:56" ht="14.4" customHeight="1" x14ac:dyDescent="0.35">
      <c r="E80" s="1"/>
      <c r="X80" s="31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O80"/>
      <c r="AP80"/>
      <c r="AQ80"/>
      <c r="AR80"/>
      <c r="AS80"/>
      <c r="AW80" s="50"/>
      <c r="BB80" s="1"/>
      <c r="BC80" s="60"/>
      <c r="BD80" s="62"/>
    </row>
    <row r="81" spans="5:56" ht="14.4" customHeight="1" x14ac:dyDescent="0.35">
      <c r="E81" s="1"/>
      <c r="X81" s="3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O81"/>
      <c r="AP81"/>
      <c r="AQ81"/>
      <c r="AR81"/>
      <c r="AS81"/>
      <c r="AW81" s="50"/>
      <c r="BB81" s="1"/>
      <c r="BC81" s="60"/>
      <c r="BD81" s="62"/>
    </row>
    <row r="82" spans="5:56" ht="14.4" customHeight="1" x14ac:dyDescent="0.35">
      <c r="E82" s="1"/>
      <c r="X82" s="31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O82"/>
      <c r="AP82"/>
      <c r="AQ82"/>
      <c r="AR82"/>
      <c r="AS82"/>
      <c r="AW82" s="50"/>
      <c r="BB82" s="1"/>
      <c r="BC82" s="60"/>
      <c r="BD82" s="62"/>
    </row>
    <row r="83" spans="5:56" ht="14.4" customHeight="1" x14ac:dyDescent="0.35">
      <c r="E83" s="1"/>
      <c r="X83" s="31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O83"/>
      <c r="AP83"/>
      <c r="AQ83"/>
      <c r="AR83"/>
      <c r="AS83"/>
      <c r="AW83" s="50"/>
      <c r="BB83" s="1"/>
      <c r="BC83" s="60"/>
      <c r="BD83" s="62"/>
    </row>
    <row r="84" spans="5:56" ht="14.4" customHeight="1" x14ac:dyDescent="0.35">
      <c r="E84" s="1"/>
      <c r="X84" s="31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O84"/>
      <c r="AP84"/>
      <c r="AQ84"/>
      <c r="AR84"/>
      <c r="AS84"/>
      <c r="AW84" s="50"/>
      <c r="BB84" s="1"/>
      <c r="BC84" s="60"/>
      <c r="BD84" s="62"/>
    </row>
    <row r="85" spans="5:56" ht="14.4" customHeight="1" x14ac:dyDescent="0.35">
      <c r="E85" s="1"/>
      <c r="X85" s="31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O85"/>
      <c r="AP85"/>
      <c r="AQ85"/>
      <c r="AR85"/>
      <c r="AS85"/>
      <c r="AW85" s="50"/>
      <c r="BB85" s="1"/>
      <c r="BC85" s="60"/>
      <c r="BD85" s="62"/>
    </row>
    <row r="86" spans="5:56" ht="14.4" customHeight="1" x14ac:dyDescent="0.35">
      <c r="E86" s="1"/>
      <c r="X86" s="31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O86"/>
      <c r="AP86"/>
      <c r="AQ86"/>
      <c r="AR86"/>
      <c r="AS86"/>
      <c r="AW86" s="50"/>
      <c r="BB86" s="1"/>
      <c r="BC86" s="60"/>
      <c r="BD86" s="62"/>
    </row>
    <row r="87" spans="5:56" ht="14.4" customHeight="1" x14ac:dyDescent="0.35">
      <c r="E87" s="1"/>
      <c r="X87" s="31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O87"/>
      <c r="AP87"/>
      <c r="AQ87"/>
      <c r="AR87"/>
      <c r="AS87"/>
      <c r="AW87" s="50"/>
      <c r="BB87" s="1"/>
      <c r="BC87" s="60"/>
      <c r="BD87" s="62"/>
    </row>
    <row r="88" spans="5:56" ht="14.4" customHeight="1" x14ac:dyDescent="0.35">
      <c r="E88" s="1"/>
      <c r="X88" s="31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O88"/>
      <c r="AP88"/>
      <c r="AQ88"/>
      <c r="AR88"/>
      <c r="AS88"/>
      <c r="AW88" s="50"/>
      <c r="BB88" s="1"/>
      <c r="BC88" s="60"/>
      <c r="BD88" s="62"/>
    </row>
    <row r="89" spans="5:56" ht="14.4" customHeight="1" x14ac:dyDescent="0.35">
      <c r="E89" s="1"/>
      <c r="X89" s="31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O89"/>
      <c r="AP89"/>
      <c r="AQ89"/>
      <c r="AR89"/>
      <c r="AS89"/>
      <c r="AW89" s="50"/>
      <c r="BB89" s="1"/>
      <c r="BC89" s="60"/>
      <c r="BD89" s="62"/>
    </row>
    <row r="90" spans="5:56" ht="14.4" customHeight="1" x14ac:dyDescent="0.35">
      <c r="E90" s="1"/>
      <c r="X90" s="31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O90"/>
      <c r="AP90"/>
      <c r="AQ90"/>
      <c r="AR90"/>
      <c r="AS90"/>
      <c r="AW90" s="50"/>
      <c r="BB90" s="1"/>
      <c r="BC90" s="60"/>
      <c r="BD90" s="62"/>
    </row>
    <row r="91" spans="5:56" ht="14.4" customHeight="1" x14ac:dyDescent="0.35">
      <c r="E91" s="1"/>
      <c r="X91" s="3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O91"/>
      <c r="AP91"/>
      <c r="AQ91"/>
      <c r="AR91"/>
      <c r="AS91"/>
      <c r="AW91" s="50"/>
      <c r="BB91" s="1"/>
      <c r="BC91" s="60"/>
      <c r="BD91" s="62"/>
    </row>
    <row r="92" spans="5:56" ht="14.4" customHeight="1" x14ac:dyDescent="0.35">
      <c r="E92" s="1"/>
      <c r="X92" s="31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O92"/>
      <c r="AP92"/>
      <c r="AQ92"/>
      <c r="AR92"/>
      <c r="AS92"/>
      <c r="AW92" s="50"/>
      <c r="BB92" s="1"/>
      <c r="BC92" s="60"/>
      <c r="BD92" s="62"/>
    </row>
    <row r="93" spans="5:56" ht="14.4" customHeight="1" x14ac:dyDescent="0.35">
      <c r="E93" s="1"/>
      <c r="X93" s="31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O93"/>
      <c r="AP93"/>
      <c r="AQ93"/>
      <c r="AR93"/>
      <c r="AS93"/>
      <c r="AW93" s="50"/>
      <c r="BB93" s="1"/>
      <c r="BC93" s="60"/>
      <c r="BD93" s="62"/>
    </row>
    <row r="94" spans="5:56" ht="14.4" customHeight="1" x14ac:dyDescent="0.35">
      <c r="E94" s="1"/>
      <c r="X94" s="31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O94"/>
      <c r="AP94"/>
      <c r="AQ94"/>
      <c r="AR94"/>
      <c r="AS94"/>
      <c r="AW94" s="50"/>
      <c r="BB94" s="1"/>
      <c r="BC94" s="60"/>
      <c r="BD94" s="62"/>
    </row>
    <row r="95" spans="5:56" ht="14.4" customHeight="1" x14ac:dyDescent="0.35">
      <c r="E95" s="1"/>
      <c r="X95" s="31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O95"/>
      <c r="AP95"/>
      <c r="AQ95"/>
      <c r="AR95"/>
      <c r="AS95"/>
      <c r="AW95" s="50"/>
      <c r="BB95" s="1"/>
      <c r="BC95" s="60"/>
      <c r="BD95" s="62"/>
    </row>
    <row r="96" spans="5:56" ht="14.4" customHeight="1" x14ac:dyDescent="0.35">
      <c r="E96" s="1"/>
      <c r="X96" s="31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O96"/>
      <c r="AP96"/>
      <c r="AQ96"/>
      <c r="AR96"/>
      <c r="AS96"/>
      <c r="AW96" s="50"/>
      <c r="BB96" s="1"/>
      <c r="BC96" s="60"/>
      <c r="BD96" s="62"/>
    </row>
    <row r="97" spans="5:56" ht="14.4" customHeight="1" x14ac:dyDescent="0.35">
      <c r="E97" s="1"/>
      <c r="X97" s="31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O97"/>
      <c r="AP97"/>
      <c r="AQ97"/>
      <c r="AR97"/>
      <c r="AS97"/>
      <c r="AW97" s="50"/>
      <c r="BB97" s="1"/>
      <c r="BC97" s="60"/>
      <c r="BD97" s="62"/>
    </row>
    <row r="98" spans="5:56" ht="14.4" customHeight="1" x14ac:dyDescent="0.35">
      <c r="E98" s="1"/>
      <c r="X98" s="31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O98"/>
      <c r="AP98"/>
      <c r="AQ98"/>
      <c r="AR98"/>
      <c r="AS98"/>
      <c r="AW98" s="50"/>
      <c r="BB98" s="1"/>
      <c r="BC98" s="60"/>
      <c r="BD98" s="62"/>
    </row>
    <row r="99" spans="5:56" ht="14.4" customHeight="1" x14ac:dyDescent="0.35">
      <c r="E99" s="1"/>
      <c r="X99" s="31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O99"/>
      <c r="AP99"/>
      <c r="AQ99"/>
      <c r="AR99"/>
      <c r="AS99"/>
      <c r="AW99" s="50"/>
      <c r="BB99" s="1"/>
      <c r="BC99" s="60"/>
      <c r="BD99" s="62"/>
    </row>
    <row r="100" spans="5:56" ht="14.4" customHeight="1" x14ac:dyDescent="0.35">
      <c r="E100" s="1"/>
      <c r="X100" s="31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O100"/>
      <c r="AP100"/>
      <c r="AQ100"/>
      <c r="AR100"/>
      <c r="AS100"/>
      <c r="AW100" s="50"/>
      <c r="BB100" s="1"/>
      <c r="BC100" s="60"/>
      <c r="BD100" s="62"/>
    </row>
    <row r="101" spans="5:56" ht="14.4" customHeight="1" x14ac:dyDescent="0.35">
      <c r="E101" s="1"/>
      <c r="X101" s="3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O101"/>
      <c r="AP101"/>
      <c r="AQ101"/>
      <c r="AR101"/>
      <c r="AS101"/>
      <c r="AW101" s="50"/>
      <c r="BB101" s="1"/>
      <c r="BC101" s="60"/>
      <c r="BD101" s="62"/>
    </row>
    <row r="102" spans="5:56" ht="14.4" customHeight="1" x14ac:dyDescent="0.35">
      <c r="E102" s="1"/>
      <c r="X102" s="31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O102"/>
      <c r="AP102"/>
      <c r="AQ102"/>
      <c r="AR102"/>
      <c r="AS102"/>
      <c r="AW102" s="50"/>
      <c r="BB102" s="1"/>
      <c r="BC102" s="60"/>
      <c r="BD102" s="62"/>
    </row>
    <row r="103" spans="5:56" ht="14.4" customHeight="1" x14ac:dyDescent="0.35">
      <c r="E103" s="1"/>
      <c r="X103" s="31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O103"/>
      <c r="AP103"/>
      <c r="AQ103"/>
      <c r="AR103"/>
      <c r="AS103"/>
      <c r="AW103" s="50"/>
      <c r="BB103" s="1"/>
      <c r="BC103" s="60"/>
      <c r="BD103" s="62"/>
    </row>
    <row r="104" spans="5:56" ht="14.4" customHeight="1" x14ac:dyDescent="0.35">
      <c r="E104" s="1"/>
      <c r="X104" s="31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O104"/>
      <c r="AP104"/>
      <c r="AQ104"/>
      <c r="AR104"/>
      <c r="AS104"/>
      <c r="AW104" s="50"/>
      <c r="BB104" s="1"/>
      <c r="BC104" s="60"/>
      <c r="BD104" s="62"/>
    </row>
    <row r="105" spans="5:56" ht="14.4" customHeight="1" x14ac:dyDescent="0.35">
      <c r="E105" s="1"/>
      <c r="X105" s="31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O105"/>
      <c r="AP105"/>
      <c r="AQ105"/>
      <c r="AR105"/>
      <c r="AS105"/>
      <c r="AW105" s="50"/>
      <c r="BB105" s="1"/>
      <c r="BC105" s="60"/>
      <c r="BD105" s="62"/>
    </row>
    <row r="106" spans="5:56" ht="14.4" customHeight="1" x14ac:dyDescent="0.35">
      <c r="E106" s="1"/>
      <c r="X106" s="31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O106"/>
      <c r="AP106"/>
      <c r="AQ106"/>
      <c r="AR106"/>
      <c r="AS106"/>
      <c r="AW106" s="50"/>
      <c r="BB106" s="1"/>
      <c r="BC106" s="60"/>
      <c r="BD106" s="62"/>
    </row>
    <row r="107" spans="5:56" ht="14.4" customHeight="1" x14ac:dyDescent="0.35">
      <c r="E107" s="1"/>
      <c r="X107" s="31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O107"/>
      <c r="AP107"/>
      <c r="AQ107"/>
      <c r="AR107"/>
      <c r="AS107"/>
      <c r="AW107" s="50"/>
      <c r="BB107" s="1"/>
      <c r="BC107" s="60"/>
      <c r="BD107" s="62"/>
    </row>
    <row r="108" spans="5:56" ht="14.4" customHeight="1" x14ac:dyDescent="0.35">
      <c r="E108" s="1"/>
      <c r="X108" s="31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O108"/>
      <c r="AP108"/>
      <c r="AQ108"/>
      <c r="AR108"/>
      <c r="AS108"/>
      <c r="AW108" s="50"/>
      <c r="BB108" s="1"/>
      <c r="BC108" s="60"/>
      <c r="BD108" s="62"/>
    </row>
    <row r="109" spans="5:56" ht="14.4" customHeight="1" x14ac:dyDescent="0.35">
      <c r="E109" s="1"/>
      <c r="X109" s="31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O109"/>
      <c r="AP109"/>
      <c r="AQ109"/>
      <c r="AR109"/>
      <c r="AS109"/>
      <c r="AW109" s="50"/>
      <c r="BB109" s="1"/>
      <c r="BC109" s="60"/>
      <c r="BD109" s="62"/>
    </row>
    <row r="110" spans="5:56" ht="14.4" customHeight="1" x14ac:dyDescent="0.35">
      <c r="E110" s="1"/>
      <c r="X110" s="31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O110"/>
      <c r="AP110"/>
      <c r="AQ110"/>
      <c r="AR110"/>
      <c r="AS110"/>
      <c r="AW110" s="50"/>
      <c r="BB110" s="1"/>
      <c r="BC110" s="60"/>
      <c r="BD110" s="62"/>
    </row>
    <row r="111" spans="5:56" ht="14.4" customHeight="1" x14ac:dyDescent="0.35">
      <c r="E111" s="1"/>
      <c r="X111" s="3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O111"/>
      <c r="AP111"/>
      <c r="AQ111"/>
      <c r="AR111"/>
      <c r="AS111"/>
      <c r="AW111" s="50"/>
      <c r="BB111" s="1"/>
      <c r="BC111" s="60"/>
      <c r="BD111" s="62"/>
    </row>
    <row r="112" spans="5:56" ht="14.4" customHeight="1" x14ac:dyDescent="0.35">
      <c r="E112" s="1"/>
      <c r="X112" s="31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O112"/>
      <c r="AP112"/>
      <c r="AQ112"/>
      <c r="AR112"/>
      <c r="AS112"/>
      <c r="AW112" s="50"/>
      <c r="BB112" s="1"/>
      <c r="BC112" s="60"/>
      <c r="BD112" s="62"/>
    </row>
    <row r="113" spans="5:56" ht="14.4" customHeight="1" x14ac:dyDescent="0.35">
      <c r="E113" s="1"/>
      <c r="X113" s="31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O113"/>
      <c r="AP113"/>
      <c r="AQ113"/>
      <c r="AR113"/>
      <c r="AS113"/>
      <c r="AW113" s="50"/>
      <c r="BB113" s="1"/>
      <c r="BC113" s="60"/>
      <c r="BD113" s="62"/>
    </row>
    <row r="114" spans="5:56" ht="14.4" customHeight="1" x14ac:dyDescent="0.35">
      <c r="E114" s="1"/>
      <c r="X114" s="31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O114"/>
      <c r="AP114"/>
      <c r="AQ114"/>
      <c r="AR114"/>
      <c r="AS114"/>
      <c r="AW114" s="50"/>
      <c r="BB114" s="1"/>
      <c r="BC114" s="60"/>
      <c r="BD114" s="62"/>
    </row>
    <row r="115" spans="5:56" ht="14.4" customHeight="1" x14ac:dyDescent="0.35">
      <c r="E115" s="1"/>
      <c r="X115" s="31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O115"/>
      <c r="AP115"/>
      <c r="AQ115"/>
      <c r="AR115"/>
      <c r="AS115"/>
      <c r="AW115" s="50"/>
      <c r="BB115" s="1"/>
      <c r="BC115" s="60"/>
      <c r="BD115" s="62"/>
    </row>
    <row r="116" spans="5:56" ht="14.4" customHeight="1" x14ac:dyDescent="0.35">
      <c r="E116" s="1"/>
      <c r="X116" s="31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O116"/>
      <c r="AP116"/>
      <c r="AQ116"/>
      <c r="AR116"/>
      <c r="AS116"/>
      <c r="AW116" s="50"/>
      <c r="BB116" s="1"/>
      <c r="BC116" s="60"/>
      <c r="BD116" s="62"/>
    </row>
    <row r="117" spans="5:56" ht="14.4" customHeight="1" x14ac:dyDescent="0.35">
      <c r="E117" s="1"/>
      <c r="X117" s="31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O117"/>
      <c r="AP117"/>
      <c r="AQ117"/>
      <c r="AR117"/>
      <c r="AS117"/>
      <c r="AW117" s="50"/>
      <c r="BB117" s="1"/>
      <c r="BC117" s="60"/>
      <c r="BD117" s="62"/>
    </row>
    <row r="118" spans="5:56" ht="14.4" customHeight="1" x14ac:dyDescent="0.35">
      <c r="E118" s="1"/>
      <c r="X118" s="31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O118"/>
      <c r="AP118"/>
      <c r="AQ118"/>
      <c r="AR118"/>
      <c r="AS118"/>
      <c r="AW118" s="50"/>
      <c r="BB118" s="1"/>
      <c r="BC118" s="60"/>
      <c r="BD118" s="62"/>
    </row>
    <row r="119" spans="5:56" ht="14.4" customHeight="1" x14ac:dyDescent="0.35">
      <c r="E119" s="1"/>
      <c r="X119" s="31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O119"/>
      <c r="AP119"/>
      <c r="AQ119"/>
      <c r="AR119"/>
      <c r="AS119"/>
      <c r="AW119" s="50"/>
      <c r="BB119" s="1"/>
      <c r="BC119" s="60"/>
      <c r="BD119" s="62"/>
    </row>
    <row r="120" spans="5:56" ht="14.4" customHeight="1" x14ac:dyDescent="0.35">
      <c r="E120" s="1"/>
      <c r="X120" s="31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O120"/>
      <c r="AP120"/>
      <c r="AQ120"/>
      <c r="AR120"/>
      <c r="AS120"/>
      <c r="AW120" s="50"/>
      <c r="BB120" s="1"/>
      <c r="BC120" s="60"/>
      <c r="BD120" s="62"/>
    </row>
    <row r="121" spans="5:56" ht="14.4" customHeight="1" x14ac:dyDescent="0.35">
      <c r="E121" s="1"/>
      <c r="X121" s="3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O121"/>
      <c r="AP121"/>
      <c r="AQ121"/>
      <c r="AR121"/>
      <c r="AS121"/>
      <c r="AW121" s="50"/>
      <c r="BB121" s="1"/>
      <c r="BC121" s="60"/>
      <c r="BD121" s="62"/>
    </row>
    <row r="122" spans="5:56" ht="14.4" customHeight="1" x14ac:dyDescent="0.35">
      <c r="E122" s="1"/>
      <c r="X122" s="31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O122"/>
      <c r="AP122"/>
      <c r="AQ122"/>
      <c r="AR122"/>
      <c r="AS122"/>
      <c r="AW122" s="50"/>
      <c r="BB122" s="1"/>
      <c r="BC122" s="60"/>
      <c r="BD122" s="62"/>
    </row>
    <row r="123" spans="5:56" ht="14.4" customHeight="1" x14ac:dyDescent="0.35">
      <c r="E123" s="1"/>
      <c r="X123" s="31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O123"/>
      <c r="AP123"/>
      <c r="AQ123"/>
      <c r="AR123"/>
      <c r="AS123"/>
      <c r="AW123" s="50"/>
      <c r="BB123" s="1"/>
      <c r="BC123" s="60"/>
      <c r="BD123" s="62"/>
    </row>
    <row r="124" spans="5:56" ht="14.4" customHeight="1" x14ac:dyDescent="0.35">
      <c r="E124" s="1"/>
      <c r="X124" s="31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O124"/>
      <c r="AP124"/>
      <c r="AQ124"/>
      <c r="AR124"/>
      <c r="AS124"/>
      <c r="AW124" s="50"/>
      <c r="BB124" s="1"/>
      <c r="BC124" s="60"/>
      <c r="BD124" s="62"/>
    </row>
    <row r="125" spans="5:56" ht="14.4" customHeight="1" x14ac:dyDescent="0.35">
      <c r="E125" s="1"/>
      <c r="X125" s="31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O125"/>
      <c r="AP125"/>
      <c r="AQ125"/>
      <c r="AR125"/>
      <c r="AS125"/>
      <c r="AW125" s="50"/>
      <c r="BB125" s="1"/>
      <c r="BC125" s="60"/>
      <c r="BD125" s="62"/>
    </row>
    <row r="126" spans="5:56" ht="14.4" customHeight="1" x14ac:dyDescent="0.35">
      <c r="E126" s="1"/>
      <c r="X126" s="31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O126"/>
      <c r="AP126"/>
      <c r="AQ126"/>
      <c r="AR126"/>
      <c r="AS126"/>
      <c r="AW126" s="50"/>
      <c r="BB126" s="1"/>
      <c r="BC126" s="60"/>
      <c r="BD126" s="62"/>
    </row>
    <row r="127" spans="5:56" ht="14.4" customHeight="1" x14ac:dyDescent="0.35">
      <c r="E127" s="1"/>
      <c r="X127" s="31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O127"/>
      <c r="AP127"/>
      <c r="AQ127"/>
      <c r="AR127"/>
      <c r="AS127"/>
      <c r="AW127" s="50"/>
      <c r="BB127" s="1"/>
      <c r="BC127" s="60"/>
      <c r="BD127" s="62"/>
    </row>
    <row r="128" spans="5:56" ht="14.4" customHeight="1" x14ac:dyDescent="0.35">
      <c r="E128" s="1"/>
      <c r="X128" s="31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O128"/>
      <c r="AP128"/>
      <c r="AQ128"/>
      <c r="AR128"/>
      <c r="AS128"/>
      <c r="AW128" s="50"/>
      <c r="BB128" s="1"/>
      <c r="BC128" s="60"/>
      <c r="BD128" s="62"/>
    </row>
    <row r="129" spans="1:56" ht="14.4" customHeight="1" x14ac:dyDescent="0.35">
      <c r="E129" s="1"/>
      <c r="X129" s="31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O129"/>
      <c r="AP129"/>
      <c r="AQ129"/>
      <c r="AR129"/>
      <c r="AS129"/>
      <c r="AW129" s="50"/>
      <c r="BB129" s="1"/>
      <c r="BC129" s="60"/>
      <c r="BD129" s="62"/>
    </row>
    <row r="130" spans="1:56" ht="14.4" customHeight="1" x14ac:dyDescent="0.35">
      <c r="E130" s="1"/>
      <c r="X130" s="31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O130"/>
      <c r="AP130"/>
      <c r="AQ130"/>
      <c r="AR130"/>
      <c r="AS130"/>
      <c r="AW130" s="50"/>
      <c r="BB130" s="1"/>
      <c r="BC130" s="60"/>
      <c r="BD130" s="62"/>
    </row>
    <row r="131" spans="1:56" ht="14.4" customHeight="1" x14ac:dyDescent="0.35">
      <c r="E131" s="1"/>
      <c r="X131" s="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O131"/>
      <c r="AP131"/>
      <c r="AQ131"/>
      <c r="AR131"/>
      <c r="AS131"/>
      <c r="AW131" s="50"/>
      <c r="BB131" s="1"/>
      <c r="BC131" s="60"/>
      <c r="BD131" s="62"/>
    </row>
    <row r="132" spans="1:56" ht="14.4" customHeight="1" x14ac:dyDescent="0.35">
      <c r="E132" s="1"/>
      <c r="X132" s="31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O132"/>
      <c r="AP132"/>
      <c r="AQ132"/>
      <c r="AR132"/>
      <c r="AS132"/>
      <c r="AW132" s="50"/>
      <c r="BB132" s="1"/>
      <c r="BC132" s="60"/>
      <c r="BD132" s="62"/>
    </row>
    <row r="133" spans="1:56" ht="14.4" customHeight="1" x14ac:dyDescent="0.35">
      <c r="E133" s="1"/>
      <c r="X133" s="31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O133"/>
      <c r="AP133"/>
      <c r="AQ133"/>
      <c r="AR133"/>
      <c r="AS133"/>
      <c r="AW133" s="50"/>
      <c r="BB133" s="1"/>
      <c r="BC133" s="60"/>
      <c r="BD133" s="62"/>
    </row>
    <row r="134" spans="1:56" ht="14.4" customHeight="1" x14ac:dyDescent="0.35">
      <c r="A134" s="2"/>
      <c r="E134" s="1"/>
      <c r="X134" s="31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O134"/>
      <c r="AP134"/>
      <c r="AQ134"/>
      <c r="AR134"/>
      <c r="AS134"/>
      <c r="AW134" s="50"/>
      <c r="BB134" s="1"/>
      <c r="BC134" s="60"/>
      <c r="BD134" s="62"/>
    </row>
    <row r="135" spans="1:56" ht="14.4" customHeight="1" x14ac:dyDescent="0.35">
      <c r="E135" s="1"/>
      <c r="X135" s="31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O135"/>
      <c r="AP135"/>
      <c r="AQ135"/>
      <c r="AR135"/>
      <c r="AS135"/>
      <c r="AW135" s="50"/>
      <c r="BB135" s="1"/>
      <c r="BC135" s="60"/>
      <c r="BD135" s="62"/>
    </row>
    <row r="136" spans="1:56" ht="14.4" customHeight="1" x14ac:dyDescent="0.35">
      <c r="E136" s="1"/>
      <c r="X136" s="31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O136"/>
      <c r="AP136"/>
      <c r="AQ136"/>
      <c r="AR136"/>
      <c r="AS136"/>
      <c r="AW136" s="50"/>
      <c r="BB136" s="1"/>
      <c r="BC136" s="60"/>
      <c r="BD136" s="62"/>
    </row>
    <row r="137" spans="1:56" ht="14.4" customHeight="1" x14ac:dyDescent="0.35">
      <c r="E137" s="1"/>
      <c r="X137" s="31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O137"/>
      <c r="AP137"/>
      <c r="AQ137"/>
      <c r="AR137"/>
      <c r="AS137"/>
      <c r="AW137" s="50"/>
      <c r="BB137" s="1"/>
      <c r="BC137" s="60"/>
      <c r="BD137" s="62"/>
    </row>
    <row r="138" spans="1:56" ht="14.4" customHeight="1" x14ac:dyDescent="0.35">
      <c r="A138" s="2"/>
      <c r="E138" s="1"/>
      <c r="X138" s="31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O138"/>
      <c r="AP138"/>
      <c r="AQ138"/>
      <c r="AR138"/>
      <c r="AS138"/>
      <c r="AW138" s="50"/>
      <c r="BB138" s="1"/>
      <c r="BC138" s="60"/>
      <c r="BD138" s="62"/>
    </row>
    <row r="139" spans="1:56" ht="14.4" customHeight="1" x14ac:dyDescent="0.35">
      <c r="E139" s="1"/>
      <c r="X139" s="31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O139"/>
      <c r="AP139"/>
      <c r="AQ139"/>
      <c r="AR139"/>
      <c r="AS139"/>
      <c r="AW139" s="50"/>
      <c r="BB139" s="1"/>
      <c r="BC139" s="60"/>
      <c r="BD139" s="62"/>
    </row>
    <row r="140" spans="1:56" ht="14.4" customHeight="1" x14ac:dyDescent="0.35">
      <c r="E140" s="1"/>
      <c r="X140" s="31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O140"/>
      <c r="AP140"/>
      <c r="AQ140"/>
      <c r="AR140"/>
      <c r="AS140"/>
      <c r="AW140" s="50"/>
      <c r="BB140" s="1"/>
      <c r="BC140" s="60"/>
      <c r="BD140" s="62"/>
    </row>
    <row r="141" spans="1:56" ht="14.4" customHeight="1" x14ac:dyDescent="0.35">
      <c r="E141" s="1"/>
      <c r="X141" s="3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O141"/>
      <c r="AP141"/>
      <c r="AQ141"/>
      <c r="AR141"/>
      <c r="AS141"/>
      <c r="AW141" s="50"/>
      <c r="BB141" s="1"/>
      <c r="BC141" s="60"/>
      <c r="BD141" s="62"/>
    </row>
    <row r="142" spans="1:56" ht="14.4" customHeight="1" x14ac:dyDescent="0.35">
      <c r="E142" s="1"/>
      <c r="X142" s="31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O142"/>
      <c r="AP142"/>
      <c r="AQ142"/>
      <c r="AR142"/>
      <c r="AS142"/>
      <c r="AW142" s="50"/>
      <c r="BB142" s="1"/>
      <c r="BC142" s="60"/>
      <c r="BD142" s="62"/>
    </row>
    <row r="143" spans="1:56" ht="14.4" customHeight="1" x14ac:dyDescent="0.35">
      <c r="E143" s="1"/>
      <c r="X143" s="31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O143"/>
      <c r="AP143"/>
      <c r="AQ143"/>
      <c r="AR143"/>
      <c r="AS143"/>
      <c r="AW143" s="50"/>
      <c r="BB143" s="1"/>
      <c r="BC143" s="60"/>
      <c r="BD143" s="62"/>
    </row>
    <row r="144" spans="1:56" ht="14.4" customHeight="1" x14ac:dyDescent="0.35">
      <c r="E144" s="1"/>
      <c r="X144" s="31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O144"/>
      <c r="AP144"/>
      <c r="AQ144"/>
      <c r="AR144"/>
      <c r="AS144"/>
      <c r="AW144" s="50"/>
      <c r="BB144" s="1"/>
      <c r="BC144" s="60"/>
      <c r="BD144" s="62"/>
    </row>
    <row r="145" spans="1:56" ht="14.4" customHeight="1" x14ac:dyDescent="0.35">
      <c r="A145" s="2"/>
      <c r="E145" s="1"/>
      <c r="X145" s="31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O145"/>
      <c r="AP145"/>
      <c r="AQ145"/>
      <c r="AR145"/>
      <c r="AS145"/>
      <c r="AW145" s="50"/>
      <c r="BB145" s="1"/>
      <c r="BC145" s="60"/>
      <c r="BD145" s="62"/>
    </row>
    <row r="146" spans="1:56" ht="14.4" customHeight="1" x14ac:dyDescent="0.35">
      <c r="E146" s="1"/>
      <c r="X146" s="31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O146"/>
      <c r="AP146"/>
      <c r="AQ146"/>
      <c r="AR146"/>
      <c r="AS146"/>
      <c r="AW146" s="50"/>
      <c r="BB146" s="1"/>
      <c r="BC146" s="60"/>
      <c r="BD146" s="62"/>
    </row>
    <row r="147" spans="1:56" ht="14.4" customHeight="1" x14ac:dyDescent="0.35">
      <c r="E147" s="1"/>
      <c r="X147" s="31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O147"/>
      <c r="AP147"/>
      <c r="AQ147"/>
      <c r="AR147"/>
      <c r="AS147"/>
      <c r="AW147" s="50"/>
      <c r="BB147" s="1"/>
      <c r="BC147" s="60"/>
      <c r="BD147" s="62"/>
    </row>
    <row r="148" spans="1:56" ht="14.4" customHeight="1" x14ac:dyDescent="0.35">
      <c r="E148" s="1"/>
      <c r="X148" s="31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O148"/>
      <c r="AP148"/>
      <c r="AQ148"/>
      <c r="AR148"/>
      <c r="AS148"/>
      <c r="AW148" s="50"/>
      <c r="BB148" s="1"/>
      <c r="BC148" s="60"/>
      <c r="BD148" s="62"/>
    </row>
    <row r="149" spans="1:56" ht="14.4" customHeight="1" x14ac:dyDescent="0.35">
      <c r="E149" s="1"/>
      <c r="X149" s="31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O149"/>
      <c r="AP149"/>
      <c r="AQ149"/>
      <c r="AR149"/>
      <c r="AS149"/>
      <c r="AW149" s="50"/>
      <c r="BB149" s="1"/>
      <c r="BC149" s="60"/>
      <c r="BD149" s="62"/>
    </row>
    <row r="150" spans="1:56" ht="14.4" customHeight="1" x14ac:dyDescent="0.35">
      <c r="E150" s="1"/>
      <c r="X150" s="31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O150"/>
      <c r="AP150"/>
      <c r="AQ150"/>
      <c r="AR150"/>
      <c r="AS150"/>
      <c r="AW150" s="50"/>
      <c r="BB150" s="1"/>
      <c r="BC150" s="60"/>
      <c r="BD150" s="62"/>
    </row>
    <row r="151" spans="1:56" ht="14.4" customHeight="1" x14ac:dyDescent="0.35">
      <c r="E151" s="1"/>
      <c r="X151" s="3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O151"/>
      <c r="AP151"/>
      <c r="AQ151"/>
      <c r="AR151"/>
      <c r="AS151"/>
      <c r="AW151" s="50"/>
      <c r="BB151" s="1"/>
      <c r="BC151" s="60"/>
      <c r="BD151" s="62"/>
    </row>
    <row r="152" spans="1:56" ht="14.4" customHeight="1" x14ac:dyDescent="0.35">
      <c r="E152" s="1"/>
      <c r="X152" s="31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O152"/>
      <c r="AP152"/>
      <c r="AQ152"/>
      <c r="AR152"/>
      <c r="AS152"/>
      <c r="AW152" s="50"/>
      <c r="BB152" s="1"/>
      <c r="BC152" s="60"/>
      <c r="BD152" s="62"/>
    </row>
    <row r="153" spans="1:56" ht="14.4" customHeight="1" x14ac:dyDescent="0.35">
      <c r="E153" s="1"/>
      <c r="X153" s="31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O153"/>
      <c r="AP153"/>
      <c r="AQ153"/>
      <c r="AR153"/>
      <c r="AS153"/>
      <c r="AW153" s="50"/>
      <c r="BB153" s="1"/>
      <c r="BC153" s="60"/>
      <c r="BD153" s="62"/>
    </row>
    <row r="154" spans="1:56" ht="14.4" customHeight="1" x14ac:dyDescent="0.35">
      <c r="E154" s="1"/>
      <c r="X154" s="31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O154"/>
      <c r="AP154"/>
      <c r="AQ154"/>
      <c r="AR154"/>
      <c r="AS154"/>
      <c r="AW154" s="50"/>
      <c r="BB154" s="1"/>
      <c r="BC154" s="60"/>
      <c r="BD154" s="62"/>
    </row>
    <row r="155" spans="1:56" ht="14.4" customHeight="1" x14ac:dyDescent="0.35">
      <c r="E155" s="1"/>
      <c r="X155" s="31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O155"/>
      <c r="AP155"/>
      <c r="AQ155"/>
      <c r="AR155"/>
      <c r="AS155"/>
      <c r="AW155" s="50"/>
      <c r="BB155" s="1"/>
      <c r="BC155" s="60"/>
      <c r="BD155" s="62"/>
    </row>
    <row r="156" spans="1:56" x14ac:dyDescent="0.35">
      <c r="E156" s="1"/>
      <c r="X156" s="31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O156"/>
      <c r="AP156"/>
      <c r="AQ156"/>
      <c r="AR156"/>
      <c r="AS156"/>
      <c r="AW156" s="50"/>
      <c r="BB156" s="1"/>
      <c r="BC156" s="60"/>
      <c r="BD156" s="62"/>
    </row>
    <row r="157" spans="1:56" ht="14.4" customHeight="1" x14ac:dyDescent="0.35">
      <c r="E157" s="1"/>
      <c r="X157" s="31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O157"/>
      <c r="AP157"/>
      <c r="AQ157"/>
      <c r="AR157"/>
      <c r="AS157"/>
      <c r="AW157" s="50"/>
      <c r="BB157" s="1"/>
      <c r="BC157" s="60"/>
      <c r="BD157" s="62"/>
    </row>
    <row r="158" spans="1:56" ht="14.4" customHeight="1" x14ac:dyDescent="0.35">
      <c r="E158" s="1"/>
      <c r="X158" s="31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O158"/>
      <c r="AP158"/>
      <c r="AQ158"/>
      <c r="AR158"/>
      <c r="AS158"/>
      <c r="AW158" s="50"/>
      <c r="BB158" s="1"/>
      <c r="BC158" s="60"/>
      <c r="BD158" s="62"/>
    </row>
    <row r="159" spans="1:56" ht="14.4" customHeight="1" x14ac:dyDescent="0.35">
      <c r="E159" s="1"/>
      <c r="X159" s="31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O159"/>
      <c r="AP159"/>
      <c r="AQ159"/>
      <c r="AR159"/>
      <c r="AS159"/>
      <c r="AW159" s="50"/>
      <c r="BB159" s="1"/>
      <c r="BC159" s="60"/>
      <c r="BD159" s="62"/>
    </row>
    <row r="160" spans="1:56" ht="14.4" customHeight="1" x14ac:dyDescent="0.35">
      <c r="E160" s="1"/>
      <c r="X160" s="31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O160"/>
      <c r="AP160"/>
      <c r="AQ160"/>
      <c r="AR160"/>
      <c r="AS160"/>
      <c r="AW160" s="50"/>
      <c r="BB160" s="1"/>
      <c r="BC160" s="60"/>
      <c r="BD160" s="62"/>
    </row>
    <row r="161" spans="5:56" ht="14.4" customHeight="1" x14ac:dyDescent="0.35">
      <c r="E161" s="1"/>
      <c r="X161" s="3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O161"/>
      <c r="AP161"/>
      <c r="AQ161"/>
      <c r="AR161"/>
      <c r="AS161"/>
      <c r="AW161" s="50"/>
      <c r="BB161" s="1"/>
      <c r="BC161" s="60"/>
      <c r="BD161" s="62"/>
    </row>
    <row r="162" spans="5:56" ht="14.4" customHeight="1" x14ac:dyDescent="0.35">
      <c r="E162" s="1"/>
      <c r="X162" s="31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O162"/>
      <c r="AP162"/>
      <c r="AQ162"/>
      <c r="AR162"/>
      <c r="AS162"/>
      <c r="AW162" s="50"/>
      <c r="BB162" s="1"/>
      <c r="BC162" s="60"/>
      <c r="BD162" s="62"/>
    </row>
    <row r="163" spans="5:56" ht="14.4" customHeight="1" x14ac:dyDescent="0.35">
      <c r="E163" s="1"/>
      <c r="X163" s="31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O163"/>
      <c r="AP163"/>
      <c r="AQ163"/>
      <c r="AR163"/>
      <c r="AS163"/>
      <c r="AW163" s="50"/>
      <c r="BB163" s="1"/>
      <c r="BC163" s="60"/>
      <c r="BD163" s="62"/>
    </row>
    <row r="164" spans="5:56" ht="14.4" customHeight="1" x14ac:dyDescent="0.35">
      <c r="E164" s="1"/>
      <c r="X164" s="31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O164"/>
      <c r="AP164"/>
      <c r="AQ164"/>
      <c r="AR164"/>
      <c r="AS164"/>
      <c r="AW164" s="50"/>
      <c r="BB164" s="1"/>
      <c r="BC164" s="60"/>
      <c r="BD164" s="62"/>
    </row>
    <row r="165" spans="5:56" ht="14.4" customHeight="1" x14ac:dyDescent="0.35">
      <c r="E165" s="1"/>
      <c r="X165" s="31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O165"/>
      <c r="AP165"/>
      <c r="AQ165"/>
      <c r="AR165"/>
      <c r="AS165"/>
      <c r="AW165" s="50"/>
      <c r="BB165" s="1"/>
      <c r="BC165" s="60"/>
      <c r="BD165" s="62"/>
    </row>
    <row r="166" spans="5:56" ht="14.4" customHeight="1" x14ac:dyDescent="0.35">
      <c r="E166" s="1"/>
      <c r="X166" s="31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O166"/>
      <c r="AP166"/>
      <c r="AQ166"/>
      <c r="AR166"/>
      <c r="AS166"/>
      <c r="AW166" s="50"/>
      <c r="BB166" s="1"/>
      <c r="BC166" s="60"/>
      <c r="BD166" s="62"/>
    </row>
    <row r="167" spans="5:56" ht="14.4" customHeight="1" x14ac:dyDescent="0.35">
      <c r="E167" s="1"/>
      <c r="X167" s="31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O167"/>
      <c r="AP167"/>
      <c r="AQ167"/>
      <c r="AR167"/>
      <c r="AS167"/>
      <c r="AW167" s="50"/>
      <c r="BB167" s="1"/>
      <c r="BC167" s="60"/>
      <c r="BD167" s="62"/>
    </row>
    <row r="168" spans="5:56" ht="14.4" customHeight="1" x14ac:dyDescent="0.35">
      <c r="E168" s="1"/>
      <c r="X168" s="31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O168"/>
      <c r="AP168"/>
      <c r="AQ168"/>
      <c r="AR168"/>
      <c r="AS168"/>
      <c r="AW168" s="50"/>
      <c r="BB168" s="1"/>
      <c r="BC168" s="60"/>
      <c r="BD168" s="62"/>
    </row>
    <row r="169" spans="5:56" x14ac:dyDescent="0.35">
      <c r="E169" s="1"/>
      <c r="X169" s="31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O169"/>
      <c r="AP169"/>
      <c r="AQ169"/>
      <c r="AR169"/>
      <c r="AS169"/>
      <c r="AW169" s="50"/>
      <c r="BB169" s="1"/>
      <c r="BC169" s="60"/>
      <c r="BD169" s="62"/>
    </row>
    <row r="170" spans="5:56" ht="14.4" customHeight="1" x14ac:dyDescent="0.35">
      <c r="E170" s="1"/>
      <c r="X170" s="31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O170"/>
      <c r="AP170"/>
      <c r="AQ170"/>
      <c r="AR170"/>
      <c r="AS170"/>
      <c r="AW170" s="50"/>
      <c r="BB170" s="1"/>
      <c r="BC170" s="60"/>
      <c r="BD170" s="62"/>
    </row>
    <row r="171" spans="5:56" ht="14.4" customHeight="1" x14ac:dyDescent="0.35">
      <c r="E171" s="1"/>
      <c r="X171" s="3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O171"/>
      <c r="AP171"/>
      <c r="AQ171"/>
      <c r="AR171"/>
      <c r="AS171"/>
      <c r="AW171" s="50"/>
      <c r="BB171" s="1"/>
      <c r="BC171" s="60"/>
      <c r="BD171" s="62"/>
    </row>
    <row r="172" spans="5:56" ht="14.4" customHeight="1" x14ac:dyDescent="0.35">
      <c r="E172" s="1"/>
      <c r="X172" s="31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O172"/>
      <c r="AP172"/>
      <c r="AQ172"/>
      <c r="AR172"/>
      <c r="AS172"/>
      <c r="AW172" s="50"/>
      <c r="BB172" s="1"/>
      <c r="BC172" s="60"/>
      <c r="BD172" s="62"/>
    </row>
    <row r="173" spans="5:56" ht="14.4" customHeight="1" x14ac:dyDescent="0.35">
      <c r="E173" s="1"/>
      <c r="X173" s="31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O173"/>
      <c r="AP173"/>
      <c r="AQ173"/>
      <c r="AR173"/>
      <c r="AS173"/>
      <c r="AW173" s="50"/>
      <c r="BB173" s="1"/>
      <c r="BC173" s="60"/>
      <c r="BD173" s="62"/>
    </row>
    <row r="174" spans="5:56" ht="14.4" customHeight="1" x14ac:dyDescent="0.35">
      <c r="E174" s="1"/>
      <c r="X174" s="31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O174"/>
      <c r="AP174"/>
      <c r="AQ174"/>
      <c r="AR174"/>
      <c r="AS174"/>
      <c r="AW174" s="50"/>
      <c r="BB174" s="1"/>
      <c r="BC174" s="60"/>
      <c r="BD174" s="62"/>
    </row>
    <row r="175" spans="5:56" ht="14.4" customHeight="1" x14ac:dyDescent="0.35">
      <c r="E175" s="1"/>
      <c r="X175" s="31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O175"/>
      <c r="AP175"/>
      <c r="AQ175"/>
      <c r="AR175"/>
      <c r="AS175"/>
      <c r="AW175" s="50"/>
      <c r="BB175" s="1"/>
      <c r="BC175" s="60"/>
      <c r="BD175" s="62"/>
    </row>
    <row r="176" spans="5:56" ht="14.4" customHeight="1" x14ac:dyDescent="0.35">
      <c r="E176" s="1"/>
      <c r="X176" s="31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O176"/>
      <c r="AP176"/>
      <c r="AQ176"/>
      <c r="AR176"/>
      <c r="AS176"/>
      <c r="AW176" s="50"/>
      <c r="BB176" s="1"/>
      <c r="BC176" s="60"/>
      <c r="BD176" s="62"/>
    </row>
    <row r="177" spans="5:56" ht="14.4" customHeight="1" x14ac:dyDescent="0.35">
      <c r="E177" s="1"/>
      <c r="X177" s="31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O177"/>
      <c r="AP177"/>
      <c r="AQ177"/>
      <c r="AR177"/>
      <c r="AS177"/>
      <c r="AW177" s="50"/>
      <c r="BB177" s="1"/>
      <c r="BC177" s="60"/>
      <c r="BD177" s="62"/>
    </row>
    <row r="178" spans="5:56" ht="14.4" customHeight="1" x14ac:dyDescent="0.35">
      <c r="E178" s="1"/>
      <c r="X178" s="31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O178"/>
      <c r="AP178"/>
      <c r="AQ178"/>
      <c r="AR178"/>
      <c r="AS178"/>
      <c r="AW178" s="50"/>
      <c r="BB178" s="1"/>
      <c r="BC178" s="60"/>
      <c r="BD178" s="62"/>
    </row>
    <row r="179" spans="5:56" ht="14.4" customHeight="1" x14ac:dyDescent="0.35">
      <c r="E179" s="1"/>
      <c r="X179" s="31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O179"/>
      <c r="AP179"/>
      <c r="AQ179"/>
      <c r="AR179"/>
      <c r="AS179"/>
      <c r="AW179" s="50"/>
      <c r="BB179" s="1"/>
      <c r="BC179" s="60"/>
      <c r="BD179" s="62"/>
    </row>
    <row r="180" spans="5:56" ht="14.4" customHeight="1" x14ac:dyDescent="0.35">
      <c r="E180" s="1"/>
      <c r="X180" s="31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O180"/>
      <c r="AP180"/>
      <c r="AQ180"/>
      <c r="AR180"/>
      <c r="AS180"/>
      <c r="AW180" s="50"/>
      <c r="BB180" s="1"/>
      <c r="BC180" s="60"/>
      <c r="BD180" s="62"/>
    </row>
    <row r="181" spans="5:56" ht="14.4" customHeight="1" x14ac:dyDescent="0.35">
      <c r="E181" s="1"/>
      <c r="X181" s="3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O181"/>
      <c r="AP181"/>
      <c r="AQ181"/>
      <c r="AR181"/>
      <c r="AS181"/>
      <c r="AW181" s="50"/>
      <c r="BB181" s="1"/>
      <c r="BC181" s="60"/>
      <c r="BD181" s="62"/>
    </row>
    <row r="182" spans="5:56" ht="14.4" customHeight="1" x14ac:dyDescent="0.35">
      <c r="E182" s="1"/>
      <c r="X182" s="31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O182"/>
      <c r="AP182"/>
      <c r="AQ182"/>
      <c r="AR182"/>
      <c r="AS182"/>
      <c r="AW182" s="50"/>
      <c r="BB182" s="1"/>
      <c r="BC182" s="60"/>
      <c r="BD182" s="62"/>
    </row>
    <row r="183" spans="5:56" ht="14.4" customHeight="1" x14ac:dyDescent="0.35">
      <c r="E183" s="1"/>
      <c r="X183" s="31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O183"/>
      <c r="AP183"/>
      <c r="AQ183"/>
      <c r="AR183"/>
      <c r="AS183"/>
      <c r="AW183" s="50"/>
      <c r="BB183" s="1"/>
      <c r="BC183" s="60"/>
      <c r="BD183" s="62"/>
    </row>
    <row r="184" spans="5:56" ht="14.4" customHeight="1" x14ac:dyDescent="0.35">
      <c r="E184" s="1"/>
      <c r="X184" s="31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O184"/>
      <c r="AP184"/>
      <c r="AQ184"/>
      <c r="AR184"/>
      <c r="AS184"/>
      <c r="AW184" s="50"/>
      <c r="BB184" s="1"/>
      <c r="BC184" s="60"/>
      <c r="BD184" s="62"/>
    </row>
    <row r="185" spans="5:56" ht="14.4" customHeight="1" x14ac:dyDescent="0.35">
      <c r="E185" s="1"/>
      <c r="X185" s="31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O185"/>
      <c r="AP185"/>
      <c r="AQ185"/>
      <c r="AR185"/>
      <c r="AS185"/>
      <c r="AW185" s="50"/>
      <c r="BB185" s="1"/>
      <c r="BC185" s="60"/>
      <c r="BD185" s="62"/>
    </row>
    <row r="186" spans="5:56" ht="14.4" customHeight="1" x14ac:dyDescent="0.35">
      <c r="E186" s="1"/>
      <c r="X186" s="31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O186"/>
      <c r="AP186"/>
      <c r="AQ186"/>
      <c r="AR186"/>
      <c r="AS186"/>
      <c r="AW186" s="50"/>
      <c r="BB186" s="1"/>
      <c r="BC186" s="60"/>
      <c r="BD186" s="62"/>
    </row>
    <row r="187" spans="5:56" ht="14.4" customHeight="1" x14ac:dyDescent="0.35">
      <c r="E187" s="1"/>
      <c r="X187" s="31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O187"/>
      <c r="AP187"/>
      <c r="AQ187"/>
      <c r="AR187"/>
      <c r="AS187"/>
      <c r="AW187" s="50"/>
      <c r="BB187" s="1"/>
      <c r="BC187" s="60"/>
      <c r="BD187" s="62"/>
    </row>
    <row r="188" spans="5:56" ht="14.4" customHeight="1" x14ac:dyDescent="0.35">
      <c r="E188" s="1"/>
      <c r="X188" s="31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O188"/>
      <c r="AP188"/>
      <c r="AQ188"/>
      <c r="AR188"/>
      <c r="AS188"/>
      <c r="AW188" s="50"/>
      <c r="BB188" s="1"/>
      <c r="BC188" s="60"/>
      <c r="BD188" s="62"/>
    </row>
    <row r="189" spans="5:56" x14ac:dyDescent="0.35">
      <c r="E189" s="1"/>
      <c r="X189" s="31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O189"/>
      <c r="AP189"/>
      <c r="AQ189"/>
      <c r="AR189"/>
      <c r="AS189"/>
      <c r="AW189" s="50"/>
      <c r="BB189" s="1"/>
      <c r="BC189" s="60"/>
      <c r="BD189" s="62"/>
    </row>
    <row r="190" spans="5:56" ht="14.4" customHeight="1" x14ac:dyDescent="0.35">
      <c r="E190" s="1"/>
      <c r="X190" s="31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O190"/>
      <c r="AP190"/>
      <c r="AQ190"/>
      <c r="AR190"/>
      <c r="AS190"/>
      <c r="AW190" s="50"/>
      <c r="BB190" s="1"/>
      <c r="BC190" s="60"/>
      <c r="BD190" s="62"/>
    </row>
    <row r="191" spans="5:56" ht="14.4" customHeight="1" x14ac:dyDescent="0.35">
      <c r="E191" s="1"/>
      <c r="X191" s="3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O191"/>
      <c r="AP191"/>
      <c r="AQ191"/>
      <c r="AR191"/>
      <c r="AS191"/>
      <c r="AW191" s="50"/>
      <c r="BB191" s="1"/>
      <c r="BC191" s="60"/>
      <c r="BD191" s="62"/>
    </row>
    <row r="192" spans="5:56" ht="14.4" customHeight="1" x14ac:dyDescent="0.35">
      <c r="E192" s="1"/>
      <c r="X192" s="31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O192"/>
      <c r="AP192"/>
      <c r="AQ192"/>
      <c r="AR192"/>
      <c r="AS192"/>
      <c r="AW192" s="50"/>
      <c r="BB192" s="1"/>
      <c r="BC192" s="60"/>
      <c r="BD192" s="62"/>
    </row>
    <row r="193" spans="1:56" ht="14.4" customHeight="1" x14ac:dyDescent="0.35">
      <c r="E193" s="1"/>
      <c r="X193" s="31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O193"/>
      <c r="AP193"/>
      <c r="AQ193"/>
      <c r="AR193"/>
      <c r="AS193"/>
      <c r="AW193" s="50"/>
      <c r="BB193" s="1"/>
      <c r="BC193" s="60"/>
      <c r="BD193" s="62"/>
    </row>
    <row r="194" spans="1:56" ht="14.4" customHeight="1" x14ac:dyDescent="0.35">
      <c r="E194" s="1"/>
      <c r="X194" s="31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O194"/>
      <c r="AP194"/>
      <c r="AQ194"/>
      <c r="AR194"/>
      <c r="AS194"/>
      <c r="AW194" s="50"/>
      <c r="BB194" s="1"/>
      <c r="BC194" s="60"/>
      <c r="BD194" s="62"/>
    </row>
    <row r="195" spans="1:56" ht="14.4" customHeight="1" x14ac:dyDescent="0.35">
      <c r="E195" s="1"/>
      <c r="X195" s="31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O195"/>
      <c r="AP195"/>
      <c r="AQ195"/>
      <c r="AR195"/>
      <c r="AS195"/>
      <c r="AW195" s="50"/>
      <c r="BB195" s="1"/>
      <c r="BC195" s="60"/>
      <c r="BD195" s="62"/>
    </row>
    <row r="196" spans="1:56" ht="14.4" customHeight="1" x14ac:dyDescent="0.35">
      <c r="E196" s="1"/>
      <c r="X196" s="31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O196"/>
      <c r="AP196"/>
      <c r="AQ196"/>
      <c r="AR196"/>
      <c r="AS196"/>
      <c r="AW196" s="50"/>
      <c r="BB196" s="1"/>
      <c r="BC196" s="60"/>
      <c r="BD196" s="62"/>
    </row>
    <row r="197" spans="1:56" ht="14.4" customHeight="1" x14ac:dyDescent="0.35">
      <c r="A197" s="2"/>
      <c r="E197" s="1"/>
      <c r="S197" s="47"/>
      <c r="T197" s="47"/>
      <c r="U197" s="47"/>
      <c r="V197" s="47"/>
      <c r="W197" s="47"/>
      <c r="X197" s="31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O197"/>
      <c r="AP197"/>
      <c r="AQ197"/>
      <c r="AR197"/>
      <c r="AS197"/>
      <c r="AW197" s="50"/>
      <c r="BB197" s="1"/>
      <c r="BC197" s="60"/>
      <c r="BD197" s="62"/>
    </row>
    <row r="198" spans="1:56" ht="14.4" customHeight="1" x14ac:dyDescent="0.35">
      <c r="E198" s="1"/>
      <c r="X198" s="31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O198"/>
      <c r="AP198"/>
      <c r="AQ198"/>
      <c r="AR198"/>
      <c r="AS198"/>
      <c r="AW198" s="50"/>
      <c r="BB198" s="1"/>
      <c r="BC198" s="60"/>
      <c r="BD198" s="62"/>
    </row>
    <row r="199" spans="1:56" ht="14.4" customHeight="1" x14ac:dyDescent="0.35">
      <c r="E199" s="1"/>
      <c r="X199" s="31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O199"/>
      <c r="AP199"/>
      <c r="AQ199"/>
      <c r="AR199"/>
      <c r="AS199"/>
      <c r="AW199" s="50"/>
      <c r="BB199" s="1"/>
      <c r="BC199" s="60"/>
      <c r="BD199" s="62"/>
    </row>
    <row r="200" spans="1:56" ht="14.4" customHeight="1" x14ac:dyDescent="0.35">
      <c r="E200" s="1"/>
      <c r="X200" s="31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O200"/>
      <c r="AP200"/>
      <c r="AQ200"/>
      <c r="AR200"/>
      <c r="AS200"/>
      <c r="AW200" s="50"/>
      <c r="BB200" s="1"/>
      <c r="BC200" s="60"/>
      <c r="BD200" s="62"/>
    </row>
    <row r="201" spans="1:56" ht="14.4" customHeight="1" x14ac:dyDescent="0.35">
      <c r="E201" s="1"/>
      <c r="X201" s="3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O201"/>
      <c r="AP201"/>
      <c r="AQ201"/>
      <c r="AR201"/>
      <c r="AS201"/>
      <c r="AW201" s="50"/>
      <c r="BB201" s="1"/>
      <c r="BC201" s="60"/>
      <c r="BD201" s="62"/>
    </row>
    <row r="202" spans="1:56" ht="14.4" customHeight="1" x14ac:dyDescent="0.35">
      <c r="E202" s="1"/>
      <c r="X202" s="31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O202"/>
      <c r="AP202"/>
      <c r="AQ202"/>
      <c r="AR202"/>
      <c r="AS202"/>
      <c r="AW202" s="50"/>
      <c r="BB202" s="1"/>
      <c r="BC202" s="60"/>
      <c r="BD202" s="62"/>
    </row>
    <row r="203" spans="1:56" ht="14.4" customHeight="1" x14ac:dyDescent="0.35">
      <c r="E203" s="1"/>
      <c r="X203" s="31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O203"/>
      <c r="AP203"/>
      <c r="AQ203"/>
      <c r="AR203"/>
      <c r="AS203"/>
      <c r="AW203" s="50"/>
      <c r="BB203" s="1"/>
      <c r="BC203" s="60"/>
      <c r="BD203" s="62"/>
    </row>
    <row r="204" spans="1:56" ht="14.4" customHeight="1" x14ac:dyDescent="0.35">
      <c r="E204" s="1"/>
      <c r="X204" s="31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O204"/>
      <c r="AP204"/>
      <c r="AQ204"/>
      <c r="AR204"/>
      <c r="AS204"/>
      <c r="AW204" s="50"/>
      <c r="BB204" s="1"/>
      <c r="BC204" s="60"/>
      <c r="BD204" s="62"/>
    </row>
    <row r="205" spans="1:56" ht="14.4" customHeight="1" x14ac:dyDescent="0.35">
      <c r="E205" s="1"/>
      <c r="X205" s="31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O205"/>
      <c r="AP205"/>
      <c r="AQ205"/>
      <c r="AR205"/>
      <c r="AS205"/>
      <c r="AW205" s="50"/>
      <c r="BB205" s="1"/>
      <c r="BC205" s="60"/>
      <c r="BD205" s="62"/>
    </row>
    <row r="206" spans="1:56" ht="14.4" customHeight="1" x14ac:dyDescent="0.35">
      <c r="E206" s="1"/>
      <c r="X206" s="31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O206"/>
      <c r="AP206"/>
      <c r="AQ206"/>
      <c r="AR206"/>
      <c r="AS206"/>
      <c r="AW206" s="50"/>
      <c r="BB206" s="1"/>
      <c r="BC206" s="60"/>
      <c r="BD206" s="62"/>
    </row>
    <row r="207" spans="1:56" ht="14.4" customHeight="1" x14ac:dyDescent="0.35">
      <c r="E207" s="1"/>
      <c r="X207" s="31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O207"/>
      <c r="AP207"/>
      <c r="AQ207"/>
      <c r="AR207"/>
      <c r="AS207"/>
      <c r="AW207" s="50"/>
      <c r="BB207" s="1"/>
      <c r="BC207" s="60"/>
      <c r="BD207" s="62"/>
    </row>
    <row r="208" spans="1:56" ht="14.4" customHeight="1" x14ac:dyDescent="0.35">
      <c r="E208" s="1"/>
      <c r="X208" s="31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O208"/>
      <c r="AP208"/>
      <c r="AQ208"/>
      <c r="AR208"/>
      <c r="AS208"/>
      <c r="AW208" s="50"/>
      <c r="BB208" s="1"/>
      <c r="BC208" s="60"/>
      <c r="BD208" s="62"/>
    </row>
    <row r="209" spans="1:56" ht="14.4" customHeight="1" x14ac:dyDescent="0.35">
      <c r="E209" s="1"/>
      <c r="X209" s="31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O209"/>
      <c r="AP209"/>
      <c r="AQ209"/>
      <c r="AR209"/>
      <c r="AS209"/>
      <c r="AW209" s="50"/>
      <c r="BB209" s="1"/>
      <c r="BC209" s="60"/>
      <c r="BD209" s="62"/>
    </row>
    <row r="210" spans="1:56" ht="14.4" customHeight="1" x14ac:dyDescent="0.35">
      <c r="E210" s="1"/>
      <c r="X210" s="31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O210"/>
      <c r="AP210"/>
      <c r="AQ210"/>
      <c r="AR210"/>
      <c r="AS210"/>
      <c r="AW210" s="50"/>
      <c r="BB210" s="1"/>
      <c r="BC210" s="60"/>
      <c r="BD210" s="62"/>
    </row>
    <row r="211" spans="1:56" ht="14.4" customHeight="1" x14ac:dyDescent="0.35">
      <c r="E211" s="1"/>
      <c r="X211" s="3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O211"/>
      <c r="AP211"/>
      <c r="AQ211"/>
      <c r="AR211"/>
      <c r="AS211"/>
      <c r="AW211" s="50"/>
      <c r="BB211" s="1"/>
      <c r="BC211" s="60"/>
      <c r="BD211" s="62"/>
    </row>
    <row r="212" spans="1:56" ht="14.4" customHeight="1" x14ac:dyDescent="0.35">
      <c r="E212" s="1"/>
      <c r="X212" s="31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O212"/>
      <c r="AP212"/>
      <c r="AQ212"/>
      <c r="AR212"/>
      <c r="AS212"/>
      <c r="AW212" s="50"/>
      <c r="BB212" s="1"/>
      <c r="BC212" s="60"/>
      <c r="BD212" s="62"/>
    </row>
    <row r="213" spans="1:56" ht="14.4" customHeight="1" x14ac:dyDescent="0.35">
      <c r="E213" s="1"/>
      <c r="X213" s="31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O213"/>
      <c r="AP213"/>
      <c r="AQ213"/>
      <c r="AR213"/>
      <c r="AS213"/>
      <c r="AW213" s="50"/>
      <c r="BB213" s="1"/>
      <c r="BC213" s="60"/>
      <c r="BD213" s="62"/>
    </row>
    <row r="214" spans="1:56" s="5" customFormat="1" ht="14.4" customHeight="1" x14ac:dyDescent="0.35">
      <c r="A214"/>
      <c r="B214"/>
      <c r="C214"/>
      <c r="D214"/>
      <c r="E214" s="1"/>
      <c r="F214" s="1"/>
      <c r="G214"/>
      <c r="H214"/>
      <c r="I214"/>
      <c r="J214"/>
      <c r="K214"/>
      <c r="L214"/>
      <c r="M214"/>
      <c r="N214"/>
      <c r="O214"/>
      <c r="P214"/>
      <c r="Q214"/>
      <c r="R214"/>
      <c r="X214" s="31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S214"/>
      <c r="AT214"/>
      <c r="AV214"/>
      <c r="AW214" s="63"/>
      <c r="AZ214" s="18"/>
      <c r="BB214" s="1"/>
      <c r="BC214" s="60"/>
      <c r="BD214" s="62"/>
    </row>
    <row r="215" spans="1:56" ht="14.4" customHeight="1" x14ac:dyDescent="0.35">
      <c r="E215" s="1"/>
      <c r="X215" s="31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O215"/>
      <c r="AP215"/>
      <c r="AQ215"/>
      <c r="AR215"/>
      <c r="AS215"/>
      <c r="AW215" s="50"/>
      <c r="BB215" s="1"/>
      <c r="BC215" s="60"/>
      <c r="BD215" s="62"/>
    </row>
    <row r="216" spans="1:56" ht="14.4" customHeight="1" x14ac:dyDescent="0.35">
      <c r="E216" s="1"/>
      <c r="X216" s="31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O216"/>
      <c r="AP216"/>
      <c r="AQ216"/>
      <c r="AR216"/>
      <c r="AS216"/>
      <c r="AW216" s="50"/>
      <c r="BB216" s="1"/>
      <c r="BC216" s="60"/>
      <c r="BD216" s="62"/>
    </row>
    <row r="217" spans="1:56" ht="14.4" customHeight="1" x14ac:dyDescent="0.35">
      <c r="E217" s="1"/>
      <c r="X217" s="31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O217"/>
      <c r="AP217"/>
      <c r="AQ217"/>
      <c r="AR217"/>
      <c r="AS217"/>
      <c r="AW217" s="50"/>
      <c r="BB217" s="1"/>
      <c r="BC217" s="60"/>
      <c r="BD217" s="62"/>
    </row>
    <row r="218" spans="1:56" ht="14.4" customHeight="1" x14ac:dyDescent="0.35">
      <c r="E218" s="1"/>
      <c r="X218" s="31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O218"/>
      <c r="AP218"/>
      <c r="AQ218"/>
      <c r="AR218"/>
      <c r="AS218"/>
      <c r="AW218" s="50"/>
      <c r="BB218" s="1"/>
      <c r="BC218" s="60"/>
      <c r="BD218" s="62"/>
    </row>
    <row r="219" spans="1:56" ht="14.4" customHeight="1" x14ac:dyDescent="0.35">
      <c r="E219" s="1"/>
      <c r="X219" s="31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O219"/>
      <c r="AP219"/>
      <c r="AQ219"/>
      <c r="AR219"/>
      <c r="AS219"/>
      <c r="AW219" s="50"/>
      <c r="BB219" s="1"/>
      <c r="BC219" s="60"/>
      <c r="BD219" s="62"/>
    </row>
    <row r="220" spans="1:56" ht="14.4" customHeight="1" x14ac:dyDescent="0.35">
      <c r="E220" s="1"/>
      <c r="X220" s="31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O220"/>
      <c r="AP220"/>
      <c r="AQ220"/>
      <c r="AR220"/>
      <c r="AS220"/>
      <c r="AW220" s="50"/>
      <c r="BB220" s="1"/>
      <c r="BC220" s="60"/>
      <c r="BD220" s="62"/>
    </row>
    <row r="221" spans="1:56" ht="14.4" customHeight="1" x14ac:dyDescent="0.35">
      <c r="E221" s="1"/>
      <c r="X221" s="3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O221"/>
      <c r="AP221"/>
      <c r="AQ221"/>
      <c r="AR221"/>
      <c r="AS221"/>
      <c r="AW221" s="50"/>
      <c r="BB221" s="1"/>
      <c r="BC221" s="60"/>
      <c r="BD221" s="62"/>
    </row>
    <row r="222" spans="1:56" ht="14.4" customHeight="1" x14ac:dyDescent="0.35">
      <c r="E222" s="1"/>
      <c r="X222" s="31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O222"/>
      <c r="AP222"/>
      <c r="AQ222"/>
      <c r="AR222"/>
      <c r="AS222"/>
      <c r="AW222" s="50"/>
      <c r="BB222" s="1"/>
      <c r="BC222" s="60"/>
      <c r="BD222" s="62"/>
    </row>
    <row r="223" spans="1:56" ht="14.4" customHeight="1" x14ac:dyDescent="0.35">
      <c r="E223" s="1"/>
      <c r="X223" s="31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O223"/>
      <c r="AP223"/>
      <c r="AQ223"/>
      <c r="AR223"/>
      <c r="AS223"/>
      <c r="AW223" s="50"/>
      <c r="BB223" s="1"/>
      <c r="BC223" s="60"/>
      <c r="BD223" s="62"/>
    </row>
    <row r="224" spans="1:56" ht="14.4" customHeight="1" x14ac:dyDescent="0.35">
      <c r="E224" s="1"/>
      <c r="X224" s="31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O224"/>
      <c r="AP224"/>
      <c r="AQ224"/>
      <c r="AR224"/>
      <c r="AS224"/>
      <c r="AW224" s="50"/>
      <c r="BB224" s="1"/>
      <c r="BC224" s="60"/>
      <c r="BD224" s="62"/>
    </row>
    <row r="225" spans="5:56" ht="14.4" customHeight="1" x14ac:dyDescent="0.35">
      <c r="E225" s="1"/>
      <c r="X225" s="31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O225"/>
      <c r="AP225"/>
      <c r="AQ225"/>
      <c r="AR225"/>
      <c r="AS225"/>
      <c r="AW225" s="50"/>
      <c r="BB225" s="1"/>
      <c r="BC225" s="60"/>
      <c r="BD225" s="62"/>
    </row>
    <row r="226" spans="5:56" ht="14.4" customHeight="1" x14ac:dyDescent="0.35">
      <c r="E226" s="1"/>
      <c r="X226" s="31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O226"/>
      <c r="AP226"/>
      <c r="AQ226"/>
      <c r="AR226"/>
      <c r="AS226"/>
      <c r="AW226" s="50"/>
      <c r="BB226" s="1"/>
      <c r="BC226" s="60"/>
      <c r="BD226" s="62"/>
    </row>
    <row r="227" spans="5:56" ht="14.4" customHeight="1" x14ac:dyDescent="0.35">
      <c r="E227" s="1"/>
      <c r="X227" s="31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O227"/>
      <c r="AP227"/>
      <c r="AQ227"/>
      <c r="AR227"/>
      <c r="AS227"/>
      <c r="AW227" s="50"/>
      <c r="BB227" s="1"/>
      <c r="BC227" s="60"/>
      <c r="BD227" s="62"/>
    </row>
    <row r="228" spans="5:56" ht="14.4" customHeight="1" x14ac:dyDescent="0.35">
      <c r="E228" s="1"/>
      <c r="X228" s="31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O228"/>
      <c r="AP228"/>
      <c r="AQ228"/>
      <c r="AR228"/>
      <c r="AS228"/>
      <c r="AW228" s="50"/>
      <c r="BB228" s="1"/>
      <c r="BC228" s="60"/>
      <c r="BD228" s="62"/>
    </row>
    <row r="229" spans="5:56" ht="14.4" customHeight="1" x14ac:dyDescent="0.35">
      <c r="E229" s="1"/>
      <c r="X229" s="31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O229"/>
      <c r="AP229"/>
      <c r="AQ229"/>
      <c r="AR229"/>
      <c r="AS229"/>
      <c r="AW229" s="50"/>
      <c r="BB229" s="1"/>
      <c r="BC229" s="60"/>
      <c r="BD229" s="62"/>
    </row>
    <row r="230" spans="5:56" ht="14.4" customHeight="1" x14ac:dyDescent="0.35">
      <c r="E230" s="1"/>
      <c r="X230" s="31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O230"/>
      <c r="AP230"/>
      <c r="AQ230"/>
      <c r="AR230"/>
      <c r="AS230"/>
      <c r="AW230" s="50"/>
      <c r="BB230" s="1"/>
      <c r="BC230" s="60"/>
      <c r="BD230" s="62"/>
    </row>
    <row r="231" spans="5:56" ht="14.4" customHeight="1" x14ac:dyDescent="0.35">
      <c r="E231" s="1"/>
      <c r="X231" s="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O231"/>
      <c r="AP231"/>
      <c r="AQ231"/>
      <c r="AR231"/>
      <c r="AS231"/>
      <c r="AW231" s="50"/>
      <c r="BB231" s="1"/>
      <c r="BC231" s="60"/>
      <c r="BD231" s="62"/>
    </row>
    <row r="232" spans="5:56" ht="14.4" customHeight="1" x14ac:dyDescent="0.35">
      <c r="E232" s="1"/>
      <c r="X232" s="31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O232"/>
      <c r="AP232"/>
      <c r="AQ232"/>
      <c r="AR232"/>
      <c r="AS232"/>
      <c r="AW232" s="50"/>
      <c r="BB232" s="1"/>
      <c r="BC232" s="60"/>
      <c r="BD232" s="62"/>
    </row>
    <row r="233" spans="5:56" ht="14.4" customHeight="1" x14ac:dyDescent="0.35">
      <c r="E233" s="1"/>
      <c r="X233" s="31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O233"/>
      <c r="AP233"/>
      <c r="AQ233"/>
      <c r="AR233"/>
      <c r="AS233"/>
      <c r="AW233" s="50"/>
      <c r="BB233" s="1"/>
      <c r="BC233" s="60"/>
      <c r="BD233" s="62"/>
    </row>
    <row r="234" spans="5:56" ht="14.4" customHeight="1" x14ac:dyDescent="0.35">
      <c r="E234" s="1"/>
      <c r="X234" s="31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O234"/>
      <c r="AP234"/>
      <c r="AQ234"/>
      <c r="AR234"/>
      <c r="AS234"/>
      <c r="AW234" s="50"/>
      <c r="BB234" s="1"/>
      <c r="BC234" s="60"/>
      <c r="BD234" s="62"/>
    </row>
    <row r="235" spans="5:56" ht="14.4" customHeight="1" x14ac:dyDescent="0.35">
      <c r="E235" s="1"/>
      <c r="X235" s="31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O235"/>
      <c r="AP235"/>
      <c r="AQ235"/>
      <c r="AR235"/>
      <c r="AS235"/>
      <c r="AW235" s="50"/>
      <c r="BB235" s="1"/>
      <c r="BC235" s="60"/>
      <c r="BD235" s="62"/>
    </row>
    <row r="236" spans="5:56" ht="14.4" customHeight="1" x14ac:dyDescent="0.35">
      <c r="E236" s="1"/>
      <c r="X236" s="31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O236"/>
      <c r="AP236"/>
      <c r="AQ236"/>
      <c r="AR236"/>
      <c r="AS236"/>
      <c r="AW236" s="50"/>
      <c r="BB236" s="1"/>
      <c r="BC236" s="60"/>
      <c r="BD236" s="62"/>
    </row>
    <row r="237" spans="5:56" ht="14.4" customHeight="1" x14ac:dyDescent="0.35">
      <c r="E237" s="1"/>
      <c r="X237" s="31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O237"/>
      <c r="AP237"/>
      <c r="AQ237"/>
      <c r="AR237"/>
      <c r="AS237"/>
      <c r="AW237" s="50"/>
      <c r="BB237" s="1"/>
      <c r="BC237" s="60"/>
      <c r="BD237" s="62"/>
    </row>
    <row r="238" spans="5:56" ht="14.4" customHeight="1" x14ac:dyDescent="0.35">
      <c r="E238" s="1"/>
      <c r="X238" s="31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O238"/>
      <c r="AP238"/>
      <c r="AQ238"/>
      <c r="AR238"/>
      <c r="AS238"/>
      <c r="AW238" s="50"/>
      <c r="BB238" s="1"/>
      <c r="BC238" s="60"/>
      <c r="BD238" s="62"/>
    </row>
    <row r="239" spans="5:56" x14ac:dyDescent="0.35">
      <c r="E239" s="1"/>
      <c r="X239" s="31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O239"/>
      <c r="AP239"/>
      <c r="AQ239"/>
      <c r="AR239"/>
      <c r="AS239"/>
      <c r="AW239" s="50"/>
      <c r="BB239" s="1"/>
      <c r="BC239" s="60"/>
      <c r="BD239" s="62"/>
    </row>
    <row r="240" spans="5:56" ht="14.4" customHeight="1" x14ac:dyDescent="0.35">
      <c r="E240" s="1"/>
      <c r="X240" s="31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O240"/>
      <c r="AP240"/>
      <c r="AQ240"/>
      <c r="AR240"/>
      <c r="AS240"/>
      <c r="AW240" s="50"/>
      <c r="BB240" s="1"/>
      <c r="BC240" s="60"/>
      <c r="BD240" s="62"/>
    </row>
    <row r="241" spans="5:56" ht="14.4" customHeight="1" x14ac:dyDescent="0.35">
      <c r="E241" s="1"/>
      <c r="X241" s="3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O241"/>
      <c r="AP241"/>
      <c r="AQ241"/>
      <c r="AR241"/>
      <c r="AS241"/>
      <c r="AW241" s="50"/>
      <c r="BB241" s="1"/>
      <c r="BC241" s="60"/>
      <c r="BD241" s="62"/>
    </row>
    <row r="242" spans="5:56" ht="14.4" customHeight="1" x14ac:dyDescent="0.35">
      <c r="E242" s="1"/>
      <c r="X242" s="31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O242"/>
      <c r="AP242"/>
      <c r="AQ242"/>
      <c r="AR242"/>
      <c r="AS242"/>
      <c r="AW242" s="50"/>
      <c r="BB242" s="1"/>
      <c r="BC242" s="60"/>
      <c r="BD242" s="62"/>
    </row>
    <row r="243" spans="5:56" ht="14.4" customHeight="1" x14ac:dyDescent="0.35">
      <c r="E243" s="1"/>
      <c r="X243" s="31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O243"/>
      <c r="AP243"/>
      <c r="AQ243"/>
      <c r="AR243"/>
      <c r="AS243"/>
      <c r="AW243" s="50"/>
      <c r="BB243" s="1"/>
      <c r="BC243" s="60"/>
      <c r="BD243" s="62"/>
    </row>
    <row r="244" spans="5:56" ht="14.4" customHeight="1" x14ac:dyDescent="0.35">
      <c r="E244" s="1"/>
      <c r="X244" s="31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O244"/>
      <c r="AP244"/>
      <c r="AQ244"/>
      <c r="AR244"/>
      <c r="AS244"/>
      <c r="AW244" s="50"/>
      <c r="BB244" s="1"/>
      <c r="BC244" s="60"/>
      <c r="BD244" s="62"/>
    </row>
    <row r="245" spans="5:56" ht="14.4" customHeight="1" x14ac:dyDescent="0.35">
      <c r="E245" s="1"/>
      <c r="X245" s="31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O245"/>
      <c r="AP245"/>
      <c r="AQ245"/>
      <c r="AR245"/>
      <c r="AS245"/>
      <c r="AW245" s="50"/>
      <c r="BB245" s="1"/>
      <c r="BC245" s="60"/>
      <c r="BD245" s="62"/>
    </row>
    <row r="246" spans="5:56" ht="14.4" customHeight="1" x14ac:dyDescent="0.35">
      <c r="E246" s="1"/>
      <c r="X246" s="31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O246"/>
      <c r="AP246"/>
      <c r="AQ246"/>
      <c r="AR246"/>
      <c r="AS246"/>
      <c r="AW246" s="50"/>
      <c r="BB246" s="1"/>
      <c r="BC246" s="60"/>
      <c r="BD246" s="62"/>
    </row>
    <row r="247" spans="5:56" ht="14.4" customHeight="1" x14ac:dyDescent="0.35">
      <c r="E247" s="1"/>
      <c r="X247" s="31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O247"/>
      <c r="AP247"/>
      <c r="AQ247"/>
      <c r="AR247"/>
      <c r="AS247"/>
      <c r="AW247" s="50"/>
      <c r="BB247" s="1"/>
      <c r="BC247" s="60"/>
      <c r="BD247" s="62"/>
    </row>
    <row r="248" spans="5:56" ht="14.4" customHeight="1" x14ac:dyDescent="0.35">
      <c r="E248" s="1"/>
      <c r="X248" s="31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O248"/>
      <c r="AP248"/>
      <c r="AQ248"/>
      <c r="AR248"/>
      <c r="AS248"/>
      <c r="AW248" s="50"/>
      <c r="BB248" s="1"/>
      <c r="BC248" s="60"/>
      <c r="BD248" s="62"/>
    </row>
    <row r="249" spans="5:56" ht="14.4" customHeight="1" x14ac:dyDescent="0.35">
      <c r="E249" s="1"/>
      <c r="X249" s="31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O249"/>
      <c r="AP249"/>
      <c r="AQ249"/>
      <c r="AR249"/>
      <c r="AS249"/>
      <c r="AW249" s="50"/>
      <c r="BB249" s="1"/>
      <c r="BC249" s="60"/>
      <c r="BD249" s="62"/>
    </row>
    <row r="250" spans="5:56" ht="14.4" customHeight="1" x14ac:dyDescent="0.35">
      <c r="E250" s="1"/>
      <c r="X250" s="31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O250"/>
      <c r="AP250"/>
      <c r="AQ250"/>
      <c r="AR250"/>
      <c r="AS250"/>
      <c r="AW250" s="50"/>
      <c r="BB250" s="1"/>
      <c r="BC250" s="60"/>
      <c r="BD250" s="62"/>
    </row>
    <row r="251" spans="5:56" ht="14.4" customHeight="1" x14ac:dyDescent="0.35">
      <c r="E251" s="1"/>
      <c r="X251" s="3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O251"/>
      <c r="AP251"/>
      <c r="AQ251"/>
      <c r="AR251"/>
      <c r="AS251"/>
      <c r="AW251" s="50"/>
      <c r="BB251" s="1"/>
      <c r="BC251" s="60"/>
      <c r="BD251" s="62"/>
    </row>
    <row r="252" spans="5:56" ht="14.4" customHeight="1" x14ac:dyDescent="0.35">
      <c r="E252" s="1"/>
      <c r="X252" s="31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O252"/>
      <c r="AP252"/>
      <c r="AQ252"/>
      <c r="AR252"/>
      <c r="AS252"/>
      <c r="AW252" s="50"/>
      <c r="BB252" s="1"/>
      <c r="BC252" s="60"/>
      <c r="BD252" s="62"/>
    </row>
    <row r="253" spans="5:56" ht="14.4" customHeight="1" x14ac:dyDescent="0.35">
      <c r="E253" s="1"/>
      <c r="X253" s="31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O253"/>
      <c r="AP253"/>
      <c r="AQ253"/>
      <c r="AR253"/>
      <c r="AS253"/>
      <c r="AW253" s="50"/>
      <c r="BB253" s="1"/>
      <c r="BC253" s="60"/>
      <c r="BD253" s="62"/>
    </row>
    <row r="254" spans="5:56" ht="14.4" customHeight="1" x14ac:dyDescent="0.35">
      <c r="E254" s="1"/>
      <c r="X254" s="31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O254"/>
      <c r="AP254"/>
      <c r="AQ254"/>
      <c r="AR254"/>
      <c r="AS254"/>
      <c r="AW254" s="50"/>
      <c r="BB254" s="1"/>
      <c r="BC254" s="60"/>
      <c r="BD254" s="62"/>
    </row>
    <row r="255" spans="5:56" ht="14.4" customHeight="1" x14ac:dyDescent="0.35">
      <c r="E255" s="1"/>
      <c r="X255" s="31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O255"/>
      <c r="AP255"/>
      <c r="AQ255"/>
      <c r="AR255"/>
      <c r="AS255"/>
      <c r="AW255" s="50"/>
      <c r="BB255" s="1"/>
      <c r="BC255" s="60"/>
      <c r="BD255" s="62"/>
    </row>
    <row r="256" spans="5:56" ht="14.4" customHeight="1" x14ac:dyDescent="0.35">
      <c r="E256" s="1"/>
      <c r="X256" s="31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O256"/>
      <c r="AP256"/>
      <c r="AQ256"/>
      <c r="AR256"/>
      <c r="AS256"/>
      <c r="AW256" s="50"/>
      <c r="BB256" s="1"/>
      <c r="BC256" s="60"/>
      <c r="BD256" s="62"/>
    </row>
    <row r="257" spans="5:56" ht="14.4" customHeight="1" x14ac:dyDescent="0.35">
      <c r="E257" s="1"/>
      <c r="X257" s="31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O257"/>
      <c r="AP257"/>
      <c r="AQ257"/>
      <c r="AR257"/>
      <c r="AS257"/>
      <c r="AW257" s="50"/>
      <c r="BB257" s="1"/>
      <c r="BC257" s="60"/>
      <c r="BD257" s="62"/>
    </row>
    <row r="258" spans="5:56" ht="14.4" customHeight="1" x14ac:dyDescent="0.35">
      <c r="E258" s="1"/>
      <c r="X258" s="31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O258"/>
      <c r="AP258"/>
      <c r="AQ258"/>
      <c r="AR258"/>
      <c r="AS258"/>
      <c r="AW258" s="50"/>
      <c r="BB258" s="1"/>
      <c r="BC258" s="60"/>
      <c r="BD258" s="62"/>
    </row>
    <row r="259" spans="5:56" ht="14.4" customHeight="1" x14ac:dyDescent="0.35">
      <c r="E259" s="1"/>
      <c r="X259" s="31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O259"/>
      <c r="AP259"/>
      <c r="AQ259"/>
      <c r="AR259"/>
      <c r="AS259"/>
      <c r="AW259" s="50"/>
      <c r="BB259" s="1"/>
      <c r="BC259" s="60"/>
      <c r="BD259" s="62"/>
    </row>
    <row r="260" spans="5:56" ht="14.4" customHeight="1" x14ac:dyDescent="0.35">
      <c r="E260" s="1"/>
      <c r="X260" s="31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O260"/>
      <c r="AP260"/>
      <c r="AQ260"/>
      <c r="AR260"/>
      <c r="AS260"/>
      <c r="AW260" s="50"/>
      <c r="BB260" s="1"/>
      <c r="BC260" s="60"/>
      <c r="BD260" s="62"/>
    </row>
    <row r="261" spans="5:56" ht="14.4" customHeight="1" x14ac:dyDescent="0.35">
      <c r="E261" s="1"/>
      <c r="X261" s="3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O261"/>
      <c r="AP261"/>
      <c r="AQ261"/>
      <c r="AR261"/>
      <c r="AS261"/>
      <c r="AW261" s="50"/>
      <c r="BB261" s="1"/>
      <c r="BC261" s="60"/>
      <c r="BD261" s="62"/>
    </row>
    <row r="262" spans="5:56" ht="14.4" customHeight="1" x14ac:dyDescent="0.35">
      <c r="E262" s="1"/>
      <c r="X262" s="31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O262"/>
      <c r="AP262"/>
      <c r="AQ262"/>
      <c r="AR262"/>
      <c r="AS262"/>
      <c r="AW262" s="50"/>
      <c r="BB262" s="1"/>
      <c r="BC262" s="60"/>
      <c r="BD262" s="62"/>
    </row>
    <row r="263" spans="5:56" ht="14.4" customHeight="1" x14ac:dyDescent="0.35">
      <c r="E263" s="1"/>
      <c r="X263" s="31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O263"/>
      <c r="AP263"/>
      <c r="AQ263"/>
      <c r="AR263"/>
      <c r="AS263"/>
      <c r="AW263" s="50"/>
      <c r="BB263" s="1"/>
      <c r="BC263" s="60"/>
      <c r="BD263" s="62"/>
    </row>
    <row r="264" spans="5:56" ht="14.4" customHeight="1" x14ac:dyDescent="0.35">
      <c r="E264" s="1"/>
      <c r="X264" s="31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O264"/>
      <c r="AP264"/>
      <c r="AQ264"/>
      <c r="AR264"/>
      <c r="AS264"/>
      <c r="AW264" s="50"/>
      <c r="BB264" s="1"/>
      <c r="BC264" s="60"/>
      <c r="BD264" s="62"/>
    </row>
    <row r="265" spans="5:56" ht="14.4" customHeight="1" x14ac:dyDescent="0.35">
      <c r="E265" s="1"/>
      <c r="X265" s="31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O265"/>
      <c r="AP265"/>
      <c r="AQ265"/>
      <c r="AR265"/>
      <c r="AS265"/>
      <c r="AW265" s="50"/>
      <c r="BB265" s="1"/>
      <c r="BC265" s="60"/>
      <c r="BD265" s="62"/>
    </row>
    <row r="266" spans="5:56" ht="14.4" customHeight="1" x14ac:dyDescent="0.35">
      <c r="E266" s="1"/>
      <c r="X266" s="31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O266"/>
      <c r="AP266"/>
      <c r="AQ266"/>
      <c r="AR266"/>
      <c r="AS266"/>
      <c r="AW266" s="50"/>
      <c r="BB266" s="1"/>
      <c r="BC266" s="60"/>
      <c r="BD266" s="62"/>
    </row>
    <row r="267" spans="5:56" ht="14.4" customHeight="1" x14ac:dyDescent="0.35">
      <c r="E267" s="1"/>
      <c r="X267" s="31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O267"/>
      <c r="AP267"/>
      <c r="AQ267"/>
      <c r="AR267"/>
      <c r="AS267"/>
      <c r="AW267" s="50"/>
      <c r="BB267" s="1"/>
      <c r="BC267" s="60"/>
      <c r="BD267" s="62"/>
    </row>
    <row r="268" spans="5:56" ht="14.4" customHeight="1" x14ac:dyDescent="0.35">
      <c r="E268" s="1"/>
      <c r="X268" s="31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O268"/>
      <c r="AP268"/>
      <c r="AQ268"/>
      <c r="AR268"/>
      <c r="AS268"/>
      <c r="AW268" s="50"/>
      <c r="BB268" s="1"/>
      <c r="BC268" s="60"/>
      <c r="BD268" s="62"/>
    </row>
    <row r="269" spans="5:56" ht="14.4" customHeight="1" x14ac:dyDescent="0.35">
      <c r="E269" s="1"/>
      <c r="X269" s="31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O269"/>
      <c r="AP269"/>
      <c r="AQ269"/>
      <c r="AR269"/>
      <c r="AS269"/>
      <c r="AW269" s="50"/>
      <c r="BB269" s="1"/>
      <c r="BC269" s="60"/>
      <c r="BD269" s="62"/>
    </row>
    <row r="270" spans="5:56" ht="14.4" customHeight="1" x14ac:dyDescent="0.35">
      <c r="E270" s="1"/>
      <c r="X270" s="31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O270"/>
      <c r="AP270"/>
      <c r="AQ270"/>
      <c r="AR270"/>
      <c r="AS270"/>
      <c r="AW270" s="50"/>
      <c r="BB270" s="1"/>
      <c r="BC270" s="60"/>
      <c r="BD270" s="62"/>
    </row>
    <row r="271" spans="5:56" ht="14.4" customHeight="1" x14ac:dyDescent="0.35">
      <c r="E271" s="1"/>
      <c r="X271" s="3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O271"/>
      <c r="AP271"/>
      <c r="AQ271"/>
      <c r="AR271"/>
      <c r="AS271"/>
      <c r="AW271" s="50"/>
      <c r="BB271" s="1"/>
      <c r="BC271" s="60"/>
      <c r="BD271" s="62"/>
    </row>
    <row r="272" spans="5:56" ht="14.4" customHeight="1" x14ac:dyDescent="0.35">
      <c r="E272" s="1"/>
      <c r="X272" s="31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O272"/>
      <c r="AP272"/>
      <c r="AQ272"/>
      <c r="AR272"/>
      <c r="AS272"/>
      <c r="AW272" s="50"/>
      <c r="BB272" s="1"/>
      <c r="BC272" s="60"/>
      <c r="BD272" s="62"/>
    </row>
    <row r="273" spans="5:56" ht="14.4" customHeight="1" x14ac:dyDescent="0.35">
      <c r="E273" s="1"/>
      <c r="X273" s="31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O273"/>
      <c r="AP273"/>
      <c r="AQ273"/>
      <c r="AR273"/>
      <c r="AS273"/>
      <c r="AW273" s="50"/>
      <c r="BB273" s="1"/>
      <c r="BC273" s="60"/>
      <c r="BD273" s="62"/>
    </row>
    <row r="274" spans="5:56" ht="14.4" customHeight="1" x14ac:dyDescent="0.35">
      <c r="E274" s="1"/>
      <c r="X274" s="31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O274"/>
      <c r="AP274"/>
      <c r="AQ274"/>
      <c r="AR274"/>
      <c r="AS274"/>
      <c r="AW274" s="50"/>
      <c r="BB274" s="1"/>
      <c r="BC274" s="60"/>
      <c r="BD274" s="62"/>
    </row>
    <row r="275" spans="5:56" ht="14.4" customHeight="1" x14ac:dyDescent="0.35">
      <c r="E275" s="1"/>
      <c r="X275" s="31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O275"/>
      <c r="AP275"/>
      <c r="AQ275"/>
      <c r="AR275"/>
      <c r="AS275"/>
      <c r="AW275" s="50"/>
      <c r="BB275" s="1"/>
      <c r="BC275" s="60"/>
      <c r="BD275" s="62"/>
    </row>
    <row r="276" spans="5:56" ht="14.4" customHeight="1" x14ac:dyDescent="0.35">
      <c r="E276" s="1"/>
      <c r="X276" s="31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O276"/>
      <c r="AP276"/>
      <c r="AQ276"/>
      <c r="AR276"/>
      <c r="AS276"/>
      <c r="AW276" s="50"/>
      <c r="BB276" s="1"/>
      <c r="BC276" s="60"/>
      <c r="BD276" s="62"/>
    </row>
    <row r="277" spans="5:56" ht="14.4" customHeight="1" x14ac:dyDescent="0.35">
      <c r="E277" s="1"/>
      <c r="X277" s="31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O277"/>
      <c r="AP277"/>
      <c r="AQ277"/>
      <c r="AR277"/>
      <c r="AS277"/>
      <c r="AW277" s="50"/>
      <c r="BB277" s="1"/>
      <c r="BC277" s="60"/>
      <c r="BD277" s="62"/>
    </row>
    <row r="278" spans="5:56" ht="14.4" customHeight="1" x14ac:dyDescent="0.35">
      <c r="E278" s="1"/>
      <c r="X278" s="31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O278"/>
      <c r="AP278"/>
      <c r="AQ278"/>
      <c r="AR278"/>
      <c r="AS278"/>
      <c r="AW278" s="50"/>
      <c r="BB278" s="1"/>
      <c r="BC278" s="60"/>
      <c r="BD278" s="62"/>
    </row>
    <row r="279" spans="5:56" ht="14.4" customHeight="1" x14ac:dyDescent="0.35">
      <c r="E279" s="1"/>
      <c r="X279" s="31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O279"/>
      <c r="AP279"/>
      <c r="AQ279"/>
      <c r="AR279"/>
      <c r="AS279"/>
      <c r="AW279" s="50"/>
      <c r="BB279" s="1"/>
      <c r="BC279" s="60"/>
      <c r="BD279" s="62"/>
    </row>
    <row r="280" spans="5:56" ht="14.4" customHeight="1" x14ac:dyDescent="0.35">
      <c r="E280" s="1"/>
      <c r="X280" s="31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O280"/>
      <c r="AP280"/>
      <c r="AQ280"/>
      <c r="AR280"/>
      <c r="AS280"/>
      <c r="AW280" s="50"/>
      <c r="BB280" s="1"/>
      <c r="BC280" s="60"/>
      <c r="BD280" s="62"/>
    </row>
    <row r="281" spans="5:56" ht="14.4" customHeight="1" x14ac:dyDescent="0.35">
      <c r="E281" s="1"/>
      <c r="X281" s="3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O281"/>
      <c r="AP281"/>
      <c r="AQ281"/>
      <c r="AR281"/>
      <c r="AS281"/>
      <c r="AW281" s="50"/>
      <c r="BB281" s="1"/>
      <c r="BC281" s="60"/>
      <c r="BD281" s="62"/>
    </row>
    <row r="282" spans="5:56" ht="14.4" customHeight="1" x14ac:dyDescent="0.35">
      <c r="E282" s="1"/>
      <c r="X282" s="31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O282"/>
      <c r="AP282"/>
      <c r="AQ282"/>
      <c r="AR282"/>
      <c r="AS282"/>
      <c r="AW282" s="50"/>
      <c r="BB282" s="1"/>
      <c r="BC282" s="60"/>
      <c r="BD282" s="62"/>
    </row>
    <row r="283" spans="5:56" ht="14.4" customHeight="1" x14ac:dyDescent="0.35">
      <c r="E283" s="1"/>
      <c r="X283" s="31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O283"/>
      <c r="AP283"/>
      <c r="AQ283"/>
      <c r="AR283"/>
      <c r="AS283"/>
      <c r="AW283" s="50"/>
      <c r="BB283" s="1"/>
      <c r="BC283" s="60"/>
      <c r="BD283" s="62"/>
    </row>
    <row r="284" spans="5:56" ht="14.4" customHeight="1" x14ac:dyDescent="0.35">
      <c r="E284" s="1"/>
      <c r="X284" s="31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O284"/>
      <c r="AP284"/>
      <c r="AQ284"/>
      <c r="AR284"/>
      <c r="AS284"/>
      <c r="AW284" s="50"/>
      <c r="BB284" s="1"/>
      <c r="BC284" s="60"/>
      <c r="BD284" s="62"/>
    </row>
    <row r="285" spans="5:56" ht="14.4" customHeight="1" x14ac:dyDescent="0.35">
      <c r="E285" s="1"/>
      <c r="X285" s="31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O285"/>
      <c r="AP285"/>
      <c r="AQ285"/>
      <c r="AR285"/>
      <c r="AS285"/>
      <c r="AW285" s="50"/>
      <c r="BB285" s="1"/>
      <c r="BC285" s="60"/>
      <c r="BD285" s="62"/>
    </row>
    <row r="286" spans="5:56" ht="14.4" customHeight="1" x14ac:dyDescent="0.35">
      <c r="E286" s="1"/>
      <c r="X286" s="31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O286"/>
      <c r="AP286"/>
      <c r="AQ286"/>
      <c r="AR286"/>
      <c r="AS286"/>
      <c r="AW286" s="50"/>
      <c r="BB286" s="1"/>
      <c r="BC286" s="60"/>
      <c r="BD286" s="62"/>
    </row>
    <row r="287" spans="5:56" ht="14.4" customHeight="1" x14ac:dyDescent="0.35">
      <c r="E287" s="1"/>
      <c r="X287" s="31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O287"/>
      <c r="AP287"/>
      <c r="AQ287"/>
      <c r="AR287"/>
      <c r="AS287"/>
      <c r="AW287" s="50"/>
      <c r="BB287" s="1"/>
      <c r="BC287" s="60"/>
      <c r="BD287" s="62"/>
    </row>
    <row r="288" spans="5:56" ht="14.4" customHeight="1" x14ac:dyDescent="0.35">
      <c r="E288" s="1"/>
      <c r="X288" s="31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O288"/>
      <c r="AP288"/>
      <c r="AQ288"/>
      <c r="AR288"/>
      <c r="AS288"/>
      <c r="AW288" s="50"/>
      <c r="BB288" s="1"/>
      <c r="BC288" s="60"/>
      <c r="BD288" s="62"/>
    </row>
    <row r="289" spans="1:56" ht="14.4" customHeight="1" x14ac:dyDescent="0.35">
      <c r="E289" s="1"/>
      <c r="X289" s="31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O289"/>
      <c r="AP289"/>
      <c r="AQ289"/>
      <c r="AR289"/>
      <c r="AS289"/>
      <c r="AW289" s="50"/>
      <c r="BB289" s="1"/>
      <c r="BC289" s="60"/>
      <c r="BD289" s="62"/>
    </row>
    <row r="290" spans="1:56" ht="14.4" customHeight="1" x14ac:dyDescent="0.35">
      <c r="E290" s="1"/>
      <c r="X290" s="31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O290"/>
      <c r="AP290"/>
      <c r="AQ290"/>
      <c r="AR290"/>
      <c r="AS290"/>
      <c r="AW290" s="50"/>
      <c r="BB290" s="1"/>
      <c r="BC290" s="60"/>
      <c r="BD290" s="62"/>
    </row>
    <row r="291" spans="1:56" ht="14.4" customHeight="1" x14ac:dyDescent="0.35">
      <c r="E291" s="1"/>
      <c r="X291" s="31"/>
      <c r="Y291"/>
      <c r="Z291"/>
      <c r="AA291"/>
      <c r="AB291"/>
      <c r="AC291"/>
      <c r="AD291"/>
      <c r="AE291"/>
      <c r="AF291"/>
      <c r="AG291"/>
      <c r="AH291"/>
      <c r="AI291"/>
      <c r="AJ291"/>
      <c r="AK291"/>
      <c r="AL291"/>
      <c r="AM291"/>
      <c r="AO291"/>
      <c r="AP291"/>
      <c r="AQ291"/>
      <c r="AR291"/>
      <c r="AS291"/>
      <c r="AW291" s="50"/>
      <c r="BB291" s="1"/>
      <c r="BC291" s="60"/>
      <c r="BD291" s="62"/>
    </row>
    <row r="292" spans="1:56" ht="14.4" customHeight="1" x14ac:dyDescent="0.35">
      <c r="A292" s="2"/>
      <c r="E292" s="1"/>
      <c r="X292" s="31"/>
      <c r="Y292"/>
      <c r="Z292"/>
      <c r="AA292"/>
      <c r="AB292"/>
      <c r="AC292"/>
      <c r="AD292"/>
      <c r="AE292"/>
      <c r="AF292"/>
      <c r="AG292"/>
      <c r="AH292"/>
      <c r="AI292"/>
      <c r="AJ292"/>
      <c r="AK292"/>
      <c r="AL292"/>
      <c r="AM292"/>
      <c r="AO292"/>
      <c r="AP292"/>
      <c r="AQ292"/>
      <c r="AR292"/>
      <c r="AS292"/>
      <c r="AW292" s="50"/>
      <c r="BB292" s="1"/>
      <c r="BC292" s="60"/>
      <c r="BD292" s="62"/>
    </row>
    <row r="293" spans="1:56" ht="14.4" customHeight="1" x14ac:dyDescent="0.35">
      <c r="E293" s="1"/>
      <c r="X293" s="31"/>
      <c r="Y293"/>
      <c r="Z293"/>
      <c r="AA293"/>
      <c r="AB293"/>
      <c r="AC293"/>
      <c r="AD293"/>
      <c r="AE293"/>
      <c r="AF293"/>
      <c r="AG293"/>
      <c r="AH293"/>
      <c r="AI293"/>
      <c r="AJ293"/>
      <c r="AK293"/>
      <c r="AL293"/>
      <c r="AM293"/>
      <c r="AO293"/>
      <c r="AP293"/>
      <c r="AQ293"/>
      <c r="AR293"/>
      <c r="AS293"/>
      <c r="AW293" s="50"/>
      <c r="BB293" s="1"/>
      <c r="BC293" s="60"/>
      <c r="BD293" s="62"/>
    </row>
    <row r="294" spans="1:56" ht="14.4" customHeight="1" x14ac:dyDescent="0.35">
      <c r="A294" s="2"/>
      <c r="E294" s="1"/>
      <c r="X294" s="31"/>
      <c r="Y294"/>
      <c r="Z294"/>
      <c r="AA294"/>
      <c r="AB294"/>
      <c r="AC294"/>
      <c r="AD294"/>
      <c r="AE294"/>
      <c r="AF294"/>
      <c r="AG294"/>
      <c r="AH294"/>
      <c r="AI294"/>
      <c r="AJ294"/>
      <c r="AK294"/>
      <c r="AL294"/>
      <c r="AM294"/>
      <c r="AO294"/>
      <c r="AP294"/>
      <c r="AQ294"/>
      <c r="AR294"/>
      <c r="AS294"/>
      <c r="AW294" s="50"/>
      <c r="BB294" s="1"/>
      <c r="BC294" s="60"/>
      <c r="BD294" s="62"/>
    </row>
    <row r="295" spans="1:56" ht="14.4" customHeight="1" x14ac:dyDescent="0.35">
      <c r="A295" s="2"/>
      <c r="E295" s="1"/>
      <c r="X295" s="31"/>
      <c r="Y295"/>
      <c r="Z295"/>
      <c r="AA295"/>
      <c r="AB295"/>
      <c r="AC295"/>
      <c r="AD295"/>
      <c r="AE295"/>
      <c r="AF295"/>
      <c r="AG295"/>
      <c r="AH295"/>
      <c r="AI295"/>
      <c r="AJ295"/>
      <c r="AK295"/>
      <c r="AL295"/>
      <c r="AM295"/>
      <c r="AO295"/>
      <c r="AP295"/>
      <c r="AQ295"/>
      <c r="AR295"/>
      <c r="AS295"/>
      <c r="AW295" s="50"/>
      <c r="BB295" s="1"/>
      <c r="BC295" s="60"/>
      <c r="BD295" s="62"/>
    </row>
    <row r="296" spans="1:56" ht="14.4" customHeight="1" x14ac:dyDescent="0.35">
      <c r="E296" s="1"/>
      <c r="X296" s="31"/>
      <c r="Y296"/>
      <c r="Z296"/>
      <c r="AA296"/>
      <c r="AB296"/>
      <c r="AC296"/>
      <c r="AD296"/>
      <c r="AE296"/>
      <c r="AF296"/>
      <c r="AG296"/>
      <c r="AH296"/>
      <c r="AI296"/>
      <c r="AJ296"/>
      <c r="AK296"/>
      <c r="AL296"/>
      <c r="AM296"/>
      <c r="AO296"/>
      <c r="AP296"/>
      <c r="AQ296"/>
      <c r="AR296"/>
      <c r="AS296"/>
      <c r="AW296" s="50"/>
      <c r="BB296" s="1"/>
      <c r="BC296" s="60"/>
      <c r="BD296" s="62"/>
    </row>
    <row r="297" spans="1:56" ht="14.4" customHeight="1" x14ac:dyDescent="0.35">
      <c r="E297" s="1"/>
      <c r="X297" s="31"/>
      <c r="Y297"/>
      <c r="Z297"/>
      <c r="AA297"/>
      <c r="AB297"/>
      <c r="AC297"/>
      <c r="AD297"/>
      <c r="AE297"/>
      <c r="AF297"/>
      <c r="AG297"/>
      <c r="AH297"/>
      <c r="AI297"/>
      <c r="AJ297"/>
      <c r="AK297"/>
      <c r="AL297"/>
      <c r="AM297"/>
      <c r="AO297"/>
      <c r="AP297"/>
      <c r="AQ297"/>
      <c r="AR297"/>
      <c r="AS297"/>
      <c r="AW297" s="50"/>
      <c r="BB297" s="1"/>
      <c r="BC297" s="60"/>
      <c r="BD297" s="62"/>
    </row>
    <row r="298" spans="1:56" ht="14.4" customHeight="1" x14ac:dyDescent="0.35">
      <c r="E298" s="1"/>
      <c r="X298" s="31"/>
      <c r="Y298"/>
      <c r="Z298"/>
      <c r="AA298"/>
      <c r="AB298"/>
      <c r="AC298"/>
      <c r="AD298"/>
      <c r="AE298"/>
      <c r="AF298"/>
      <c r="AG298"/>
      <c r="AH298"/>
      <c r="AI298"/>
      <c r="AJ298"/>
      <c r="AK298"/>
      <c r="AL298"/>
      <c r="AM298"/>
      <c r="AO298"/>
      <c r="AP298"/>
      <c r="AQ298"/>
      <c r="AR298"/>
      <c r="AS298"/>
      <c r="AW298" s="50"/>
      <c r="BB298" s="1"/>
      <c r="BC298" s="60"/>
      <c r="BD298" s="62"/>
    </row>
    <row r="299" spans="1:56" ht="14.4" customHeight="1" x14ac:dyDescent="0.35">
      <c r="E299" s="1"/>
      <c r="X299" s="31"/>
      <c r="Y299"/>
      <c r="Z299"/>
      <c r="AA299"/>
      <c r="AB299"/>
      <c r="AC299"/>
      <c r="AD299"/>
      <c r="AE299"/>
      <c r="AF299"/>
      <c r="AG299"/>
      <c r="AH299"/>
      <c r="AI299"/>
      <c r="AJ299"/>
      <c r="AK299"/>
      <c r="AL299"/>
      <c r="AM299"/>
      <c r="AO299"/>
      <c r="AP299"/>
      <c r="AQ299"/>
      <c r="AR299"/>
      <c r="AS299"/>
      <c r="AW299" s="50"/>
      <c r="BB299" s="1"/>
      <c r="BC299" s="60"/>
      <c r="BD299" s="62"/>
    </row>
    <row r="300" spans="1:56" ht="14.4" customHeight="1" x14ac:dyDescent="0.35">
      <c r="E300" s="1"/>
      <c r="X300" s="31"/>
      <c r="Y300"/>
      <c r="Z300"/>
      <c r="AA300"/>
      <c r="AB300"/>
      <c r="AC300"/>
      <c r="AD300"/>
      <c r="AE300"/>
      <c r="AF300"/>
      <c r="AG300"/>
      <c r="AH300"/>
      <c r="AI300"/>
      <c r="AJ300"/>
      <c r="AK300"/>
      <c r="AL300"/>
      <c r="AM300"/>
      <c r="AO300"/>
      <c r="AP300"/>
      <c r="AQ300"/>
      <c r="AR300"/>
      <c r="AS300"/>
      <c r="AW300" s="50"/>
      <c r="BB300" s="1"/>
      <c r="BC300" s="60"/>
      <c r="BD300" s="62"/>
    </row>
    <row r="301" spans="1:56" ht="14.4" customHeight="1" x14ac:dyDescent="0.35">
      <c r="E301" s="1"/>
      <c r="X301" s="31"/>
      <c r="Y301"/>
      <c r="Z301"/>
      <c r="AA301"/>
      <c r="AB301"/>
      <c r="AC301"/>
      <c r="AD301"/>
      <c r="AE301"/>
      <c r="AF301"/>
      <c r="AG301"/>
      <c r="AH301"/>
      <c r="AI301"/>
      <c r="AJ301"/>
      <c r="AK301"/>
      <c r="AL301"/>
      <c r="AM301"/>
      <c r="AO301"/>
      <c r="AP301"/>
      <c r="AQ301"/>
      <c r="AR301"/>
      <c r="AS301"/>
      <c r="AW301" s="50"/>
      <c r="BB301" s="1"/>
      <c r="BC301" s="60"/>
      <c r="BD301" s="62"/>
    </row>
    <row r="302" spans="1:56" ht="14.4" customHeight="1" x14ac:dyDescent="0.35">
      <c r="E302" s="1"/>
      <c r="X302" s="31"/>
      <c r="Y302"/>
      <c r="Z302"/>
      <c r="AA302"/>
      <c r="AB302"/>
      <c r="AC302"/>
      <c r="AD302"/>
      <c r="AE302"/>
      <c r="AF302"/>
      <c r="AG302"/>
      <c r="AH302"/>
      <c r="AI302"/>
      <c r="AJ302"/>
      <c r="AK302"/>
      <c r="AL302"/>
      <c r="AM302"/>
      <c r="AO302"/>
      <c r="AP302"/>
      <c r="AQ302"/>
      <c r="AR302"/>
      <c r="AS302"/>
      <c r="AW302" s="50"/>
      <c r="BB302" s="1"/>
      <c r="BC302" s="60"/>
      <c r="BD302" s="62"/>
    </row>
    <row r="303" spans="1:56" ht="14.4" customHeight="1" x14ac:dyDescent="0.35">
      <c r="E303" s="1"/>
      <c r="X303" s="31"/>
      <c r="Y303"/>
      <c r="Z303"/>
      <c r="AA303"/>
      <c r="AB303"/>
      <c r="AC303"/>
      <c r="AD303"/>
      <c r="AE303"/>
      <c r="AF303"/>
      <c r="AG303"/>
      <c r="AH303"/>
      <c r="AI303"/>
      <c r="AJ303"/>
      <c r="AK303"/>
      <c r="AL303"/>
      <c r="AM303"/>
      <c r="AO303"/>
      <c r="AP303"/>
      <c r="AQ303"/>
      <c r="AR303"/>
      <c r="AS303"/>
      <c r="AW303" s="50"/>
      <c r="BB303" s="1"/>
      <c r="BC303" s="60"/>
      <c r="BD303" s="62"/>
    </row>
    <row r="304" spans="1:56" ht="14.4" customHeight="1" x14ac:dyDescent="0.35">
      <c r="E304" s="1"/>
      <c r="X304" s="31"/>
      <c r="Y304"/>
      <c r="Z304"/>
      <c r="AA304"/>
      <c r="AB304"/>
      <c r="AC304"/>
      <c r="AD304"/>
      <c r="AE304"/>
      <c r="AF304"/>
      <c r="AG304"/>
      <c r="AH304"/>
      <c r="AI304"/>
      <c r="AJ304"/>
      <c r="AK304"/>
      <c r="AL304"/>
      <c r="AM304"/>
      <c r="AO304"/>
      <c r="AP304"/>
      <c r="AQ304"/>
      <c r="AR304"/>
      <c r="AS304"/>
      <c r="AW304" s="50"/>
      <c r="BB304" s="1"/>
      <c r="BC304" s="60"/>
      <c r="BD304" s="62"/>
    </row>
    <row r="305" spans="1:56" ht="14.4" customHeight="1" x14ac:dyDescent="0.35">
      <c r="E305" s="1"/>
      <c r="X305" s="31"/>
      <c r="Y305"/>
      <c r="Z305"/>
      <c r="AA305"/>
      <c r="AB305"/>
      <c r="AC305"/>
      <c r="AD305"/>
      <c r="AE305"/>
      <c r="AF305"/>
      <c r="AG305"/>
      <c r="AH305"/>
      <c r="AI305"/>
      <c r="AJ305"/>
      <c r="AK305"/>
      <c r="AL305"/>
      <c r="AM305"/>
      <c r="AO305"/>
      <c r="AP305"/>
      <c r="AQ305"/>
      <c r="AR305"/>
      <c r="AS305"/>
      <c r="AW305" s="50"/>
      <c r="BB305" s="1"/>
      <c r="BC305" s="60"/>
      <c r="BD305" s="62"/>
    </row>
    <row r="306" spans="1:56" ht="14.4" customHeight="1" x14ac:dyDescent="0.35">
      <c r="E306" s="1"/>
      <c r="X306" s="31"/>
      <c r="Y306"/>
      <c r="Z306"/>
      <c r="AA306"/>
      <c r="AB306"/>
      <c r="AC306"/>
      <c r="AD306"/>
      <c r="AE306"/>
      <c r="AF306"/>
      <c r="AG306"/>
      <c r="AH306"/>
      <c r="AI306"/>
      <c r="AJ306"/>
      <c r="AK306"/>
      <c r="AL306"/>
      <c r="AM306"/>
      <c r="AO306"/>
      <c r="AP306"/>
      <c r="AQ306"/>
      <c r="AR306"/>
      <c r="AS306"/>
      <c r="AW306" s="50"/>
      <c r="BB306" s="1"/>
      <c r="BC306" s="60"/>
      <c r="BD306" s="62"/>
    </row>
    <row r="307" spans="1:56" ht="14.4" customHeight="1" x14ac:dyDescent="0.35">
      <c r="E307" s="1"/>
      <c r="X307" s="31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O307"/>
      <c r="AP307"/>
      <c r="AQ307"/>
      <c r="AR307"/>
      <c r="AS307"/>
      <c r="AW307" s="50"/>
      <c r="BB307" s="1"/>
      <c r="BC307" s="60"/>
      <c r="BD307" s="62"/>
    </row>
    <row r="308" spans="1:56" ht="14.4" customHeight="1" x14ac:dyDescent="0.35">
      <c r="E308" s="1"/>
      <c r="X308" s="31"/>
      <c r="Y308"/>
      <c r="Z308"/>
      <c r="AA308"/>
      <c r="AB308"/>
      <c r="AC308"/>
      <c r="AD308"/>
      <c r="AE308"/>
      <c r="AF308"/>
      <c r="AG308"/>
      <c r="AH308"/>
      <c r="AI308"/>
      <c r="AJ308"/>
      <c r="AK308"/>
      <c r="AL308"/>
      <c r="AM308"/>
      <c r="AO308"/>
      <c r="AP308"/>
      <c r="AQ308"/>
      <c r="AR308"/>
      <c r="AS308"/>
      <c r="AW308" s="50"/>
      <c r="BB308" s="1"/>
      <c r="BC308" s="60"/>
      <c r="BD308" s="62"/>
    </row>
    <row r="309" spans="1:56" ht="14.4" customHeight="1" x14ac:dyDescent="0.35">
      <c r="E309" s="1"/>
      <c r="X309" s="31"/>
      <c r="Y309"/>
      <c r="Z309"/>
      <c r="AA309"/>
      <c r="AB309"/>
      <c r="AC309"/>
      <c r="AD309"/>
      <c r="AE309"/>
      <c r="AF309"/>
      <c r="AG309"/>
      <c r="AH309"/>
      <c r="AI309"/>
      <c r="AJ309"/>
      <c r="AK309"/>
      <c r="AL309"/>
      <c r="AM309"/>
      <c r="AO309"/>
      <c r="AP309"/>
      <c r="AQ309"/>
      <c r="AR309"/>
      <c r="AS309"/>
      <c r="AW309" s="50"/>
      <c r="BB309" s="1"/>
      <c r="BC309" s="60"/>
      <c r="BD309" s="62"/>
    </row>
    <row r="310" spans="1:56" ht="14.4" customHeight="1" x14ac:dyDescent="0.35">
      <c r="E310" s="1"/>
      <c r="X310" s="31"/>
      <c r="Y310"/>
      <c r="Z310"/>
      <c r="AA310"/>
      <c r="AB310"/>
      <c r="AC310"/>
      <c r="AD310"/>
      <c r="AE310"/>
      <c r="AF310"/>
      <c r="AG310"/>
      <c r="AH310"/>
      <c r="AI310"/>
      <c r="AJ310"/>
      <c r="AK310"/>
      <c r="AL310"/>
      <c r="AM310"/>
      <c r="AO310"/>
      <c r="AP310"/>
      <c r="AQ310"/>
      <c r="AR310"/>
      <c r="AS310"/>
      <c r="AW310" s="50"/>
      <c r="BB310" s="1"/>
      <c r="BC310" s="60"/>
      <c r="BD310" s="62"/>
    </row>
    <row r="311" spans="1:56" ht="14.4" customHeight="1" x14ac:dyDescent="0.35">
      <c r="A311" s="2"/>
      <c r="E311" s="1"/>
      <c r="X311" s="31"/>
      <c r="Y311"/>
      <c r="Z311"/>
      <c r="AA311"/>
      <c r="AB311"/>
      <c r="AC311"/>
      <c r="AD311"/>
      <c r="AE311"/>
      <c r="AF311"/>
      <c r="AG311"/>
      <c r="AH311"/>
      <c r="AI311"/>
      <c r="AJ311"/>
      <c r="AK311"/>
      <c r="AL311"/>
      <c r="AM311"/>
      <c r="AO311"/>
      <c r="AP311"/>
      <c r="AQ311"/>
      <c r="AR311"/>
      <c r="AS311"/>
      <c r="AW311" s="50"/>
      <c r="BB311" s="1"/>
      <c r="BC311" s="60"/>
      <c r="BD311" s="62"/>
    </row>
    <row r="312" spans="1:56" ht="14.4" customHeight="1" x14ac:dyDescent="0.35">
      <c r="E312" s="1"/>
      <c r="X312" s="31"/>
      <c r="Y312"/>
      <c r="Z312"/>
      <c r="AA312"/>
      <c r="AB312"/>
      <c r="AC312"/>
      <c r="AD312"/>
      <c r="AE312"/>
      <c r="AF312"/>
      <c r="AG312"/>
      <c r="AH312"/>
      <c r="AI312"/>
      <c r="AJ312"/>
      <c r="AK312"/>
      <c r="AL312"/>
      <c r="AM312"/>
      <c r="AO312"/>
      <c r="AP312"/>
      <c r="AQ312"/>
      <c r="AR312"/>
      <c r="AS312"/>
      <c r="AW312" s="50"/>
      <c r="BB312" s="1"/>
      <c r="BC312" s="60"/>
      <c r="BD312" s="62"/>
    </row>
    <row r="313" spans="1:56" ht="14.4" customHeight="1" x14ac:dyDescent="0.35">
      <c r="E313" s="1"/>
      <c r="X313" s="31"/>
      <c r="Y313"/>
      <c r="Z313"/>
      <c r="AA313"/>
      <c r="AB313"/>
      <c r="AC313"/>
      <c r="AD313"/>
      <c r="AE313"/>
      <c r="AF313"/>
      <c r="AG313"/>
      <c r="AH313"/>
      <c r="AI313"/>
      <c r="AJ313"/>
      <c r="AK313"/>
      <c r="AL313"/>
      <c r="AM313"/>
      <c r="AO313"/>
      <c r="AP313"/>
      <c r="AQ313"/>
      <c r="AR313"/>
      <c r="AS313"/>
      <c r="AW313" s="50"/>
      <c r="BB313" s="1"/>
      <c r="BC313" s="60"/>
      <c r="BD313" s="62"/>
    </row>
    <row r="314" spans="1:56" ht="14.4" customHeight="1" x14ac:dyDescent="0.35">
      <c r="E314" s="1"/>
      <c r="X314" s="31"/>
      <c r="Y314"/>
      <c r="Z314"/>
      <c r="AA314"/>
      <c r="AB314"/>
      <c r="AC314"/>
      <c r="AD314"/>
      <c r="AE314"/>
      <c r="AF314"/>
      <c r="AG314"/>
      <c r="AH314"/>
      <c r="AI314"/>
      <c r="AJ314"/>
      <c r="AK314"/>
      <c r="AL314"/>
      <c r="AM314"/>
      <c r="AO314"/>
      <c r="AP314"/>
      <c r="AQ314"/>
      <c r="AR314"/>
      <c r="AS314"/>
      <c r="AW314" s="50"/>
      <c r="BB314" s="1"/>
      <c r="BC314" s="60"/>
      <c r="BD314" s="62"/>
    </row>
    <row r="315" spans="1:56" ht="14.4" customHeight="1" x14ac:dyDescent="0.35">
      <c r="E315" s="1"/>
      <c r="X315" s="31"/>
      <c r="Y315"/>
      <c r="Z315"/>
      <c r="AA315"/>
      <c r="AB315"/>
      <c r="AC315"/>
      <c r="AD315"/>
      <c r="AE315"/>
      <c r="AF315"/>
      <c r="AG315"/>
      <c r="AH315"/>
      <c r="AI315"/>
      <c r="AJ315"/>
      <c r="AK315"/>
      <c r="AL315"/>
      <c r="AM315"/>
      <c r="AO315"/>
      <c r="AP315"/>
      <c r="AQ315"/>
      <c r="AR315"/>
      <c r="AS315"/>
      <c r="AW315" s="50"/>
      <c r="BB315" s="1"/>
      <c r="BC315" s="60"/>
      <c r="BD315" s="62"/>
    </row>
    <row r="316" spans="1:56" ht="14.4" customHeight="1" x14ac:dyDescent="0.35">
      <c r="E316" s="1"/>
      <c r="X316" s="31"/>
      <c r="Y316"/>
      <c r="Z316"/>
      <c r="AA316"/>
      <c r="AB316"/>
      <c r="AC316"/>
      <c r="AD316"/>
      <c r="AE316"/>
      <c r="AF316"/>
      <c r="AG316"/>
      <c r="AH316"/>
      <c r="AI316"/>
      <c r="AJ316"/>
      <c r="AK316"/>
      <c r="AL316"/>
      <c r="AM316"/>
      <c r="AO316"/>
      <c r="AP316"/>
      <c r="AQ316"/>
      <c r="AR316"/>
      <c r="AS316"/>
      <c r="AW316" s="50"/>
      <c r="BB316" s="1"/>
      <c r="BC316" s="60"/>
      <c r="BD316" s="62"/>
    </row>
    <row r="317" spans="1:56" ht="14.4" customHeight="1" x14ac:dyDescent="0.35">
      <c r="E317" s="1"/>
      <c r="X317" s="31"/>
      <c r="Y317"/>
      <c r="Z317"/>
      <c r="AA317"/>
      <c r="AB317"/>
      <c r="AC317"/>
      <c r="AD317"/>
      <c r="AE317"/>
      <c r="AF317"/>
      <c r="AG317"/>
      <c r="AH317"/>
      <c r="AI317"/>
      <c r="AJ317"/>
      <c r="AK317"/>
      <c r="AL317"/>
      <c r="AM317"/>
      <c r="AO317"/>
      <c r="AP317"/>
      <c r="AQ317"/>
      <c r="AR317"/>
      <c r="AS317"/>
      <c r="AW317" s="50"/>
      <c r="BB317" s="1"/>
      <c r="BC317" s="60"/>
      <c r="BD317" s="62"/>
    </row>
    <row r="318" spans="1:56" ht="14.4" customHeight="1" x14ac:dyDescent="0.35">
      <c r="E318" s="1"/>
      <c r="X318" s="31"/>
      <c r="Y318"/>
      <c r="Z318"/>
      <c r="AA318"/>
      <c r="AB318"/>
      <c r="AC318"/>
      <c r="AD318"/>
      <c r="AE318"/>
      <c r="AF318"/>
      <c r="AG318"/>
      <c r="AH318"/>
      <c r="AI318"/>
      <c r="AJ318"/>
      <c r="AK318"/>
      <c r="AL318"/>
      <c r="AM318"/>
      <c r="AO318"/>
      <c r="AP318"/>
      <c r="AQ318"/>
      <c r="AR318"/>
      <c r="AS318"/>
      <c r="AW318" s="50"/>
      <c r="BB318" s="1"/>
      <c r="BC318" s="60"/>
      <c r="BD318" s="62"/>
    </row>
    <row r="319" spans="1:56" ht="14.4" customHeight="1" x14ac:dyDescent="0.35">
      <c r="E319" s="1"/>
      <c r="X319" s="31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O319"/>
      <c r="AP319"/>
      <c r="AQ319"/>
      <c r="AR319"/>
      <c r="AS319"/>
      <c r="AW319" s="50"/>
      <c r="BB319" s="1"/>
      <c r="BC319" s="60"/>
      <c r="BD319" s="62"/>
    </row>
    <row r="320" spans="1:56" ht="14.4" customHeight="1" x14ac:dyDescent="0.35">
      <c r="E320" s="1"/>
      <c r="X320" s="31"/>
      <c r="Y320"/>
      <c r="Z320"/>
      <c r="AA320"/>
      <c r="AB320"/>
      <c r="AC320"/>
      <c r="AD320"/>
      <c r="AE320"/>
      <c r="AF320"/>
      <c r="AG320"/>
      <c r="AH320"/>
      <c r="AI320"/>
      <c r="AJ320"/>
      <c r="AK320"/>
      <c r="AL320"/>
      <c r="AM320"/>
      <c r="AO320"/>
      <c r="AP320"/>
      <c r="AQ320"/>
      <c r="AR320"/>
      <c r="AS320"/>
      <c r="AW320" s="50"/>
      <c r="BB320" s="1"/>
      <c r="BC320" s="60"/>
      <c r="BD320" s="62"/>
    </row>
    <row r="321" spans="5:56" ht="14.4" customHeight="1" x14ac:dyDescent="0.35">
      <c r="E321" s="1"/>
      <c r="X321" s="31"/>
      <c r="Y321"/>
      <c r="Z321"/>
      <c r="AA321"/>
      <c r="AB321"/>
      <c r="AC321"/>
      <c r="AD321"/>
      <c r="AE321"/>
      <c r="AF321"/>
      <c r="AG321"/>
      <c r="AH321"/>
      <c r="AI321"/>
      <c r="AJ321"/>
      <c r="AK321"/>
      <c r="AL321"/>
      <c r="AM321"/>
      <c r="AO321"/>
      <c r="AP321"/>
      <c r="AQ321"/>
      <c r="AR321"/>
      <c r="AS321"/>
      <c r="AW321" s="50"/>
      <c r="BB321" s="1"/>
      <c r="BC321" s="60"/>
      <c r="BD321" s="62"/>
    </row>
    <row r="322" spans="5:56" ht="14.4" customHeight="1" x14ac:dyDescent="0.35">
      <c r="E322" s="1"/>
      <c r="X322" s="31"/>
      <c r="Y322"/>
      <c r="Z322"/>
      <c r="AA322"/>
      <c r="AB322"/>
      <c r="AC322"/>
      <c r="AD322"/>
      <c r="AE322"/>
      <c r="AF322"/>
      <c r="AG322"/>
      <c r="AH322"/>
      <c r="AI322"/>
      <c r="AJ322"/>
      <c r="AK322"/>
      <c r="AL322"/>
      <c r="AM322"/>
      <c r="AO322"/>
      <c r="AP322"/>
      <c r="AQ322"/>
      <c r="AR322"/>
      <c r="AS322"/>
      <c r="AW322" s="50"/>
      <c r="BB322" s="1"/>
      <c r="BC322" s="60"/>
      <c r="BD322" s="62"/>
    </row>
    <row r="323" spans="5:56" ht="14.4" customHeight="1" x14ac:dyDescent="0.35">
      <c r="E323" s="1"/>
      <c r="X323" s="31"/>
      <c r="Y323"/>
      <c r="Z323"/>
      <c r="AA323"/>
      <c r="AB323"/>
      <c r="AC323"/>
      <c r="AD323"/>
      <c r="AE323"/>
      <c r="AF323"/>
      <c r="AG323"/>
      <c r="AH323"/>
      <c r="AI323"/>
      <c r="AJ323"/>
      <c r="AK323"/>
      <c r="AL323"/>
      <c r="AM323"/>
      <c r="AO323"/>
      <c r="AP323"/>
      <c r="AQ323"/>
      <c r="AR323"/>
      <c r="AS323"/>
      <c r="AW323" s="50"/>
      <c r="BB323" s="1"/>
      <c r="BC323" s="60"/>
      <c r="BD323" s="62"/>
    </row>
    <row r="324" spans="5:56" ht="14.4" customHeight="1" x14ac:dyDescent="0.35">
      <c r="E324" s="1"/>
      <c r="X324" s="31"/>
      <c r="Y324"/>
      <c r="Z324"/>
      <c r="AA324"/>
      <c r="AB324"/>
      <c r="AC324"/>
      <c r="AD324"/>
      <c r="AE324"/>
      <c r="AF324"/>
      <c r="AG324"/>
      <c r="AH324"/>
      <c r="AI324"/>
      <c r="AJ324"/>
      <c r="AK324"/>
      <c r="AL324"/>
      <c r="AM324"/>
      <c r="AO324"/>
      <c r="AP324"/>
      <c r="AQ324"/>
      <c r="AR324"/>
      <c r="AS324"/>
      <c r="AW324" s="50"/>
      <c r="BB324" s="1"/>
      <c r="BC324" s="60"/>
      <c r="BD324" s="62"/>
    </row>
    <row r="325" spans="5:56" ht="14.4" customHeight="1" x14ac:dyDescent="0.35">
      <c r="E325" s="1"/>
      <c r="X325" s="31"/>
      <c r="Y325"/>
      <c r="Z325"/>
      <c r="AA325"/>
      <c r="AB325"/>
      <c r="AC325"/>
      <c r="AD325"/>
      <c r="AE325"/>
      <c r="AF325"/>
      <c r="AG325"/>
      <c r="AH325"/>
      <c r="AI325"/>
      <c r="AJ325"/>
      <c r="AK325"/>
      <c r="AL325"/>
      <c r="AM325"/>
      <c r="AO325"/>
      <c r="AP325"/>
      <c r="AQ325"/>
      <c r="AR325"/>
      <c r="AS325"/>
      <c r="AW325" s="50"/>
      <c r="BB325" s="1"/>
      <c r="BC325" s="60"/>
      <c r="BD325" s="62"/>
    </row>
    <row r="326" spans="5:56" ht="14.4" customHeight="1" x14ac:dyDescent="0.35">
      <c r="E326" s="1"/>
      <c r="S326" s="47"/>
      <c r="T326" s="47"/>
      <c r="U326" s="47"/>
      <c r="V326" s="47"/>
      <c r="W326" s="47"/>
      <c r="X326" s="31"/>
      <c r="Y326"/>
      <c r="Z326"/>
      <c r="AA326"/>
      <c r="AB326"/>
      <c r="AC326"/>
      <c r="AD326"/>
      <c r="AE326"/>
      <c r="AF326"/>
      <c r="AG326"/>
      <c r="AH326"/>
      <c r="AI326"/>
      <c r="AJ326"/>
      <c r="AK326"/>
      <c r="AL326"/>
      <c r="AM326"/>
      <c r="AO326"/>
      <c r="AP326"/>
      <c r="AQ326"/>
      <c r="AR326"/>
      <c r="AS326"/>
      <c r="AW326" s="50"/>
      <c r="BB326" s="1"/>
      <c r="BC326" s="60"/>
      <c r="BD326" s="62"/>
    </row>
    <row r="327" spans="5:56" ht="14.4" customHeight="1" x14ac:dyDescent="0.35">
      <c r="E327" s="1"/>
      <c r="X327" s="31"/>
      <c r="Y327"/>
      <c r="Z327"/>
      <c r="AA327"/>
      <c r="AB327"/>
      <c r="AC327"/>
      <c r="AD327"/>
      <c r="AE327"/>
      <c r="AF327"/>
      <c r="AG327"/>
      <c r="AH327"/>
      <c r="AI327"/>
      <c r="AJ327"/>
      <c r="AK327"/>
      <c r="AL327"/>
      <c r="AM327"/>
      <c r="AO327"/>
      <c r="AP327"/>
      <c r="AQ327"/>
      <c r="AR327"/>
      <c r="AS327"/>
      <c r="AW327" s="50"/>
      <c r="BB327" s="1"/>
      <c r="BC327" s="60"/>
      <c r="BD327" s="62"/>
    </row>
    <row r="328" spans="5:56" ht="14.4" customHeight="1" x14ac:dyDescent="0.35">
      <c r="E328" s="1"/>
      <c r="X328" s="31"/>
      <c r="Y328"/>
      <c r="Z328"/>
      <c r="AA328"/>
      <c r="AB328"/>
      <c r="AC328"/>
      <c r="AD328"/>
      <c r="AE328"/>
      <c r="AF328"/>
      <c r="AG328"/>
      <c r="AH328"/>
      <c r="AI328"/>
      <c r="AJ328"/>
      <c r="AK328"/>
      <c r="AL328"/>
      <c r="AM328"/>
      <c r="AO328"/>
      <c r="AP328"/>
      <c r="AQ328"/>
      <c r="AR328"/>
      <c r="AS328"/>
      <c r="AW328" s="50"/>
      <c r="BB328" s="1"/>
      <c r="BC328" s="60"/>
      <c r="BD328" s="62"/>
    </row>
    <row r="329" spans="5:56" ht="14.4" customHeight="1" x14ac:dyDescent="0.35">
      <c r="E329" s="1"/>
      <c r="X329" s="31"/>
      <c r="Y329"/>
      <c r="Z329"/>
      <c r="AA329"/>
      <c r="AB329"/>
      <c r="AC329"/>
      <c r="AD329"/>
      <c r="AE329"/>
      <c r="AF329"/>
      <c r="AG329"/>
      <c r="AH329"/>
      <c r="AI329"/>
      <c r="AJ329"/>
      <c r="AK329"/>
      <c r="AL329"/>
      <c r="AM329"/>
      <c r="AO329"/>
      <c r="AP329"/>
      <c r="AQ329"/>
      <c r="AR329"/>
      <c r="AS329"/>
      <c r="AW329" s="50"/>
      <c r="BB329" s="1"/>
      <c r="BC329" s="60"/>
      <c r="BD329" s="62"/>
    </row>
    <row r="330" spans="5:56" ht="14.4" customHeight="1" x14ac:dyDescent="0.35">
      <c r="E330" s="1"/>
      <c r="X330" s="31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O330"/>
      <c r="AP330"/>
      <c r="AQ330"/>
      <c r="AR330"/>
      <c r="AS330"/>
      <c r="AW330" s="50"/>
      <c r="BB330" s="1"/>
      <c r="BC330" s="60"/>
      <c r="BD330" s="62"/>
    </row>
    <row r="331" spans="5:56" ht="14.4" customHeight="1" x14ac:dyDescent="0.35">
      <c r="E331" s="1"/>
      <c r="X331" s="31"/>
      <c r="Y331"/>
      <c r="Z331"/>
      <c r="AA331"/>
      <c r="AB331"/>
      <c r="AC331"/>
      <c r="AD331"/>
      <c r="AE331"/>
      <c r="AF331"/>
      <c r="AG331"/>
      <c r="AH331"/>
      <c r="AI331"/>
      <c r="AJ331"/>
      <c r="AK331"/>
      <c r="AL331"/>
      <c r="AM331"/>
      <c r="AO331"/>
      <c r="AP331"/>
      <c r="AQ331"/>
      <c r="AR331"/>
      <c r="AS331"/>
      <c r="AW331" s="50"/>
      <c r="BB331" s="1"/>
      <c r="BC331" s="60"/>
      <c r="BD331" s="62"/>
    </row>
    <row r="332" spans="5:56" ht="14.4" customHeight="1" x14ac:dyDescent="0.35">
      <c r="E332" s="1"/>
      <c r="X332" s="31"/>
      <c r="Y332"/>
      <c r="Z332"/>
      <c r="AA332"/>
      <c r="AB332"/>
      <c r="AC332"/>
      <c r="AD332"/>
      <c r="AE332"/>
      <c r="AF332"/>
      <c r="AG332"/>
      <c r="AH332"/>
      <c r="AI332"/>
      <c r="AJ332"/>
      <c r="AK332"/>
      <c r="AL332"/>
      <c r="AM332"/>
      <c r="AO332"/>
      <c r="AP332"/>
      <c r="AQ332"/>
      <c r="AR332"/>
      <c r="AS332"/>
      <c r="AW332" s="50"/>
      <c r="BB332" s="1"/>
      <c r="BC332" s="60"/>
      <c r="BD332" s="62"/>
    </row>
    <row r="333" spans="5:56" ht="14.4" customHeight="1" x14ac:dyDescent="0.35">
      <c r="E333" s="1"/>
      <c r="X333" s="31"/>
      <c r="Y333"/>
      <c r="Z333"/>
      <c r="AA333"/>
      <c r="AB333"/>
      <c r="AC333"/>
      <c r="AD333"/>
      <c r="AE333"/>
      <c r="AF333"/>
      <c r="AG333"/>
      <c r="AH333"/>
      <c r="AI333"/>
      <c r="AJ333"/>
      <c r="AK333"/>
      <c r="AL333"/>
      <c r="AM333"/>
      <c r="AO333"/>
      <c r="AP333"/>
      <c r="AQ333"/>
      <c r="AR333"/>
      <c r="AS333"/>
      <c r="AW333" s="50"/>
      <c r="BB333" s="1"/>
      <c r="BC333" s="60"/>
      <c r="BD333" s="62"/>
    </row>
    <row r="334" spans="5:56" ht="14.4" customHeight="1" x14ac:dyDescent="0.35">
      <c r="E334" s="1"/>
      <c r="X334" s="31"/>
      <c r="Y334"/>
      <c r="Z334"/>
      <c r="AA334"/>
      <c r="AB334"/>
      <c r="AC334"/>
      <c r="AD334"/>
      <c r="AE334"/>
      <c r="AF334"/>
      <c r="AG334"/>
      <c r="AH334"/>
      <c r="AI334"/>
      <c r="AJ334"/>
      <c r="AK334"/>
      <c r="AL334"/>
      <c r="AM334"/>
      <c r="AO334"/>
      <c r="AP334"/>
      <c r="AQ334"/>
      <c r="AR334"/>
      <c r="AS334"/>
      <c r="AW334" s="50"/>
      <c r="BB334" s="1"/>
      <c r="BC334" s="60"/>
      <c r="BD334" s="62"/>
    </row>
    <row r="335" spans="5:56" ht="14.4" customHeight="1" x14ac:dyDescent="0.35">
      <c r="E335" s="1"/>
      <c r="X335" s="31"/>
      <c r="Y335"/>
      <c r="Z335"/>
      <c r="AA335"/>
      <c r="AB335"/>
      <c r="AC335"/>
      <c r="AD335"/>
      <c r="AE335"/>
      <c r="AF335"/>
      <c r="AG335"/>
      <c r="AH335"/>
      <c r="AI335"/>
      <c r="AJ335"/>
      <c r="AK335"/>
      <c r="AL335"/>
      <c r="AM335"/>
      <c r="AO335"/>
      <c r="AP335"/>
      <c r="AQ335"/>
      <c r="AR335"/>
      <c r="AS335"/>
      <c r="AW335" s="50"/>
      <c r="BB335" s="1"/>
      <c r="BC335" s="60"/>
      <c r="BD335" s="62"/>
    </row>
    <row r="336" spans="5:56" ht="14.4" customHeight="1" x14ac:dyDescent="0.35">
      <c r="E336" s="1"/>
      <c r="X336" s="31"/>
      <c r="Y336"/>
      <c r="Z336"/>
      <c r="AA336"/>
      <c r="AB336"/>
      <c r="AC336"/>
      <c r="AD336"/>
      <c r="AE336"/>
      <c r="AF336"/>
      <c r="AG336"/>
      <c r="AH336"/>
      <c r="AI336"/>
      <c r="AJ336"/>
      <c r="AK336"/>
      <c r="AL336"/>
      <c r="AM336"/>
      <c r="AO336"/>
      <c r="AP336"/>
      <c r="AQ336"/>
      <c r="AR336"/>
      <c r="AS336"/>
      <c r="AW336" s="50"/>
      <c r="BB336" s="1"/>
      <c r="BC336" s="60"/>
      <c r="BD336" s="62"/>
    </row>
    <row r="337" spans="1:56" ht="14.4" customHeight="1" x14ac:dyDescent="0.35">
      <c r="E337" s="1"/>
      <c r="X337" s="31"/>
      <c r="Y337"/>
      <c r="Z337"/>
      <c r="AA337"/>
      <c r="AB337"/>
      <c r="AC337"/>
      <c r="AD337"/>
      <c r="AE337"/>
      <c r="AF337"/>
      <c r="AG337"/>
      <c r="AH337"/>
      <c r="AI337"/>
      <c r="AJ337"/>
      <c r="AK337"/>
      <c r="AL337"/>
      <c r="AM337"/>
      <c r="AO337"/>
      <c r="AP337"/>
      <c r="AQ337"/>
      <c r="AR337"/>
      <c r="AS337"/>
      <c r="AW337" s="50"/>
      <c r="BB337" s="1"/>
      <c r="BC337" s="60"/>
      <c r="BD337" s="62"/>
    </row>
    <row r="338" spans="1:56" ht="14.4" customHeight="1" x14ac:dyDescent="0.35">
      <c r="E338" s="1"/>
      <c r="X338" s="31"/>
      <c r="Y338"/>
      <c r="Z338"/>
      <c r="AA338"/>
      <c r="AB338"/>
      <c r="AC338"/>
      <c r="AD338"/>
      <c r="AE338"/>
      <c r="AF338"/>
      <c r="AG338"/>
      <c r="AH338"/>
      <c r="AI338"/>
      <c r="AJ338"/>
      <c r="AK338"/>
      <c r="AL338"/>
      <c r="AM338"/>
      <c r="AO338"/>
      <c r="AP338"/>
      <c r="AQ338"/>
      <c r="AR338"/>
      <c r="AS338"/>
      <c r="AW338" s="50"/>
      <c r="BB338" s="1"/>
      <c r="BC338" s="60"/>
      <c r="BD338" s="62"/>
    </row>
    <row r="339" spans="1:56" ht="14.4" customHeight="1" x14ac:dyDescent="0.35">
      <c r="E339" s="1"/>
      <c r="X339" s="31"/>
      <c r="Y339"/>
      <c r="Z339"/>
      <c r="AA339"/>
      <c r="AB339"/>
      <c r="AC339"/>
      <c r="AD339"/>
      <c r="AE339"/>
      <c r="AF339"/>
      <c r="AG339"/>
      <c r="AH339"/>
      <c r="AI339"/>
      <c r="AJ339"/>
      <c r="AK339"/>
      <c r="AL339"/>
      <c r="AM339"/>
      <c r="AO339"/>
      <c r="AP339"/>
      <c r="AQ339"/>
      <c r="AR339"/>
      <c r="AS339"/>
      <c r="AW339" s="50"/>
      <c r="BB339" s="1"/>
      <c r="BC339" s="60"/>
      <c r="BD339" s="62"/>
    </row>
    <row r="340" spans="1:56" ht="14.4" customHeight="1" x14ac:dyDescent="0.35">
      <c r="E340" s="1"/>
      <c r="X340" s="31"/>
      <c r="Y340"/>
      <c r="Z340"/>
      <c r="AA340"/>
      <c r="AB340"/>
      <c r="AC340"/>
      <c r="AD340"/>
      <c r="AE340"/>
      <c r="AF340"/>
      <c r="AG340"/>
      <c r="AH340"/>
      <c r="AI340"/>
      <c r="AJ340"/>
      <c r="AK340"/>
      <c r="AL340"/>
      <c r="AM340"/>
      <c r="AO340"/>
      <c r="AP340"/>
      <c r="AQ340"/>
      <c r="AR340"/>
      <c r="AS340"/>
      <c r="AW340" s="50"/>
      <c r="BB340" s="1"/>
      <c r="BC340" s="60"/>
      <c r="BD340" s="62"/>
    </row>
    <row r="341" spans="1:56" ht="14.4" customHeight="1" x14ac:dyDescent="0.35">
      <c r="E341" s="1"/>
      <c r="X341" s="31"/>
      <c r="Y341"/>
      <c r="Z341"/>
      <c r="AA341"/>
      <c r="AB341"/>
      <c r="AC341"/>
      <c r="AD341"/>
      <c r="AE341"/>
      <c r="AF341"/>
      <c r="AG341"/>
      <c r="AH341"/>
      <c r="AI341"/>
      <c r="AJ341"/>
      <c r="AK341"/>
      <c r="AL341"/>
      <c r="AM341"/>
      <c r="AO341"/>
      <c r="AP341"/>
      <c r="AQ341"/>
      <c r="AR341"/>
      <c r="AS341"/>
      <c r="AW341" s="50"/>
      <c r="BB341" s="1"/>
      <c r="BC341" s="60"/>
      <c r="BD341" s="62"/>
    </row>
    <row r="342" spans="1:56" ht="14.4" customHeight="1" x14ac:dyDescent="0.35">
      <c r="E342" s="1"/>
      <c r="X342" s="31"/>
      <c r="Y342"/>
      <c r="Z342"/>
      <c r="AA342"/>
      <c r="AB342"/>
      <c r="AC342"/>
      <c r="AD342"/>
      <c r="AE342"/>
      <c r="AF342"/>
      <c r="AG342"/>
      <c r="AH342"/>
      <c r="AI342"/>
      <c r="AJ342"/>
      <c r="AK342"/>
      <c r="AL342"/>
      <c r="AM342"/>
      <c r="AO342"/>
      <c r="AP342"/>
      <c r="AQ342"/>
      <c r="AR342"/>
      <c r="AS342"/>
      <c r="AW342" s="50"/>
      <c r="BB342" s="1"/>
      <c r="BC342" s="60"/>
      <c r="BD342" s="62"/>
    </row>
    <row r="343" spans="1:56" ht="14.4" customHeight="1" x14ac:dyDescent="0.35">
      <c r="E343" s="1"/>
      <c r="X343" s="31"/>
      <c r="Y343"/>
      <c r="Z343"/>
      <c r="AA343"/>
      <c r="AB343"/>
      <c r="AC343"/>
      <c r="AD343"/>
      <c r="AE343"/>
      <c r="AF343"/>
      <c r="AG343"/>
      <c r="AH343"/>
      <c r="AI343"/>
      <c r="AJ343"/>
      <c r="AK343"/>
      <c r="AL343"/>
      <c r="AM343"/>
      <c r="AO343"/>
      <c r="AP343"/>
      <c r="AQ343"/>
      <c r="AR343"/>
      <c r="AS343"/>
      <c r="AW343" s="50"/>
      <c r="BB343" s="1"/>
      <c r="BC343" s="60"/>
      <c r="BD343" s="62"/>
    </row>
    <row r="344" spans="1:56" ht="14.4" customHeight="1" x14ac:dyDescent="0.35">
      <c r="A344" s="2"/>
      <c r="E344" s="1"/>
      <c r="X344" s="31"/>
      <c r="Y344"/>
      <c r="Z344"/>
      <c r="AA344"/>
      <c r="AB344"/>
      <c r="AC344"/>
      <c r="AD344"/>
      <c r="AE344"/>
      <c r="AF344"/>
      <c r="AG344"/>
      <c r="AH344"/>
      <c r="AI344"/>
      <c r="AJ344"/>
      <c r="AK344"/>
      <c r="AL344"/>
      <c r="AM344"/>
      <c r="AO344"/>
      <c r="AP344"/>
      <c r="AQ344"/>
      <c r="AR344"/>
      <c r="AS344"/>
      <c r="AW344" s="50"/>
      <c r="BB344" s="1"/>
      <c r="BC344" s="60"/>
      <c r="BD344" s="62"/>
    </row>
    <row r="345" spans="1:56" ht="14.4" customHeight="1" x14ac:dyDescent="0.35">
      <c r="E345" s="1"/>
      <c r="X345" s="31"/>
      <c r="Y345"/>
      <c r="Z345"/>
      <c r="AA345"/>
      <c r="AB345"/>
      <c r="AC345"/>
      <c r="AD345"/>
      <c r="AE345"/>
      <c r="AF345"/>
      <c r="AG345"/>
      <c r="AH345"/>
      <c r="AI345"/>
      <c r="AJ345"/>
      <c r="AK345"/>
      <c r="AL345"/>
      <c r="AM345"/>
      <c r="AO345"/>
      <c r="AP345"/>
      <c r="AQ345"/>
      <c r="AR345"/>
      <c r="AS345"/>
      <c r="AW345" s="50"/>
      <c r="BB345" s="1"/>
      <c r="BC345" s="60"/>
      <c r="BD345" s="62"/>
    </row>
    <row r="346" spans="1:56" ht="14.4" customHeight="1" x14ac:dyDescent="0.35">
      <c r="E346" s="1"/>
      <c r="X346" s="31"/>
      <c r="Y346"/>
      <c r="Z346"/>
      <c r="AA346"/>
      <c r="AB346"/>
      <c r="AC346"/>
      <c r="AD346"/>
      <c r="AE346"/>
      <c r="AF346"/>
      <c r="AG346"/>
      <c r="AH346"/>
      <c r="AI346"/>
      <c r="AJ346"/>
      <c r="AK346"/>
      <c r="AL346"/>
      <c r="AM346"/>
      <c r="AO346"/>
      <c r="AP346"/>
      <c r="AQ346"/>
      <c r="AR346"/>
      <c r="AS346"/>
      <c r="AW346" s="50"/>
      <c r="BB346" s="1"/>
      <c r="BC346" s="60"/>
      <c r="BD346" s="62"/>
    </row>
    <row r="347" spans="1:56" ht="14.4" customHeight="1" x14ac:dyDescent="0.35">
      <c r="E347" s="1"/>
      <c r="X347" s="31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  <c r="AM347"/>
      <c r="AO347"/>
      <c r="AP347"/>
      <c r="AQ347"/>
      <c r="AR347"/>
      <c r="AS347"/>
      <c r="AW347" s="50"/>
      <c r="BB347" s="1"/>
      <c r="BC347" s="60"/>
      <c r="BD347" s="62"/>
    </row>
    <row r="348" spans="1:56" ht="14.4" customHeight="1" x14ac:dyDescent="0.35">
      <c r="A348" s="2"/>
      <c r="E348" s="1"/>
      <c r="X348" s="31"/>
      <c r="Y348"/>
      <c r="Z348"/>
      <c r="AA348"/>
      <c r="AB348"/>
      <c r="AC348"/>
      <c r="AD348"/>
      <c r="AE348"/>
      <c r="AF348"/>
      <c r="AG348"/>
      <c r="AH348"/>
      <c r="AI348"/>
      <c r="AJ348"/>
      <c r="AK348"/>
      <c r="AL348"/>
      <c r="AM348"/>
      <c r="AO348"/>
      <c r="AP348"/>
      <c r="AQ348"/>
      <c r="AR348"/>
      <c r="AS348"/>
      <c r="AW348" s="50"/>
      <c r="BB348" s="1"/>
      <c r="BC348" s="60"/>
      <c r="BD348" s="62"/>
    </row>
    <row r="349" spans="1:56" ht="14.4" customHeight="1" x14ac:dyDescent="0.35">
      <c r="E349" s="1"/>
      <c r="X349" s="31"/>
      <c r="Y349"/>
      <c r="Z349"/>
      <c r="AA349"/>
      <c r="AB349"/>
      <c r="AC349"/>
      <c r="AD349"/>
      <c r="AE349"/>
      <c r="AF349"/>
      <c r="AG349"/>
      <c r="AH349"/>
      <c r="AI349"/>
      <c r="AJ349"/>
      <c r="AK349"/>
      <c r="AL349"/>
      <c r="AM349"/>
      <c r="AO349"/>
      <c r="AP349"/>
      <c r="AQ349"/>
      <c r="AR349"/>
      <c r="AS349"/>
      <c r="AW349" s="50"/>
      <c r="BB349" s="1"/>
      <c r="BC349" s="60"/>
      <c r="BD349" s="62"/>
    </row>
    <row r="350" spans="1:56" ht="14.4" customHeight="1" x14ac:dyDescent="0.35">
      <c r="E350" s="1"/>
      <c r="X350" s="31"/>
      <c r="Y350"/>
      <c r="Z350"/>
      <c r="AA350"/>
      <c r="AB350"/>
      <c r="AC350"/>
      <c r="AD350"/>
      <c r="AE350"/>
      <c r="AF350"/>
      <c r="AG350"/>
      <c r="AH350"/>
      <c r="AI350"/>
      <c r="AJ350"/>
      <c r="AK350"/>
      <c r="AL350"/>
      <c r="AM350"/>
      <c r="AO350"/>
      <c r="AP350"/>
      <c r="AQ350"/>
      <c r="AR350"/>
      <c r="AS350"/>
      <c r="AW350" s="50"/>
      <c r="BB350" s="1"/>
      <c r="BC350" s="60"/>
      <c r="BD350" s="62"/>
    </row>
    <row r="351" spans="1:56" ht="14.4" customHeight="1" x14ac:dyDescent="0.35">
      <c r="E351" s="1"/>
      <c r="X351" s="3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  <c r="AL351"/>
      <c r="AM351"/>
      <c r="AO351"/>
      <c r="AP351"/>
      <c r="AQ351"/>
      <c r="AR351"/>
      <c r="AS351"/>
      <c r="AW351" s="50"/>
      <c r="BB351" s="1"/>
      <c r="BC351" s="60"/>
      <c r="BD351" s="62"/>
    </row>
    <row r="352" spans="1:56" ht="14.4" customHeight="1" x14ac:dyDescent="0.35">
      <c r="E352" s="1"/>
      <c r="X352" s="31"/>
      <c r="Y352"/>
      <c r="Z352"/>
      <c r="AA352"/>
      <c r="AB352"/>
      <c r="AC352"/>
      <c r="AD352"/>
      <c r="AE352"/>
      <c r="AF352"/>
      <c r="AG352"/>
      <c r="AH352"/>
      <c r="AI352"/>
      <c r="AJ352"/>
      <c r="AK352"/>
      <c r="AL352"/>
      <c r="AM352"/>
      <c r="AO352"/>
      <c r="AP352"/>
      <c r="AQ352"/>
      <c r="AR352"/>
      <c r="AS352"/>
      <c r="AW352" s="50"/>
      <c r="BB352" s="1"/>
      <c r="BC352" s="60"/>
      <c r="BD352" s="62"/>
    </row>
    <row r="353" spans="5:56" ht="14.4" customHeight="1" x14ac:dyDescent="0.35">
      <c r="E353" s="1"/>
      <c r="X353" s="31"/>
      <c r="Y353"/>
      <c r="Z353"/>
      <c r="AA353"/>
      <c r="AB353"/>
      <c r="AC353"/>
      <c r="AD353"/>
      <c r="AE353"/>
      <c r="AF353"/>
      <c r="AG353"/>
      <c r="AH353"/>
      <c r="AI353"/>
      <c r="AJ353"/>
      <c r="AK353"/>
      <c r="AL353"/>
      <c r="AM353"/>
      <c r="AO353"/>
      <c r="AP353"/>
      <c r="AQ353"/>
      <c r="AR353"/>
      <c r="AS353"/>
      <c r="AW353" s="50"/>
      <c r="BB353" s="1"/>
      <c r="BC353" s="60"/>
      <c r="BD353" s="62"/>
    </row>
    <row r="354" spans="5:56" ht="14.4" customHeight="1" x14ac:dyDescent="0.35">
      <c r="E354" s="1"/>
      <c r="X354" s="31"/>
      <c r="Y354"/>
      <c r="Z354"/>
      <c r="AA354"/>
      <c r="AB354"/>
      <c r="AC354"/>
      <c r="AD354"/>
      <c r="AE354"/>
      <c r="AF354"/>
      <c r="AG354"/>
      <c r="AH354"/>
      <c r="AI354"/>
      <c r="AJ354"/>
      <c r="AK354"/>
      <c r="AL354"/>
      <c r="AM354"/>
      <c r="AO354"/>
      <c r="AP354"/>
      <c r="AQ354"/>
      <c r="AR354"/>
      <c r="AS354"/>
      <c r="AW354" s="50"/>
      <c r="BB354" s="1"/>
      <c r="BC354" s="60"/>
      <c r="BD354" s="62"/>
    </row>
    <row r="355" spans="5:56" ht="14.4" customHeight="1" x14ac:dyDescent="0.35">
      <c r="E355" s="1"/>
      <c r="X355" s="31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  <c r="AM355"/>
      <c r="AO355"/>
      <c r="AP355"/>
      <c r="AQ355"/>
      <c r="AR355"/>
      <c r="AS355"/>
      <c r="AW355" s="50"/>
      <c r="BB355" s="1"/>
      <c r="BC355" s="60"/>
      <c r="BD355" s="62"/>
    </row>
    <row r="356" spans="5:56" ht="14.4" customHeight="1" x14ac:dyDescent="0.35">
      <c r="E356" s="1"/>
      <c r="X356" s="31"/>
      <c r="Y356"/>
      <c r="Z356"/>
      <c r="AA356"/>
      <c r="AB356"/>
      <c r="AC356"/>
      <c r="AD356"/>
      <c r="AE356"/>
      <c r="AF356"/>
      <c r="AG356"/>
      <c r="AH356"/>
      <c r="AI356"/>
      <c r="AJ356"/>
      <c r="AK356"/>
      <c r="AL356"/>
      <c r="AM356"/>
      <c r="AO356"/>
      <c r="AP356"/>
      <c r="AQ356"/>
      <c r="AR356"/>
      <c r="AS356"/>
      <c r="AW356" s="50"/>
      <c r="BB356" s="1"/>
      <c r="BC356" s="60"/>
      <c r="BD356" s="62"/>
    </row>
    <row r="357" spans="5:56" ht="14.4" customHeight="1" x14ac:dyDescent="0.35">
      <c r="E357" s="1"/>
      <c r="X357" s="31"/>
      <c r="Y357"/>
      <c r="Z357"/>
      <c r="AA357"/>
      <c r="AB357"/>
      <c r="AC357"/>
      <c r="AD357"/>
      <c r="AE357"/>
      <c r="AF357"/>
      <c r="AG357"/>
      <c r="AH357"/>
      <c r="AI357"/>
      <c r="AJ357"/>
      <c r="AK357"/>
      <c r="AL357"/>
      <c r="AM357"/>
      <c r="AO357"/>
      <c r="AP357"/>
      <c r="AQ357"/>
      <c r="AR357"/>
      <c r="AS357"/>
      <c r="AW357" s="50"/>
      <c r="BB357" s="1"/>
      <c r="BC357" s="60"/>
      <c r="BD357" s="62"/>
    </row>
    <row r="358" spans="5:56" ht="14.4" customHeight="1" x14ac:dyDescent="0.35">
      <c r="E358" s="1"/>
      <c r="X358" s="31"/>
      <c r="Y358"/>
      <c r="Z358"/>
      <c r="AA358"/>
      <c r="AB358"/>
      <c r="AC358"/>
      <c r="AD358"/>
      <c r="AE358"/>
      <c r="AF358"/>
      <c r="AG358"/>
      <c r="AH358"/>
      <c r="AI358"/>
      <c r="AJ358"/>
      <c r="AK358"/>
      <c r="AL358"/>
      <c r="AM358"/>
      <c r="AO358"/>
      <c r="AP358"/>
      <c r="AQ358"/>
      <c r="AR358"/>
      <c r="AS358"/>
      <c r="AW358" s="50"/>
      <c r="BB358" s="1"/>
      <c r="BC358" s="60"/>
      <c r="BD358" s="62"/>
    </row>
    <row r="359" spans="5:56" ht="14.4" customHeight="1" x14ac:dyDescent="0.35">
      <c r="E359" s="1"/>
      <c r="X359" s="31"/>
      <c r="Y359"/>
      <c r="Z359"/>
      <c r="AA359"/>
      <c r="AB359"/>
      <c r="AC359"/>
      <c r="AD359"/>
      <c r="AE359"/>
      <c r="AF359"/>
      <c r="AG359"/>
      <c r="AH359"/>
      <c r="AI359"/>
      <c r="AJ359"/>
      <c r="AK359"/>
      <c r="AL359"/>
      <c r="AM359"/>
      <c r="AO359"/>
      <c r="AP359"/>
      <c r="AQ359"/>
      <c r="AR359"/>
      <c r="AS359"/>
      <c r="AW359" s="50"/>
      <c r="BB359" s="1"/>
      <c r="BC359" s="60"/>
      <c r="BD359" s="62"/>
    </row>
    <row r="360" spans="5:56" ht="14.4" customHeight="1" x14ac:dyDescent="0.35">
      <c r="E360" s="1"/>
      <c r="X360" s="31"/>
      <c r="Y360"/>
      <c r="Z360"/>
      <c r="AA360"/>
      <c r="AB360"/>
      <c r="AC360"/>
      <c r="AD360"/>
      <c r="AE360"/>
      <c r="AF360"/>
      <c r="AG360"/>
      <c r="AH360"/>
      <c r="AI360"/>
      <c r="AJ360"/>
      <c r="AK360"/>
      <c r="AL360"/>
      <c r="AM360"/>
      <c r="AO360"/>
      <c r="AP360"/>
      <c r="AQ360"/>
      <c r="AR360"/>
      <c r="AS360"/>
      <c r="AW360" s="50"/>
      <c r="BB360" s="1"/>
      <c r="BC360" s="60"/>
      <c r="BD360" s="62"/>
    </row>
    <row r="361" spans="5:56" ht="14.4" customHeight="1" x14ac:dyDescent="0.35">
      <c r="E361" s="1"/>
      <c r="X361" s="3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  <c r="AM361"/>
      <c r="AO361"/>
      <c r="AP361"/>
      <c r="AQ361"/>
      <c r="AR361"/>
      <c r="AS361"/>
      <c r="AW361" s="50"/>
      <c r="BB361" s="1"/>
      <c r="BC361" s="60"/>
      <c r="BD361" s="62"/>
    </row>
    <row r="362" spans="5:56" ht="14.4" customHeight="1" x14ac:dyDescent="0.35">
      <c r="E362" s="1"/>
      <c r="X362" s="31"/>
      <c r="Y362"/>
      <c r="Z362"/>
      <c r="AA362"/>
      <c r="AB362"/>
      <c r="AC362"/>
      <c r="AD362"/>
      <c r="AE362"/>
      <c r="AF362"/>
      <c r="AG362"/>
      <c r="AH362"/>
      <c r="AI362"/>
      <c r="AJ362"/>
      <c r="AK362"/>
      <c r="AL362"/>
      <c r="AM362"/>
      <c r="AO362"/>
      <c r="AP362"/>
      <c r="AQ362"/>
      <c r="AR362"/>
      <c r="AS362"/>
      <c r="AW362" s="50"/>
      <c r="BB362" s="1"/>
      <c r="BC362" s="60"/>
      <c r="BD362" s="62"/>
    </row>
    <row r="363" spans="5:56" ht="14.4" customHeight="1" x14ac:dyDescent="0.35">
      <c r="E363" s="1"/>
      <c r="X363" s="31"/>
      <c r="Y363"/>
      <c r="Z363"/>
      <c r="AA363"/>
      <c r="AB363"/>
      <c r="AC363"/>
      <c r="AD363"/>
      <c r="AE363"/>
      <c r="AF363"/>
      <c r="AG363"/>
      <c r="AH363"/>
      <c r="AI363"/>
      <c r="AJ363"/>
      <c r="AK363"/>
      <c r="AL363"/>
      <c r="AM363"/>
      <c r="AO363"/>
      <c r="AP363"/>
      <c r="AQ363"/>
      <c r="AR363"/>
      <c r="AS363"/>
      <c r="AW363" s="50"/>
      <c r="BB363" s="1"/>
      <c r="BC363" s="60"/>
      <c r="BD363" s="62"/>
    </row>
    <row r="364" spans="5:56" ht="14.4" customHeight="1" x14ac:dyDescent="0.35">
      <c r="E364" s="1"/>
      <c r="X364" s="31"/>
      <c r="Y364"/>
      <c r="Z364"/>
      <c r="AA364"/>
      <c r="AB364"/>
      <c r="AC364"/>
      <c r="AD364"/>
      <c r="AE364"/>
      <c r="AF364"/>
      <c r="AG364"/>
      <c r="AH364"/>
      <c r="AI364"/>
      <c r="AJ364"/>
      <c r="AK364"/>
      <c r="AL364"/>
      <c r="AM364"/>
      <c r="AO364"/>
      <c r="AP364"/>
      <c r="AQ364"/>
      <c r="AR364"/>
      <c r="AS364"/>
      <c r="AW364" s="50"/>
      <c r="BB364" s="1"/>
      <c r="BC364" s="60"/>
      <c r="BD364" s="62"/>
    </row>
    <row r="365" spans="5:56" ht="14.4" customHeight="1" x14ac:dyDescent="0.35">
      <c r="E365" s="1"/>
      <c r="X365" s="31"/>
      <c r="Y365"/>
      <c r="Z365"/>
      <c r="AA365"/>
      <c r="AB365"/>
      <c r="AC365"/>
      <c r="AD365"/>
      <c r="AE365"/>
      <c r="AF365"/>
      <c r="AG365"/>
      <c r="AH365"/>
      <c r="AI365"/>
      <c r="AJ365"/>
      <c r="AK365"/>
      <c r="AL365"/>
      <c r="AM365"/>
      <c r="AO365"/>
      <c r="AP365"/>
      <c r="AQ365"/>
      <c r="AR365"/>
      <c r="AS365"/>
      <c r="AW365" s="50"/>
      <c r="BB365" s="1"/>
      <c r="BC365" s="60"/>
      <c r="BD365" s="62"/>
    </row>
    <row r="366" spans="5:56" ht="14.4" customHeight="1" x14ac:dyDescent="0.35">
      <c r="E366" s="1"/>
      <c r="X366" s="31"/>
      <c r="Y366"/>
      <c r="Z366"/>
      <c r="AA366"/>
      <c r="AB366"/>
      <c r="AC366"/>
      <c r="AD366"/>
      <c r="AE366"/>
      <c r="AF366"/>
      <c r="AG366"/>
      <c r="AH366"/>
      <c r="AI366"/>
      <c r="AJ366"/>
      <c r="AK366"/>
      <c r="AL366"/>
      <c r="AM366"/>
      <c r="AO366"/>
      <c r="AP366"/>
      <c r="AQ366"/>
      <c r="AR366"/>
      <c r="AS366"/>
      <c r="AW366" s="50"/>
      <c r="BB366" s="1"/>
      <c r="BC366" s="60"/>
      <c r="BD366" s="62"/>
    </row>
    <row r="367" spans="5:56" ht="14.4" customHeight="1" x14ac:dyDescent="0.35">
      <c r="E367" s="1"/>
      <c r="X367" s="31"/>
      <c r="Y367"/>
      <c r="Z367"/>
      <c r="AA367"/>
      <c r="AB367"/>
      <c r="AC367"/>
      <c r="AD367"/>
      <c r="AE367"/>
      <c r="AF367"/>
      <c r="AG367"/>
      <c r="AH367"/>
      <c r="AI367"/>
      <c r="AJ367"/>
      <c r="AK367"/>
      <c r="AL367"/>
      <c r="AM367"/>
      <c r="AO367"/>
      <c r="AP367"/>
      <c r="AQ367"/>
      <c r="AR367"/>
      <c r="AS367"/>
      <c r="AW367" s="50"/>
      <c r="BB367" s="1"/>
      <c r="BC367" s="60"/>
      <c r="BD367" s="62"/>
    </row>
    <row r="368" spans="5:56" ht="14.4" customHeight="1" x14ac:dyDescent="0.35">
      <c r="E368" s="1"/>
      <c r="X368" s="31"/>
      <c r="Y368"/>
      <c r="Z368"/>
      <c r="AA368"/>
      <c r="AB368"/>
      <c r="AC368"/>
      <c r="AD368"/>
      <c r="AE368"/>
      <c r="AF368"/>
      <c r="AG368"/>
      <c r="AH368"/>
      <c r="AI368"/>
      <c r="AJ368"/>
      <c r="AK368"/>
      <c r="AL368"/>
      <c r="AM368"/>
      <c r="AO368"/>
      <c r="AP368"/>
      <c r="AQ368"/>
      <c r="AR368"/>
      <c r="AS368"/>
      <c r="AW368" s="50"/>
      <c r="BB368" s="1"/>
      <c r="BC368" s="60"/>
      <c r="BD368" s="62"/>
    </row>
    <row r="369" spans="5:56" ht="14.4" customHeight="1" x14ac:dyDescent="0.35">
      <c r="E369" s="1"/>
      <c r="X369" s="31"/>
      <c r="Y369"/>
      <c r="Z369"/>
      <c r="AA369"/>
      <c r="AB369"/>
      <c r="AC369"/>
      <c r="AD369"/>
      <c r="AE369"/>
      <c r="AF369"/>
      <c r="AG369"/>
      <c r="AH369"/>
      <c r="AI369"/>
      <c r="AJ369"/>
      <c r="AK369"/>
      <c r="AL369"/>
      <c r="AM369"/>
      <c r="AO369"/>
      <c r="AP369"/>
      <c r="AQ369"/>
      <c r="AR369"/>
      <c r="AS369"/>
      <c r="AW369" s="50"/>
      <c r="BB369" s="1"/>
      <c r="BC369" s="60"/>
      <c r="BD369" s="62"/>
    </row>
    <row r="370" spans="5:56" ht="14.4" customHeight="1" x14ac:dyDescent="0.35">
      <c r="E370" s="1"/>
      <c r="X370" s="31"/>
      <c r="Y370"/>
      <c r="Z370"/>
      <c r="AA370"/>
      <c r="AB370"/>
      <c r="AC370"/>
      <c r="AD370"/>
      <c r="AE370"/>
      <c r="AF370"/>
      <c r="AG370"/>
      <c r="AH370"/>
      <c r="AI370"/>
      <c r="AJ370"/>
      <c r="AK370"/>
      <c r="AL370"/>
      <c r="AM370"/>
      <c r="AO370"/>
      <c r="AP370"/>
      <c r="AQ370"/>
      <c r="AR370"/>
      <c r="AS370"/>
      <c r="AW370" s="50"/>
      <c r="BB370" s="1"/>
      <c r="BC370" s="60"/>
      <c r="BD370" s="62"/>
    </row>
    <row r="371" spans="5:56" ht="14.4" customHeight="1" x14ac:dyDescent="0.35">
      <c r="E371" s="1"/>
      <c r="X371" s="31"/>
      <c r="Y371"/>
      <c r="Z371"/>
      <c r="AA371"/>
      <c r="AB371"/>
      <c r="AC371"/>
      <c r="AD371"/>
      <c r="AE371"/>
      <c r="AF371"/>
      <c r="AG371"/>
      <c r="AH371"/>
      <c r="AI371"/>
      <c r="AJ371"/>
      <c r="AK371"/>
      <c r="AL371"/>
      <c r="AM371"/>
      <c r="AO371"/>
      <c r="AP371"/>
      <c r="AQ371"/>
      <c r="AR371"/>
      <c r="AS371"/>
      <c r="AW371" s="50"/>
      <c r="BB371" s="1"/>
      <c r="BC371" s="60"/>
      <c r="BD371" s="62"/>
    </row>
    <row r="372" spans="5:56" ht="14.4" customHeight="1" x14ac:dyDescent="0.35">
      <c r="E372" s="1"/>
      <c r="X372" s="31"/>
      <c r="Y372"/>
      <c r="Z372"/>
      <c r="AA372"/>
      <c r="AB372"/>
      <c r="AC372"/>
      <c r="AD372"/>
      <c r="AE372"/>
      <c r="AF372"/>
      <c r="AG372"/>
      <c r="AH372"/>
      <c r="AI372"/>
      <c r="AJ372"/>
      <c r="AK372"/>
      <c r="AL372"/>
      <c r="AM372"/>
      <c r="AO372"/>
      <c r="AP372"/>
      <c r="AQ372"/>
      <c r="AR372"/>
      <c r="AS372"/>
      <c r="AW372" s="50"/>
      <c r="BB372" s="1"/>
      <c r="BC372" s="60"/>
      <c r="BD372" s="62"/>
    </row>
    <row r="373" spans="5:56" ht="14.4" customHeight="1" x14ac:dyDescent="0.35">
      <c r="E373" s="1"/>
      <c r="X373" s="31"/>
      <c r="Y373"/>
      <c r="Z373"/>
      <c r="AA373"/>
      <c r="AB373"/>
      <c r="AC373"/>
      <c r="AD373"/>
      <c r="AE373"/>
      <c r="AF373"/>
      <c r="AG373"/>
      <c r="AH373"/>
      <c r="AI373"/>
      <c r="AJ373"/>
      <c r="AK373"/>
      <c r="AL373"/>
      <c r="AM373"/>
      <c r="AO373"/>
      <c r="AP373"/>
      <c r="AQ373"/>
      <c r="AR373"/>
      <c r="AS373"/>
      <c r="AW373" s="50"/>
      <c r="BB373" s="1"/>
      <c r="BC373" s="60"/>
      <c r="BD373" s="62"/>
    </row>
    <row r="374" spans="5:56" ht="14.4" customHeight="1" x14ac:dyDescent="0.35">
      <c r="E374" s="1"/>
      <c r="X374" s="31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O374"/>
      <c r="AP374"/>
      <c r="AQ374"/>
      <c r="AR374"/>
      <c r="AS374"/>
      <c r="AW374" s="50"/>
      <c r="BB374" s="1"/>
      <c r="BC374" s="60"/>
      <c r="BD374" s="62"/>
    </row>
    <row r="375" spans="5:56" ht="14.4" customHeight="1" x14ac:dyDescent="0.35">
      <c r="E375" s="1"/>
      <c r="X375" s="31"/>
      <c r="Y375"/>
      <c r="Z375"/>
      <c r="AA375"/>
      <c r="AB375"/>
      <c r="AC375"/>
      <c r="AD375"/>
      <c r="AE375"/>
      <c r="AF375"/>
      <c r="AG375"/>
      <c r="AH375"/>
      <c r="AI375"/>
      <c r="AJ375"/>
      <c r="AK375"/>
      <c r="AL375"/>
      <c r="AM375"/>
      <c r="AO375"/>
      <c r="AP375"/>
      <c r="AQ375"/>
      <c r="AR375"/>
      <c r="AS375"/>
      <c r="AW375" s="50"/>
      <c r="BB375" s="1"/>
      <c r="BC375" s="60"/>
      <c r="BD375" s="62"/>
    </row>
    <row r="376" spans="5:56" ht="14.4" customHeight="1" x14ac:dyDescent="0.35">
      <c r="E376" s="1"/>
      <c r="X376" s="31"/>
      <c r="Y376"/>
      <c r="Z376"/>
      <c r="AA376"/>
      <c r="AB376"/>
      <c r="AC376"/>
      <c r="AD376"/>
      <c r="AE376"/>
      <c r="AF376"/>
      <c r="AG376"/>
      <c r="AH376"/>
      <c r="AI376"/>
      <c r="AJ376"/>
      <c r="AK376"/>
      <c r="AL376"/>
      <c r="AM376"/>
      <c r="AO376"/>
      <c r="AP376"/>
      <c r="AQ376"/>
      <c r="AR376"/>
      <c r="AS376"/>
      <c r="AW376" s="50"/>
      <c r="BB376" s="1"/>
      <c r="BC376" s="60"/>
      <c r="BD376" s="62"/>
    </row>
    <row r="377" spans="5:56" ht="14.4" customHeight="1" x14ac:dyDescent="0.35">
      <c r="E377" s="1"/>
      <c r="X377" s="31"/>
      <c r="Y377"/>
      <c r="Z377"/>
      <c r="AA377"/>
      <c r="AB377"/>
      <c r="AC377"/>
      <c r="AD377"/>
      <c r="AE377"/>
      <c r="AF377"/>
      <c r="AG377"/>
      <c r="AH377"/>
      <c r="AI377"/>
      <c r="AJ377"/>
      <c r="AK377"/>
      <c r="AL377"/>
      <c r="AM377"/>
      <c r="AO377"/>
      <c r="AP377"/>
      <c r="AQ377"/>
      <c r="AR377"/>
      <c r="AS377"/>
      <c r="AW377" s="50"/>
      <c r="BB377" s="1"/>
      <c r="BC377" s="60"/>
      <c r="BD377" s="62"/>
    </row>
    <row r="378" spans="5:56" ht="14.4" customHeight="1" x14ac:dyDescent="0.35">
      <c r="E378" s="1"/>
      <c r="X378" s="31"/>
      <c r="Y378"/>
      <c r="Z378"/>
      <c r="AA378"/>
      <c r="AB378"/>
      <c r="AC378"/>
      <c r="AD378"/>
      <c r="AE378"/>
      <c r="AF378"/>
      <c r="AG378"/>
      <c r="AH378"/>
      <c r="AI378"/>
      <c r="AJ378"/>
      <c r="AK378"/>
      <c r="AL378"/>
      <c r="AM378"/>
      <c r="AO378"/>
      <c r="AP378"/>
      <c r="AQ378"/>
      <c r="AR378"/>
      <c r="AS378"/>
      <c r="AW378" s="50"/>
      <c r="BB378" s="1"/>
      <c r="BC378" s="60"/>
      <c r="BD378" s="62"/>
    </row>
    <row r="379" spans="5:56" ht="14.4" customHeight="1" x14ac:dyDescent="0.35">
      <c r="E379" s="1"/>
      <c r="X379" s="31"/>
      <c r="Y379"/>
      <c r="Z379"/>
      <c r="AA379"/>
      <c r="AB379"/>
      <c r="AC379"/>
      <c r="AD379"/>
      <c r="AE379"/>
      <c r="AF379"/>
      <c r="AG379"/>
      <c r="AH379"/>
      <c r="AI379"/>
      <c r="AJ379"/>
      <c r="AK379"/>
      <c r="AL379"/>
      <c r="AM379"/>
      <c r="AO379"/>
      <c r="AP379"/>
      <c r="AQ379"/>
      <c r="AR379"/>
      <c r="AS379"/>
      <c r="AW379" s="50"/>
      <c r="BB379" s="1"/>
      <c r="BC379" s="60"/>
      <c r="BD379" s="62"/>
    </row>
    <row r="380" spans="5:56" ht="14.4" customHeight="1" x14ac:dyDescent="0.35">
      <c r="E380" s="1"/>
      <c r="X380" s="31"/>
      <c r="Y380"/>
      <c r="Z380"/>
      <c r="AA380"/>
      <c r="AB380"/>
      <c r="AC380"/>
      <c r="AD380"/>
      <c r="AE380"/>
      <c r="AF380"/>
      <c r="AG380"/>
      <c r="AH380"/>
      <c r="AI380"/>
      <c r="AJ380"/>
      <c r="AK380"/>
      <c r="AL380"/>
      <c r="AM380"/>
      <c r="AO380"/>
      <c r="AP380"/>
      <c r="AQ380"/>
      <c r="AR380"/>
      <c r="AS380"/>
      <c r="AW380" s="50"/>
      <c r="BB380" s="1"/>
      <c r="BC380" s="60"/>
      <c r="BD380" s="62"/>
    </row>
    <row r="381" spans="5:56" ht="14.4" customHeight="1" x14ac:dyDescent="0.35">
      <c r="E381" s="1"/>
      <c r="X381" s="31"/>
      <c r="Y381"/>
      <c r="Z381"/>
      <c r="AA381"/>
      <c r="AB381"/>
      <c r="AC381"/>
      <c r="AD381"/>
      <c r="AE381"/>
      <c r="AF381"/>
      <c r="AG381"/>
      <c r="AH381"/>
      <c r="AI381"/>
      <c r="AJ381"/>
      <c r="AK381"/>
      <c r="AL381"/>
      <c r="AM381"/>
      <c r="AO381"/>
      <c r="AP381"/>
      <c r="AQ381"/>
      <c r="AR381"/>
      <c r="AS381"/>
      <c r="AW381" s="50"/>
      <c r="BB381" s="1"/>
      <c r="BC381" s="60"/>
      <c r="BD381" s="62"/>
    </row>
    <row r="382" spans="5:56" ht="14.4" customHeight="1" x14ac:dyDescent="0.35">
      <c r="E382" s="1"/>
      <c r="X382" s="31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O382"/>
      <c r="AP382"/>
      <c r="AQ382"/>
      <c r="AR382"/>
      <c r="AS382"/>
      <c r="AW382" s="50"/>
      <c r="BB382" s="1"/>
      <c r="BC382" s="60"/>
      <c r="BD382" s="62"/>
    </row>
    <row r="383" spans="5:56" ht="14.4" customHeight="1" x14ac:dyDescent="0.35">
      <c r="E383" s="1"/>
      <c r="X383" s="31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O383"/>
      <c r="AP383"/>
      <c r="AQ383"/>
      <c r="AR383"/>
      <c r="AS383"/>
      <c r="AW383" s="50"/>
      <c r="BB383" s="1"/>
      <c r="BC383" s="60"/>
      <c r="BD383" s="62"/>
    </row>
    <row r="384" spans="5:56" ht="14.4" customHeight="1" x14ac:dyDescent="0.35">
      <c r="E384" s="1"/>
      <c r="X384" s="31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O384"/>
      <c r="AP384"/>
      <c r="AQ384"/>
      <c r="AR384"/>
      <c r="AS384"/>
      <c r="AW384" s="50"/>
      <c r="BB384" s="1"/>
      <c r="BC384" s="60"/>
      <c r="BD384" s="62"/>
    </row>
    <row r="385" spans="1:56" ht="14.4" customHeight="1" x14ac:dyDescent="0.35">
      <c r="E385" s="1"/>
      <c r="X385" s="31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  <c r="AM385"/>
      <c r="AO385"/>
      <c r="AP385"/>
      <c r="AQ385"/>
      <c r="AR385"/>
      <c r="AS385"/>
      <c r="AW385" s="50"/>
      <c r="BB385" s="1"/>
      <c r="BC385" s="60"/>
      <c r="BD385" s="62"/>
    </row>
    <row r="386" spans="1:56" ht="14.4" customHeight="1" x14ac:dyDescent="0.35">
      <c r="E386" s="1"/>
      <c r="X386" s="31"/>
      <c r="Y386"/>
      <c r="Z386"/>
      <c r="AA386"/>
      <c r="AB386"/>
      <c r="AC386"/>
      <c r="AD386"/>
      <c r="AE386"/>
      <c r="AF386"/>
      <c r="AG386"/>
      <c r="AH386"/>
      <c r="AI386"/>
      <c r="AJ386"/>
      <c r="AK386"/>
      <c r="AL386"/>
      <c r="AM386"/>
      <c r="AO386"/>
      <c r="AP386"/>
      <c r="AQ386"/>
      <c r="AR386"/>
      <c r="AS386"/>
      <c r="AW386" s="50"/>
      <c r="BB386" s="1"/>
      <c r="BC386" s="60"/>
      <c r="BD386" s="62"/>
    </row>
    <row r="387" spans="1:56" ht="14.4" customHeight="1" x14ac:dyDescent="0.35">
      <c r="E387" s="1"/>
      <c r="X387" s="31"/>
      <c r="Y387"/>
      <c r="Z387"/>
      <c r="AA387"/>
      <c r="AB387"/>
      <c r="AC387"/>
      <c r="AD387"/>
      <c r="AE387"/>
      <c r="AF387"/>
      <c r="AG387"/>
      <c r="AH387"/>
      <c r="AI387"/>
      <c r="AJ387"/>
      <c r="AK387"/>
      <c r="AL387"/>
      <c r="AM387"/>
      <c r="AO387"/>
      <c r="AP387"/>
      <c r="AQ387"/>
      <c r="AR387"/>
      <c r="AS387"/>
      <c r="AW387" s="50"/>
      <c r="BB387" s="1"/>
      <c r="BC387" s="60"/>
      <c r="BD387" s="62"/>
    </row>
    <row r="388" spans="1:56" x14ac:dyDescent="0.35">
      <c r="E388" s="1"/>
      <c r="X388" s="31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O388"/>
      <c r="AP388"/>
      <c r="AQ388"/>
      <c r="AR388"/>
      <c r="AS388"/>
      <c r="AW388" s="50"/>
      <c r="BB388" s="1"/>
      <c r="BC388" s="60"/>
      <c r="BD388" s="62"/>
    </row>
    <row r="389" spans="1:56" ht="14.4" customHeight="1" x14ac:dyDescent="0.35">
      <c r="E389" s="1"/>
      <c r="X389" s="31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O389"/>
      <c r="AP389"/>
      <c r="AQ389"/>
      <c r="AR389"/>
      <c r="AS389"/>
      <c r="AW389" s="50"/>
      <c r="BB389" s="1"/>
      <c r="BC389" s="60"/>
      <c r="BD389" s="62"/>
    </row>
    <row r="390" spans="1:56" ht="14.4" customHeight="1" x14ac:dyDescent="0.35">
      <c r="E390" s="1"/>
      <c r="S390" s="47"/>
      <c r="T390" s="47"/>
      <c r="U390" s="47"/>
      <c r="V390" s="47"/>
      <c r="W390" s="47"/>
      <c r="X390" s="31"/>
      <c r="Y390"/>
      <c r="Z390"/>
      <c r="AA390"/>
      <c r="AB390"/>
      <c r="AC390"/>
      <c r="AD390"/>
      <c r="AE390"/>
      <c r="AF390"/>
      <c r="AG390"/>
      <c r="AH390"/>
      <c r="AI390"/>
      <c r="AJ390"/>
      <c r="AK390"/>
      <c r="AL390"/>
      <c r="AM390"/>
      <c r="AO390"/>
      <c r="AP390"/>
      <c r="AQ390"/>
      <c r="AR390"/>
      <c r="AS390"/>
      <c r="AW390" s="50"/>
      <c r="BB390" s="1"/>
      <c r="BC390" s="60"/>
      <c r="BD390" s="62"/>
    </row>
    <row r="391" spans="1:56" ht="14.4" customHeight="1" x14ac:dyDescent="0.35">
      <c r="E391" s="1"/>
      <c r="X391" s="3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O391"/>
      <c r="AP391"/>
      <c r="AQ391"/>
      <c r="AR391"/>
      <c r="AS391"/>
      <c r="AW391" s="50"/>
      <c r="BB391" s="1"/>
      <c r="BC391" s="60"/>
      <c r="BD391" s="62"/>
    </row>
    <row r="392" spans="1:56" ht="14.4" customHeight="1" x14ac:dyDescent="0.35">
      <c r="E392" s="1"/>
      <c r="X392" s="31"/>
      <c r="Y392"/>
      <c r="Z392"/>
      <c r="AA392"/>
      <c r="AB392"/>
      <c r="AC392"/>
      <c r="AD392"/>
      <c r="AE392"/>
      <c r="AF392"/>
      <c r="AG392"/>
      <c r="AH392"/>
      <c r="AI392"/>
      <c r="AJ392"/>
      <c r="AK392"/>
      <c r="AL392"/>
      <c r="AM392"/>
      <c r="AO392"/>
      <c r="AP392"/>
      <c r="AQ392"/>
      <c r="AR392"/>
      <c r="AS392"/>
      <c r="AW392" s="50"/>
      <c r="BB392" s="1"/>
      <c r="BC392" s="60"/>
      <c r="BD392" s="62"/>
    </row>
    <row r="393" spans="1:56" ht="14.4" customHeight="1" x14ac:dyDescent="0.35">
      <c r="E393" s="1"/>
      <c r="X393" s="31"/>
      <c r="Y393"/>
      <c r="Z393"/>
      <c r="AA393"/>
      <c r="AB393"/>
      <c r="AC393"/>
      <c r="AD393"/>
      <c r="AE393"/>
      <c r="AF393"/>
      <c r="AG393"/>
      <c r="AH393"/>
      <c r="AI393"/>
      <c r="AJ393"/>
      <c r="AK393"/>
      <c r="AL393"/>
      <c r="AM393"/>
      <c r="AO393"/>
      <c r="AP393"/>
      <c r="AQ393"/>
      <c r="AR393"/>
      <c r="AS393"/>
      <c r="AW393" s="50"/>
      <c r="BB393" s="1"/>
      <c r="BC393" s="60"/>
      <c r="BD393" s="62"/>
    </row>
    <row r="394" spans="1:56" ht="14.4" customHeight="1" x14ac:dyDescent="0.35">
      <c r="E394" s="1"/>
      <c r="X394" s="31"/>
      <c r="Y394"/>
      <c r="Z394"/>
      <c r="AA394"/>
      <c r="AB394"/>
      <c r="AC394"/>
      <c r="AD394"/>
      <c r="AE394"/>
      <c r="AF394"/>
      <c r="AG394"/>
      <c r="AH394"/>
      <c r="AI394"/>
      <c r="AJ394"/>
      <c r="AK394"/>
      <c r="AL394"/>
      <c r="AM394"/>
      <c r="AO394"/>
      <c r="AP394"/>
      <c r="AQ394"/>
      <c r="AR394"/>
      <c r="AS394"/>
      <c r="AW394" s="50"/>
      <c r="BB394" s="1"/>
      <c r="BC394" s="60"/>
      <c r="BD394" s="62"/>
    </row>
    <row r="395" spans="1:56" ht="14.4" customHeight="1" x14ac:dyDescent="0.35">
      <c r="E395" s="1"/>
      <c r="X395" s="31"/>
      <c r="Y395"/>
      <c r="Z395"/>
      <c r="AA395"/>
      <c r="AB395"/>
      <c r="AC395"/>
      <c r="AD395"/>
      <c r="AE395"/>
      <c r="AF395"/>
      <c r="AG395"/>
      <c r="AH395"/>
      <c r="AI395"/>
      <c r="AJ395"/>
      <c r="AK395"/>
      <c r="AL395"/>
      <c r="AM395"/>
      <c r="AO395"/>
      <c r="AP395"/>
      <c r="AQ395"/>
      <c r="AR395"/>
      <c r="AS395"/>
      <c r="AW395" s="50"/>
      <c r="BB395" s="1"/>
      <c r="BC395" s="60"/>
      <c r="BD395" s="62"/>
    </row>
    <row r="396" spans="1:56" ht="14.4" customHeight="1" x14ac:dyDescent="0.35">
      <c r="E396" s="1"/>
      <c r="X396" s="31"/>
      <c r="Y396"/>
      <c r="Z396"/>
      <c r="AA396"/>
      <c r="AB396"/>
      <c r="AC396"/>
      <c r="AD396"/>
      <c r="AE396"/>
      <c r="AF396"/>
      <c r="AG396"/>
      <c r="AH396"/>
      <c r="AI396"/>
      <c r="AJ396"/>
      <c r="AK396"/>
      <c r="AL396"/>
      <c r="AM396"/>
      <c r="AO396"/>
      <c r="AP396"/>
      <c r="AQ396"/>
      <c r="AR396"/>
      <c r="AS396"/>
      <c r="AW396" s="50"/>
      <c r="BB396" s="1"/>
      <c r="BC396" s="60"/>
      <c r="BD396" s="62"/>
    </row>
    <row r="397" spans="1:56" ht="14.4" customHeight="1" x14ac:dyDescent="0.35">
      <c r="E397" s="1"/>
      <c r="X397" s="31"/>
      <c r="Y397"/>
      <c r="Z397"/>
      <c r="AA397"/>
      <c r="AB397"/>
      <c r="AC397"/>
      <c r="AD397"/>
      <c r="AE397"/>
      <c r="AF397"/>
      <c r="AG397"/>
      <c r="AH397"/>
      <c r="AI397"/>
      <c r="AJ397"/>
      <c r="AK397"/>
      <c r="AL397"/>
      <c r="AM397"/>
      <c r="AO397"/>
      <c r="AP397"/>
      <c r="AQ397"/>
      <c r="AR397"/>
      <c r="AS397"/>
      <c r="AW397" s="50"/>
      <c r="BB397" s="1"/>
      <c r="BC397" s="60"/>
      <c r="BD397" s="62"/>
    </row>
    <row r="398" spans="1:56" ht="14.4" customHeight="1" x14ac:dyDescent="0.35">
      <c r="A398" s="2"/>
      <c r="E398" s="1"/>
      <c r="X398" s="31"/>
      <c r="Y398"/>
      <c r="Z398"/>
      <c r="AA398"/>
      <c r="AB398"/>
      <c r="AC398"/>
      <c r="AD398"/>
      <c r="AE398"/>
      <c r="AF398"/>
      <c r="AG398"/>
      <c r="AH398"/>
      <c r="AI398"/>
      <c r="AJ398"/>
      <c r="AK398"/>
      <c r="AL398"/>
      <c r="AM398"/>
      <c r="AO398"/>
      <c r="AP398"/>
      <c r="AQ398"/>
      <c r="AR398"/>
      <c r="AS398"/>
      <c r="AW398" s="50"/>
      <c r="BB398" s="1"/>
      <c r="BC398" s="60"/>
      <c r="BD398" s="62"/>
    </row>
    <row r="399" spans="1:56" ht="14.4" customHeight="1" x14ac:dyDescent="0.35">
      <c r="E399" s="1"/>
      <c r="X399" s="31"/>
      <c r="Y399"/>
      <c r="Z399"/>
      <c r="AA399"/>
      <c r="AB399"/>
      <c r="AC399"/>
      <c r="AD399"/>
      <c r="AE399"/>
      <c r="AF399"/>
      <c r="AG399"/>
      <c r="AH399"/>
      <c r="AI399"/>
      <c r="AJ399"/>
      <c r="AK399"/>
      <c r="AL399"/>
      <c r="AM399"/>
      <c r="AO399"/>
      <c r="AP399"/>
      <c r="AQ399"/>
      <c r="AR399"/>
      <c r="AS399"/>
      <c r="AW399" s="50"/>
      <c r="BB399" s="1"/>
      <c r="BC399" s="60"/>
      <c r="BD399" s="62"/>
    </row>
    <row r="400" spans="1:56" ht="14.4" customHeight="1" x14ac:dyDescent="0.35">
      <c r="E400" s="1"/>
      <c r="X400" s="31"/>
      <c r="Y400"/>
      <c r="Z400"/>
      <c r="AA400"/>
      <c r="AB400"/>
      <c r="AC400"/>
      <c r="AD400"/>
      <c r="AE400"/>
      <c r="AF400"/>
      <c r="AG400"/>
      <c r="AH400"/>
      <c r="AI400"/>
      <c r="AJ400"/>
      <c r="AK400"/>
      <c r="AL400"/>
      <c r="AM400"/>
      <c r="AO400"/>
      <c r="AP400"/>
      <c r="AQ400"/>
      <c r="AR400"/>
      <c r="AS400"/>
      <c r="AW400" s="50"/>
      <c r="BB400" s="1"/>
      <c r="BC400" s="60"/>
      <c r="BD400" s="62"/>
    </row>
    <row r="401" spans="5:56" ht="14.4" customHeight="1" x14ac:dyDescent="0.35">
      <c r="E401" s="1"/>
      <c r="X401" s="31"/>
      <c r="Y401"/>
      <c r="Z401"/>
      <c r="AA401"/>
      <c r="AB401"/>
      <c r="AC401"/>
      <c r="AD401"/>
      <c r="AE401"/>
      <c r="AF401"/>
      <c r="AG401"/>
      <c r="AH401"/>
      <c r="AI401"/>
      <c r="AJ401"/>
      <c r="AK401"/>
      <c r="AL401"/>
      <c r="AM401"/>
      <c r="AO401"/>
      <c r="AP401"/>
      <c r="AQ401"/>
      <c r="AR401"/>
      <c r="AS401"/>
      <c r="AW401" s="50"/>
      <c r="BB401" s="1"/>
      <c r="BC401" s="60"/>
      <c r="BD401" s="62"/>
    </row>
    <row r="402" spans="5:56" ht="14.4" customHeight="1" x14ac:dyDescent="0.35">
      <c r="E402" s="1"/>
      <c r="X402" s="31"/>
      <c r="Y402"/>
      <c r="Z402"/>
      <c r="AA402"/>
      <c r="AB402"/>
      <c r="AC402"/>
      <c r="AD402"/>
      <c r="AE402"/>
      <c r="AF402"/>
      <c r="AG402"/>
      <c r="AH402"/>
      <c r="AI402"/>
      <c r="AJ402"/>
      <c r="AK402"/>
      <c r="AL402"/>
      <c r="AM402"/>
      <c r="AO402"/>
      <c r="AP402"/>
      <c r="AQ402"/>
      <c r="AR402"/>
      <c r="AS402"/>
      <c r="AW402" s="50"/>
      <c r="BB402" s="1"/>
      <c r="BC402" s="60"/>
      <c r="BD402" s="62"/>
    </row>
    <row r="403" spans="5:56" ht="14.4" customHeight="1" x14ac:dyDescent="0.35">
      <c r="E403" s="1"/>
      <c r="X403" s="31"/>
      <c r="Y403"/>
      <c r="Z403"/>
      <c r="AA403"/>
      <c r="AB403"/>
      <c r="AC403"/>
      <c r="AD403"/>
      <c r="AE403"/>
      <c r="AF403"/>
      <c r="AG403"/>
      <c r="AH403"/>
      <c r="AI403"/>
      <c r="AJ403"/>
      <c r="AK403"/>
      <c r="AL403"/>
      <c r="AM403"/>
      <c r="AO403"/>
      <c r="AP403"/>
      <c r="AQ403"/>
      <c r="AR403"/>
      <c r="AS403"/>
      <c r="AW403" s="50"/>
      <c r="BB403" s="1"/>
      <c r="BC403" s="60"/>
      <c r="BD403" s="62"/>
    </row>
    <row r="404" spans="5:56" ht="14.4" customHeight="1" x14ac:dyDescent="0.35">
      <c r="E404" s="1"/>
      <c r="X404" s="31"/>
      <c r="Y404"/>
      <c r="Z404"/>
      <c r="AA404"/>
      <c r="AB404"/>
      <c r="AC404"/>
      <c r="AD404"/>
      <c r="AE404"/>
      <c r="AF404"/>
      <c r="AG404"/>
      <c r="AH404"/>
      <c r="AI404"/>
      <c r="AJ404"/>
      <c r="AK404"/>
      <c r="AL404"/>
      <c r="AM404"/>
      <c r="AO404"/>
      <c r="AP404"/>
      <c r="AQ404"/>
      <c r="AR404"/>
      <c r="AS404"/>
      <c r="AW404" s="50"/>
      <c r="BB404" s="1"/>
      <c r="BC404" s="60"/>
      <c r="BD404" s="62"/>
    </row>
    <row r="405" spans="5:56" ht="14.4" customHeight="1" x14ac:dyDescent="0.35">
      <c r="E405" s="1"/>
      <c r="X405" s="31"/>
      <c r="Y405"/>
      <c r="Z405"/>
      <c r="AA405"/>
      <c r="AB405"/>
      <c r="AC405"/>
      <c r="AD405"/>
      <c r="AE405"/>
      <c r="AF405"/>
      <c r="AG405"/>
      <c r="AH405"/>
      <c r="AI405"/>
      <c r="AJ405"/>
      <c r="AK405"/>
      <c r="AL405"/>
      <c r="AM405"/>
      <c r="AO405"/>
      <c r="AP405"/>
      <c r="AQ405"/>
      <c r="AR405"/>
      <c r="AS405"/>
      <c r="AW405" s="50"/>
      <c r="BB405" s="1"/>
      <c r="BC405" s="60"/>
      <c r="BD405" s="62"/>
    </row>
    <row r="406" spans="5:56" ht="14.4" customHeight="1" x14ac:dyDescent="0.35">
      <c r="E406" s="1"/>
      <c r="X406" s="31"/>
      <c r="Y406"/>
      <c r="Z406"/>
      <c r="AA406"/>
      <c r="AB406"/>
      <c r="AC406"/>
      <c r="AD406"/>
      <c r="AE406"/>
      <c r="AF406"/>
      <c r="AG406"/>
      <c r="AH406"/>
      <c r="AI406"/>
      <c r="AJ406"/>
      <c r="AK406"/>
      <c r="AL406"/>
      <c r="AM406"/>
      <c r="AO406"/>
      <c r="AP406"/>
      <c r="AQ406"/>
      <c r="AR406"/>
      <c r="AS406"/>
      <c r="AW406" s="50"/>
      <c r="BB406" s="1"/>
      <c r="BC406" s="60"/>
      <c r="BD406" s="62"/>
    </row>
    <row r="407" spans="5:56" ht="14.4" customHeight="1" x14ac:dyDescent="0.35">
      <c r="E407" s="1"/>
      <c r="X407" s="31"/>
      <c r="Y407"/>
      <c r="Z407"/>
      <c r="AA407"/>
      <c r="AB407"/>
      <c r="AC407"/>
      <c r="AD407"/>
      <c r="AE407"/>
      <c r="AF407"/>
      <c r="AG407"/>
      <c r="AH407"/>
      <c r="AI407"/>
      <c r="AJ407"/>
      <c r="AK407"/>
      <c r="AL407"/>
      <c r="AM407"/>
      <c r="AO407"/>
      <c r="AP407"/>
      <c r="AQ407"/>
      <c r="AR407"/>
      <c r="AS407"/>
      <c r="BB407" s="1"/>
      <c r="BC407" s="60"/>
      <c r="BD407" s="62"/>
    </row>
    <row r="408" spans="5:56" ht="14.4" customHeight="1" x14ac:dyDescent="0.35">
      <c r="E408" s="1"/>
      <c r="X408" s="31"/>
      <c r="Y408"/>
      <c r="Z408"/>
      <c r="AA408"/>
      <c r="AB408"/>
      <c r="AC408"/>
      <c r="AD408"/>
      <c r="AE408"/>
      <c r="AF408"/>
      <c r="AG408"/>
      <c r="AH408"/>
      <c r="AI408"/>
      <c r="AJ408"/>
      <c r="AK408"/>
      <c r="AL408"/>
      <c r="AM408"/>
      <c r="AO408"/>
      <c r="AP408"/>
      <c r="AQ408"/>
      <c r="AR408"/>
      <c r="AS408"/>
      <c r="BB408" s="1"/>
      <c r="BC408" s="60"/>
      <c r="BD408" s="62"/>
    </row>
    <row r="409" spans="5:56" ht="14.4" customHeight="1" x14ac:dyDescent="0.35">
      <c r="E409" s="1"/>
      <c r="X409" s="31"/>
      <c r="Y409"/>
      <c r="Z409"/>
      <c r="AA409"/>
      <c r="AB409"/>
      <c r="AC409"/>
      <c r="AD409"/>
      <c r="AE409"/>
      <c r="AF409"/>
      <c r="AG409"/>
      <c r="AH409"/>
      <c r="AI409"/>
      <c r="AJ409"/>
      <c r="AK409"/>
      <c r="AL409"/>
      <c r="AM409"/>
      <c r="AO409"/>
      <c r="AP409"/>
      <c r="AQ409"/>
      <c r="AR409"/>
      <c r="AS409"/>
      <c r="BB409" s="1"/>
      <c r="BC409" s="60"/>
      <c r="BD409" s="62"/>
    </row>
    <row r="410" spans="5:56" ht="14.4" customHeight="1" x14ac:dyDescent="0.35">
      <c r="E410" s="1"/>
      <c r="X410" s="31"/>
      <c r="Y410"/>
      <c r="Z410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O410"/>
      <c r="AP410"/>
      <c r="AQ410"/>
      <c r="AR410"/>
      <c r="AS410"/>
      <c r="BB410" s="1"/>
      <c r="BC410" s="60"/>
      <c r="BD410" s="62"/>
    </row>
    <row r="411" spans="5:56" ht="14.4" customHeight="1" x14ac:dyDescent="0.35">
      <c r="E411" s="1"/>
      <c r="X411" s="31"/>
      <c r="Y411"/>
      <c r="Z411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O411"/>
      <c r="AP411"/>
      <c r="AQ411"/>
      <c r="AR411"/>
      <c r="AS411"/>
      <c r="BB411" s="1"/>
      <c r="BC411" s="60"/>
      <c r="BD411" s="62"/>
    </row>
    <row r="412" spans="5:56" ht="14.4" customHeight="1" x14ac:dyDescent="0.35">
      <c r="E412" s="1"/>
      <c r="X412" s="31"/>
      <c r="Y412"/>
      <c r="Z412"/>
      <c r="AA412"/>
      <c r="AB412"/>
      <c r="AC412"/>
      <c r="AD412"/>
      <c r="AE412"/>
      <c r="AF412"/>
      <c r="AG412"/>
      <c r="AH412"/>
      <c r="AI412"/>
      <c r="AJ412"/>
      <c r="AK412"/>
      <c r="AL412"/>
      <c r="AM412"/>
      <c r="AO412"/>
      <c r="AP412"/>
      <c r="AQ412"/>
      <c r="AR412"/>
      <c r="AS412"/>
      <c r="BB412" s="1"/>
      <c r="BC412" s="60"/>
      <c r="BD412" s="62"/>
    </row>
    <row r="413" spans="5:56" ht="14.4" customHeight="1" x14ac:dyDescent="0.35">
      <c r="E413" s="1"/>
      <c r="X413" s="31"/>
      <c r="Y413"/>
      <c r="Z413"/>
      <c r="AA413"/>
      <c r="AB413"/>
      <c r="AC413"/>
      <c r="AD413"/>
      <c r="AE413"/>
      <c r="AF413"/>
      <c r="AG413"/>
      <c r="AH413"/>
      <c r="AI413"/>
      <c r="AJ413"/>
      <c r="AK413"/>
      <c r="AL413"/>
      <c r="AM413"/>
      <c r="AO413"/>
      <c r="AP413"/>
      <c r="AQ413"/>
      <c r="AR413"/>
      <c r="AS413"/>
      <c r="BB413" s="1"/>
      <c r="BC413" s="60"/>
      <c r="BD413" s="62"/>
    </row>
    <row r="414" spans="5:56" ht="14.4" customHeight="1" x14ac:dyDescent="0.35">
      <c r="E414" s="1"/>
      <c r="X414" s="31"/>
      <c r="Y414"/>
      <c r="Z414"/>
      <c r="AA414"/>
      <c r="AB414"/>
      <c r="AC414"/>
      <c r="AD414"/>
      <c r="AE414"/>
      <c r="AF414"/>
      <c r="AG414"/>
      <c r="AH414"/>
      <c r="AI414"/>
      <c r="AJ414"/>
      <c r="AK414"/>
      <c r="AL414"/>
      <c r="AM414"/>
      <c r="AO414"/>
      <c r="AP414"/>
      <c r="AQ414"/>
      <c r="AR414"/>
      <c r="AS414"/>
      <c r="BB414" s="1"/>
      <c r="BC414" s="60"/>
      <c r="BD414" s="62"/>
    </row>
    <row r="415" spans="5:56" ht="14.4" customHeight="1" x14ac:dyDescent="0.35">
      <c r="E415" s="1"/>
      <c r="X415" s="31"/>
      <c r="Y415"/>
      <c r="Z415"/>
      <c r="AA415"/>
      <c r="AB415"/>
      <c r="AC415"/>
      <c r="AD415"/>
      <c r="AE415"/>
      <c r="AF415"/>
      <c r="AG415"/>
      <c r="AH415"/>
      <c r="AI415"/>
      <c r="AJ415"/>
      <c r="AK415"/>
      <c r="AL415"/>
      <c r="AM415"/>
      <c r="AO415"/>
      <c r="AP415"/>
      <c r="AQ415"/>
      <c r="AR415"/>
      <c r="AS415"/>
      <c r="BB415" s="1"/>
      <c r="BC415" s="60"/>
      <c r="BD415" s="62"/>
    </row>
    <row r="416" spans="5:56" ht="14.4" customHeight="1" x14ac:dyDescent="0.35">
      <c r="E416" s="1"/>
      <c r="X416" s="31"/>
      <c r="Y416"/>
      <c r="Z416"/>
      <c r="AA416"/>
      <c r="AB416"/>
      <c r="AC416"/>
      <c r="AD416"/>
      <c r="AE416"/>
      <c r="AF416"/>
      <c r="AG416"/>
      <c r="AH416"/>
      <c r="AI416"/>
      <c r="AJ416"/>
      <c r="AK416"/>
      <c r="AL416"/>
      <c r="AM416"/>
      <c r="AO416"/>
      <c r="AP416"/>
      <c r="AQ416"/>
      <c r="AR416"/>
      <c r="AS416"/>
      <c r="BB416" s="1"/>
      <c r="BC416" s="60"/>
      <c r="BD416" s="62"/>
    </row>
    <row r="417" spans="1:56" ht="14.4" customHeight="1" x14ac:dyDescent="0.35">
      <c r="E417" s="1"/>
      <c r="X417" s="31"/>
      <c r="Y417"/>
      <c r="Z417"/>
      <c r="AA417"/>
      <c r="AB417"/>
      <c r="AC417"/>
      <c r="AD417"/>
      <c r="AE417"/>
      <c r="AF417"/>
      <c r="AG417"/>
      <c r="AH417"/>
      <c r="AI417"/>
      <c r="AJ417"/>
      <c r="AK417"/>
      <c r="AL417"/>
      <c r="AM417"/>
      <c r="AO417"/>
      <c r="AP417"/>
      <c r="AQ417"/>
      <c r="AR417"/>
      <c r="AS417"/>
      <c r="BB417" s="1"/>
      <c r="BC417" s="60"/>
      <c r="BD417" s="62"/>
    </row>
    <row r="418" spans="1:56" ht="14.4" customHeight="1" x14ac:dyDescent="0.35">
      <c r="E418" s="1"/>
      <c r="X418" s="31"/>
      <c r="Y418"/>
      <c r="Z418"/>
      <c r="AA418"/>
      <c r="AB418"/>
      <c r="AC418"/>
      <c r="AD418"/>
      <c r="AE418"/>
      <c r="AF418"/>
      <c r="AG418"/>
      <c r="AH418"/>
      <c r="AI418"/>
      <c r="AJ418"/>
      <c r="AK418"/>
      <c r="AL418"/>
      <c r="AM418"/>
      <c r="AO418"/>
      <c r="AP418"/>
      <c r="AQ418"/>
      <c r="AR418"/>
      <c r="AS418"/>
      <c r="BB418" s="1"/>
      <c r="BC418" s="60"/>
      <c r="BD418" s="62"/>
    </row>
    <row r="419" spans="1:56" ht="14.4" customHeight="1" x14ac:dyDescent="0.35">
      <c r="E419" s="1"/>
      <c r="X419" s="31"/>
      <c r="Y419"/>
      <c r="Z419"/>
      <c r="AA419"/>
      <c r="AB419"/>
      <c r="AC419"/>
      <c r="AD419"/>
      <c r="AE419"/>
      <c r="AF419"/>
      <c r="AG419"/>
      <c r="AH419"/>
      <c r="AI419"/>
      <c r="AJ419"/>
      <c r="AK419"/>
      <c r="AL419"/>
      <c r="AM419"/>
      <c r="AO419"/>
      <c r="AP419"/>
      <c r="AQ419"/>
      <c r="AR419"/>
      <c r="AS419"/>
      <c r="BB419" s="1"/>
      <c r="BC419" s="60"/>
      <c r="BD419" s="62"/>
    </row>
    <row r="420" spans="1:56" ht="14.4" customHeight="1" x14ac:dyDescent="0.35">
      <c r="E420" s="1"/>
      <c r="X420" s="31"/>
      <c r="Y420"/>
      <c r="Z420"/>
      <c r="AA420"/>
      <c r="AB420"/>
      <c r="AC420"/>
      <c r="AD420"/>
      <c r="AE420"/>
      <c r="AF420"/>
      <c r="AG420"/>
      <c r="AH420"/>
      <c r="AI420"/>
      <c r="AJ420"/>
      <c r="AK420"/>
      <c r="AL420"/>
      <c r="AM420"/>
      <c r="AO420"/>
      <c r="AP420"/>
      <c r="AQ420"/>
      <c r="AR420"/>
      <c r="AS420"/>
      <c r="BB420" s="1"/>
      <c r="BC420" s="60"/>
      <c r="BD420" s="62"/>
    </row>
    <row r="421" spans="1:56" ht="14.4" customHeight="1" x14ac:dyDescent="0.35">
      <c r="E421" s="1"/>
      <c r="X421" s="31"/>
      <c r="Y421"/>
      <c r="Z421"/>
      <c r="AA421"/>
      <c r="AB421"/>
      <c r="AC421"/>
      <c r="AD421"/>
      <c r="AE421"/>
      <c r="AF421"/>
      <c r="AG421"/>
      <c r="AH421"/>
      <c r="AI421"/>
      <c r="AJ421"/>
      <c r="AK421"/>
      <c r="AL421"/>
      <c r="AM421"/>
      <c r="AO421"/>
      <c r="AP421"/>
      <c r="AQ421"/>
      <c r="AR421"/>
      <c r="AS421"/>
      <c r="BB421" s="1"/>
      <c r="BC421" s="60"/>
      <c r="BD421" s="62"/>
    </row>
    <row r="422" spans="1:56" ht="14.4" customHeight="1" x14ac:dyDescent="0.35">
      <c r="E422" s="1"/>
      <c r="X422" s="31"/>
      <c r="Y422"/>
      <c r="Z422"/>
      <c r="AA422"/>
      <c r="AB422"/>
      <c r="AC422"/>
      <c r="AD422"/>
      <c r="AE422"/>
      <c r="AF422"/>
      <c r="AG422"/>
      <c r="AH422"/>
      <c r="AI422"/>
      <c r="AJ422"/>
      <c r="AK422"/>
      <c r="AL422"/>
      <c r="AM422"/>
      <c r="AO422"/>
      <c r="AP422"/>
      <c r="AQ422"/>
      <c r="AR422"/>
      <c r="AS422"/>
      <c r="BB422" s="1"/>
      <c r="BC422" s="60"/>
      <c r="BD422" s="62"/>
    </row>
    <row r="423" spans="1:56" ht="14.4" customHeight="1" x14ac:dyDescent="0.35">
      <c r="E423" s="1"/>
      <c r="X423" s="31"/>
      <c r="Y423"/>
      <c r="Z423"/>
      <c r="AA423"/>
      <c r="AB423"/>
      <c r="AC423"/>
      <c r="AD423"/>
      <c r="AE423"/>
      <c r="AF423"/>
      <c r="AG423"/>
      <c r="AH423"/>
      <c r="AI423"/>
      <c r="AJ423"/>
      <c r="AK423"/>
      <c r="AL423"/>
      <c r="AM423"/>
      <c r="AO423"/>
      <c r="AP423"/>
      <c r="AQ423"/>
      <c r="AR423"/>
      <c r="AS423"/>
      <c r="BB423" s="1"/>
      <c r="BC423" s="60"/>
      <c r="BD423" s="62"/>
    </row>
    <row r="424" spans="1:56" ht="14.4" customHeight="1" x14ac:dyDescent="0.35">
      <c r="E424" s="1"/>
      <c r="X424" s="31"/>
      <c r="Y424"/>
      <c r="Z424"/>
      <c r="AA424"/>
      <c r="AB424"/>
      <c r="AC424"/>
      <c r="AD424"/>
      <c r="AE424"/>
      <c r="AF424"/>
      <c r="AG424"/>
      <c r="AH424"/>
      <c r="AI424"/>
      <c r="AJ424"/>
      <c r="AK424"/>
      <c r="AL424"/>
      <c r="AM424"/>
      <c r="AO424"/>
      <c r="AP424"/>
      <c r="AQ424"/>
      <c r="AR424"/>
      <c r="AS424"/>
      <c r="BB424" s="1"/>
      <c r="BC424" s="60"/>
      <c r="BD424" s="62"/>
    </row>
    <row r="425" spans="1:56" ht="14.4" customHeight="1" x14ac:dyDescent="0.35">
      <c r="E425" s="1"/>
      <c r="X425" s="31"/>
      <c r="Y425"/>
      <c r="Z425"/>
      <c r="AA425"/>
      <c r="AB425"/>
      <c r="AC425"/>
      <c r="AD425"/>
      <c r="AE425"/>
      <c r="AF425"/>
      <c r="AG425"/>
      <c r="AH425"/>
      <c r="AI425"/>
      <c r="AJ425"/>
      <c r="AK425"/>
      <c r="AL425"/>
      <c r="AM425"/>
      <c r="AO425"/>
      <c r="AP425"/>
      <c r="AQ425"/>
      <c r="AR425"/>
      <c r="AS425"/>
      <c r="BB425" s="1"/>
      <c r="BC425" s="60"/>
      <c r="BD425" s="62"/>
    </row>
    <row r="426" spans="1:56" ht="14.4" customHeight="1" x14ac:dyDescent="0.35">
      <c r="E426" s="1"/>
      <c r="X426" s="31"/>
      <c r="Y426"/>
      <c r="Z426"/>
      <c r="AA426"/>
      <c r="AB426"/>
      <c r="AC426"/>
      <c r="AD426"/>
      <c r="AE426"/>
      <c r="AF426"/>
      <c r="AG426"/>
      <c r="AH426"/>
      <c r="AI426"/>
      <c r="AJ426"/>
      <c r="AK426"/>
      <c r="AL426"/>
      <c r="AM426"/>
      <c r="AO426"/>
      <c r="AP426"/>
      <c r="AQ426"/>
      <c r="AR426"/>
      <c r="AS426"/>
      <c r="BB426" s="1"/>
      <c r="BC426" s="60"/>
      <c r="BD426" s="62"/>
    </row>
    <row r="427" spans="1:56" ht="14.4" customHeight="1" x14ac:dyDescent="0.35">
      <c r="E427" s="1"/>
      <c r="X427" s="31"/>
      <c r="Y427"/>
      <c r="Z427"/>
      <c r="AA427"/>
      <c r="AB427"/>
      <c r="AC427"/>
      <c r="AD427"/>
      <c r="AE427"/>
      <c r="AF427"/>
      <c r="AG427"/>
      <c r="AH427"/>
      <c r="AI427"/>
      <c r="AJ427"/>
      <c r="AK427"/>
      <c r="AL427"/>
      <c r="AM427"/>
      <c r="AO427"/>
      <c r="AP427"/>
      <c r="AQ427"/>
      <c r="AR427"/>
      <c r="AS427"/>
      <c r="BB427" s="1"/>
      <c r="BC427" s="60"/>
      <c r="BD427" s="62"/>
    </row>
    <row r="428" spans="1:56" ht="14.4" customHeight="1" x14ac:dyDescent="0.35">
      <c r="E428" s="1"/>
      <c r="X428" s="31"/>
      <c r="Y428"/>
      <c r="Z428"/>
      <c r="AA428"/>
      <c r="AB428"/>
      <c r="AC428"/>
      <c r="AD428"/>
      <c r="AE428"/>
      <c r="AF428"/>
      <c r="AG428"/>
      <c r="AH428"/>
      <c r="AI428"/>
      <c r="AJ428"/>
      <c r="AK428"/>
      <c r="AL428"/>
      <c r="AM428"/>
      <c r="AO428"/>
      <c r="AP428"/>
      <c r="AQ428"/>
      <c r="AR428"/>
      <c r="AS428"/>
      <c r="BB428" s="1"/>
      <c r="BC428" s="60"/>
      <c r="BD428" s="62"/>
    </row>
    <row r="429" spans="1:56" ht="14.4" customHeight="1" x14ac:dyDescent="0.35">
      <c r="E429" s="1"/>
      <c r="X429" s="31"/>
      <c r="Y429"/>
      <c r="Z429"/>
      <c r="AA429"/>
      <c r="AB429"/>
      <c r="AC429"/>
      <c r="AD429"/>
      <c r="AE429"/>
      <c r="AF429"/>
      <c r="AG429"/>
      <c r="AH429"/>
      <c r="AI429"/>
      <c r="AJ429"/>
      <c r="AK429"/>
      <c r="AL429"/>
      <c r="AM429"/>
      <c r="AO429"/>
      <c r="AP429"/>
      <c r="AQ429"/>
      <c r="AR429"/>
      <c r="AS429"/>
      <c r="BB429" s="1"/>
      <c r="BC429" s="60"/>
      <c r="BD429" s="62"/>
    </row>
    <row r="430" spans="1:56" ht="14.4" customHeight="1" x14ac:dyDescent="0.35">
      <c r="A430" s="2"/>
      <c r="E430" s="1"/>
      <c r="X430" s="31"/>
      <c r="Y430"/>
      <c r="Z430"/>
      <c r="AA430"/>
      <c r="AB430"/>
      <c r="AC430"/>
      <c r="AD430"/>
      <c r="AE430"/>
      <c r="AF430"/>
      <c r="AG430"/>
      <c r="AH430"/>
      <c r="AI430"/>
      <c r="AJ430"/>
      <c r="AK430"/>
      <c r="AL430"/>
      <c r="AM430"/>
      <c r="AO430"/>
      <c r="AP430"/>
      <c r="AQ430"/>
      <c r="AR430"/>
      <c r="AS430"/>
      <c r="BB430" s="1"/>
      <c r="BC430" s="60"/>
      <c r="BD430" s="62"/>
    </row>
    <row r="431" spans="1:56" ht="14.4" customHeight="1" x14ac:dyDescent="0.35">
      <c r="E431" s="1"/>
      <c r="X431" s="31"/>
      <c r="Y431"/>
      <c r="Z431"/>
      <c r="AA431"/>
      <c r="AB431"/>
      <c r="AC431"/>
      <c r="AD431"/>
      <c r="AE431"/>
      <c r="AF431"/>
      <c r="AG431"/>
      <c r="AH431"/>
      <c r="AI431"/>
      <c r="AJ431"/>
      <c r="AK431"/>
      <c r="AL431"/>
      <c r="AM431"/>
      <c r="AO431"/>
      <c r="AP431"/>
      <c r="AQ431"/>
      <c r="AR431"/>
      <c r="AS431"/>
      <c r="BB431" s="1"/>
      <c r="BC431" s="60"/>
      <c r="BD431" s="62"/>
    </row>
    <row r="432" spans="1:56" ht="14.4" customHeight="1" x14ac:dyDescent="0.35">
      <c r="E432" s="1"/>
      <c r="X432" s="31"/>
      <c r="Y432"/>
      <c r="Z432"/>
      <c r="AA432"/>
      <c r="AB432"/>
      <c r="AC432"/>
      <c r="AD432"/>
      <c r="AE432"/>
      <c r="AF432"/>
      <c r="AG432"/>
      <c r="AH432"/>
      <c r="AI432"/>
      <c r="AJ432"/>
      <c r="AK432"/>
      <c r="AL432"/>
      <c r="AM432"/>
      <c r="AO432"/>
      <c r="AP432"/>
      <c r="AQ432"/>
      <c r="AR432"/>
      <c r="AS432"/>
      <c r="BB432" s="1"/>
      <c r="BC432" s="60"/>
      <c r="BD432" s="62"/>
    </row>
    <row r="433" spans="1:56" ht="14.4" customHeight="1" x14ac:dyDescent="0.35">
      <c r="E433" s="1"/>
      <c r="X433" s="31"/>
      <c r="Y433"/>
      <c r="Z433"/>
      <c r="AA433"/>
      <c r="AB433"/>
      <c r="AC433"/>
      <c r="AD433"/>
      <c r="AE433"/>
      <c r="AF433"/>
      <c r="AG433"/>
      <c r="AH433"/>
      <c r="AI433"/>
      <c r="AJ433"/>
      <c r="AK433"/>
      <c r="AL433"/>
      <c r="AM433"/>
      <c r="AO433"/>
      <c r="AP433"/>
      <c r="AQ433"/>
      <c r="AR433"/>
      <c r="AS433"/>
      <c r="BB433" s="1"/>
      <c r="BC433" s="60"/>
      <c r="BD433" s="62"/>
    </row>
    <row r="434" spans="1:56" ht="14.4" customHeight="1" x14ac:dyDescent="0.35">
      <c r="E434" s="1"/>
      <c r="X434" s="31"/>
      <c r="Y434"/>
      <c r="Z434"/>
      <c r="AA434"/>
      <c r="AB434"/>
      <c r="AC434"/>
      <c r="AD434"/>
      <c r="AE434"/>
      <c r="AF434"/>
      <c r="AG434"/>
      <c r="AH434"/>
      <c r="AI434"/>
      <c r="AJ434"/>
      <c r="AK434"/>
      <c r="AL434"/>
      <c r="AM434"/>
      <c r="AO434"/>
      <c r="AP434"/>
      <c r="AQ434"/>
      <c r="AR434"/>
      <c r="AS434"/>
      <c r="BB434" s="1"/>
      <c r="BC434" s="60"/>
      <c r="BD434" s="62"/>
    </row>
    <row r="435" spans="1:56" ht="14.4" customHeight="1" x14ac:dyDescent="0.35">
      <c r="E435" s="1"/>
      <c r="X435" s="31"/>
      <c r="Y435"/>
      <c r="Z435"/>
      <c r="AA435"/>
      <c r="AB435"/>
      <c r="AC435"/>
      <c r="AD435"/>
      <c r="AE435"/>
      <c r="AF435"/>
      <c r="AG435"/>
      <c r="AH435"/>
      <c r="AI435"/>
      <c r="AJ435"/>
      <c r="AK435"/>
      <c r="AL435"/>
      <c r="AM435"/>
      <c r="AO435"/>
      <c r="AP435"/>
      <c r="AQ435"/>
      <c r="AR435"/>
      <c r="AS435"/>
      <c r="BB435" s="1"/>
      <c r="BC435" s="60"/>
      <c r="BD435" s="62"/>
    </row>
    <row r="436" spans="1:56" ht="14.4" customHeight="1" x14ac:dyDescent="0.35">
      <c r="E436" s="1"/>
      <c r="X436" s="31"/>
      <c r="Y436"/>
      <c r="Z436"/>
      <c r="AA436"/>
      <c r="AB436"/>
      <c r="AC436"/>
      <c r="AD436"/>
      <c r="AE436"/>
      <c r="AF436"/>
      <c r="AG436"/>
      <c r="AH436"/>
      <c r="AI436"/>
      <c r="AJ436"/>
      <c r="AK436"/>
      <c r="AL436"/>
      <c r="AM436"/>
      <c r="AO436"/>
      <c r="AP436"/>
      <c r="AQ436"/>
      <c r="AR436"/>
      <c r="AS436"/>
      <c r="BB436" s="1"/>
      <c r="BC436" s="60"/>
      <c r="BD436" s="62"/>
    </row>
    <row r="437" spans="1:56" ht="14.4" customHeight="1" x14ac:dyDescent="0.35">
      <c r="E437" s="1"/>
      <c r="X437" s="31"/>
      <c r="Y437"/>
      <c r="Z437"/>
      <c r="AA437"/>
      <c r="AB437"/>
      <c r="AC437"/>
      <c r="AD437"/>
      <c r="AE437"/>
      <c r="AF437"/>
      <c r="AG437"/>
      <c r="AH437"/>
      <c r="AI437"/>
      <c r="AJ437"/>
      <c r="AK437"/>
      <c r="AL437"/>
      <c r="AM437"/>
      <c r="AO437"/>
      <c r="AP437"/>
      <c r="AQ437"/>
      <c r="AR437"/>
      <c r="AS437"/>
      <c r="BB437" s="1"/>
      <c r="BC437" s="60"/>
      <c r="BD437" s="62"/>
    </row>
    <row r="438" spans="1:56" ht="14.4" customHeight="1" x14ac:dyDescent="0.35">
      <c r="E438" s="1"/>
      <c r="X438" s="31"/>
      <c r="Y438"/>
      <c r="Z438"/>
      <c r="AA438"/>
      <c r="AB438"/>
      <c r="AC438"/>
      <c r="AD438"/>
      <c r="AE438"/>
      <c r="AF438"/>
      <c r="AG438"/>
      <c r="AH438"/>
      <c r="AI438"/>
      <c r="AJ438"/>
      <c r="AK438"/>
      <c r="AL438"/>
      <c r="AM438"/>
      <c r="AS438"/>
      <c r="BB438" s="1"/>
      <c r="BC438" s="60"/>
      <c r="BD438" s="62"/>
    </row>
    <row r="439" spans="1:56" ht="14.4" customHeight="1" x14ac:dyDescent="0.35">
      <c r="E439" s="1"/>
      <c r="X439" s="31"/>
      <c r="Y439"/>
      <c r="Z439"/>
      <c r="AA439"/>
      <c r="AB439"/>
      <c r="AC439"/>
      <c r="AD439"/>
      <c r="AE439"/>
      <c r="AF439"/>
      <c r="AG439"/>
      <c r="AH439"/>
      <c r="AI439"/>
      <c r="AJ439"/>
      <c r="AK439"/>
      <c r="AL439"/>
      <c r="AM439"/>
      <c r="AS439"/>
      <c r="BB439" s="1"/>
      <c r="BC439" s="60"/>
      <c r="BD439" s="62"/>
    </row>
    <row r="440" spans="1:56" ht="14.4" customHeight="1" x14ac:dyDescent="0.35">
      <c r="E440" s="1"/>
      <c r="X440" s="31"/>
      <c r="Y440"/>
      <c r="Z440"/>
      <c r="AA440"/>
      <c r="AB440"/>
      <c r="AC440"/>
      <c r="AD440"/>
      <c r="AE440"/>
      <c r="AF440"/>
      <c r="AG440"/>
      <c r="AH440"/>
      <c r="AI440"/>
      <c r="AJ440"/>
      <c r="AK440"/>
      <c r="AL440"/>
      <c r="AM440"/>
      <c r="AS440"/>
      <c r="BB440" s="1"/>
      <c r="BC440" s="60"/>
      <c r="BD440" s="62"/>
    </row>
    <row r="441" spans="1:56" ht="14.4" customHeight="1" x14ac:dyDescent="0.35">
      <c r="E441" s="1"/>
      <c r="X441" s="31"/>
      <c r="Y441"/>
      <c r="Z441"/>
      <c r="AA441"/>
      <c r="AB441"/>
      <c r="AC441"/>
      <c r="AD441"/>
      <c r="AE441"/>
      <c r="AF441"/>
      <c r="AG441"/>
      <c r="AH441"/>
      <c r="AI441"/>
      <c r="AJ441"/>
      <c r="AK441"/>
      <c r="AL441"/>
      <c r="AM441"/>
      <c r="AS441"/>
      <c r="BB441" s="1"/>
      <c r="BC441" s="60"/>
      <c r="BD441" s="62"/>
    </row>
    <row r="442" spans="1:56" ht="14.4" customHeight="1" x14ac:dyDescent="0.35">
      <c r="E442" s="1"/>
      <c r="X442" s="31"/>
      <c r="Y442"/>
      <c r="Z442"/>
      <c r="AA442"/>
      <c r="AB442"/>
      <c r="AC442"/>
      <c r="AD442"/>
      <c r="AE442"/>
      <c r="AF442"/>
      <c r="AG442"/>
      <c r="AH442"/>
      <c r="AI442"/>
      <c r="AJ442"/>
      <c r="AK442"/>
      <c r="AL442"/>
      <c r="AM442"/>
      <c r="AS442"/>
      <c r="BB442" s="1"/>
      <c r="BC442" s="60"/>
      <c r="BD442" s="62"/>
    </row>
    <row r="443" spans="1:56" ht="14.4" customHeight="1" x14ac:dyDescent="0.35">
      <c r="E443" s="1"/>
      <c r="X443" s="31"/>
      <c r="Y443"/>
      <c r="Z443"/>
      <c r="AA443"/>
      <c r="AB443"/>
      <c r="AC443"/>
      <c r="AD443"/>
      <c r="AE443"/>
      <c r="AF443"/>
      <c r="AG443"/>
      <c r="AH443"/>
      <c r="AI443"/>
      <c r="AJ443"/>
      <c r="AK443"/>
      <c r="AL443"/>
      <c r="AM443"/>
      <c r="AS443"/>
      <c r="BB443" s="1"/>
      <c r="BC443" s="60"/>
      <c r="BD443" s="62"/>
    </row>
    <row r="444" spans="1:56" ht="14.4" customHeight="1" x14ac:dyDescent="0.35">
      <c r="A444" s="2"/>
      <c r="E444" s="1"/>
      <c r="X444" s="31"/>
      <c r="Y444"/>
      <c r="Z444"/>
      <c r="AA444"/>
      <c r="AB444"/>
      <c r="AC444"/>
      <c r="AD444"/>
      <c r="AE444"/>
      <c r="AF444"/>
      <c r="AG444"/>
      <c r="AH444"/>
      <c r="AI444"/>
      <c r="AJ444"/>
      <c r="AK444"/>
      <c r="AL444"/>
      <c r="AM444"/>
      <c r="AS444"/>
      <c r="BB444" s="1"/>
      <c r="BC444" s="60"/>
      <c r="BD444" s="62"/>
    </row>
    <row r="445" spans="1:56" ht="14.4" customHeight="1" x14ac:dyDescent="0.35">
      <c r="E445" s="1"/>
      <c r="X445" s="31"/>
      <c r="Y445"/>
      <c r="Z445"/>
      <c r="AA445"/>
      <c r="AB445"/>
      <c r="AC445"/>
      <c r="AD445"/>
      <c r="AE445"/>
      <c r="AF445"/>
      <c r="AG445"/>
      <c r="AH445"/>
      <c r="AI445"/>
      <c r="AJ445"/>
      <c r="AK445"/>
      <c r="AL445"/>
      <c r="AM445"/>
      <c r="AS445"/>
      <c r="BB445" s="1"/>
      <c r="BC445" s="60"/>
      <c r="BD445" s="62"/>
    </row>
    <row r="446" spans="1:56" ht="14.4" customHeight="1" x14ac:dyDescent="0.35">
      <c r="E446" s="1"/>
      <c r="X446" s="31"/>
      <c r="Y446"/>
      <c r="Z446"/>
      <c r="AA446"/>
      <c r="AB446"/>
      <c r="AC446"/>
      <c r="AD446"/>
      <c r="AE446"/>
      <c r="AF446"/>
      <c r="AG446"/>
      <c r="AH446"/>
      <c r="AI446"/>
      <c r="AJ446"/>
      <c r="AK446"/>
      <c r="AL446"/>
      <c r="AM446"/>
      <c r="AS446"/>
      <c r="BB446" s="1"/>
      <c r="BC446" s="60"/>
      <c r="BD446" s="62"/>
    </row>
    <row r="447" spans="1:56" ht="14.4" customHeight="1" x14ac:dyDescent="0.35">
      <c r="E447" s="1"/>
      <c r="X447" s="31"/>
      <c r="Y447"/>
      <c r="Z447"/>
      <c r="AA447"/>
      <c r="AB447"/>
      <c r="AC447"/>
      <c r="AD447"/>
      <c r="AE447"/>
      <c r="AF447"/>
      <c r="AG447"/>
      <c r="AH447"/>
      <c r="AI447"/>
      <c r="AJ447"/>
      <c r="AK447"/>
      <c r="AL447"/>
      <c r="AM447"/>
      <c r="AS447"/>
      <c r="BB447" s="1"/>
      <c r="BC447" s="60"/>
      <c r="BD447" s="62"/>
    </row>
    <row r="448" spans="1:56" ht="14.4" customHeight="1" x14ac:dyDescent="0.35">
      <c r="E448" s="1"/>
      <c r="X448" s="31"/>
      <c r="Y448"/>
      <c r="Z448"/>
      <c r="AA448"/>
      <c r="AB448"/>
      <c r="AC448"/>
      <c r="AD448"/>
      <c r="AE448"/>
      <c r="AF448"/>
      <c r="AG448"/>
      <c r="AH448"/>
      <c r="AI448"/>
      <c r="AJ448"/>
      <c r="AK448"/>
      <c r="AL448"/>
      <c r="AM448"/>
      <c r="AS448"/>
      <c r="BB448" s="1"/>
      <c r="BC448" s="60"/>
      <c r="BD448" s="62"/>
    </row>
    <row r="449" spans="5:56" ht="14.4" customHeight="1" x14ac:dyDescent="0.35">
      <c r="E449" s="1"/>
      <c r="X449" s="31"/>
      <c r="Y449"/>
      <c r="Z449"/>
      <c r="AA449"/>
      <c r="AB449"/>
      <c r="AC449"/>
      <c r="AD449"/>
      <c r="AE449"/>
      <c r="AF449"/>
      <c r="AG449"/>
      <c r="AH449"/>
      <c r="AI449"/>
      <c r="AJ449"/>
      <c r="AK449"/>
      <c r="AL449"/>
      <c r="AM449"/>
      <c r="AS449"/>
      <c r="BB449" s="1"/>
      <c r="BC449" s="60"/>
      <c r="BD449" s="62"/>
    </row>
    <row r="450" spans="5:56" ht="14.4" customHeight="1" x14ac:dyDescent="0.35">
      <c r="E450" s="1"/>
      <c r="X450" s="31"/>
      <c r="Y450"/>
      <c r="Z450"/>
      <c r="AA450"/>
      <c r="AB450"/>
      <c r="AC450"/>
      <c r="AD450"/>
      <c r="AE450"/>
      <c r="AF450"/>
      <c r="AG450"/>
      <c r="AH450"/>
      <c r="AI450"/>
      <c r="AJ450"/>
      <c r="AK450"/>
      <c r="AL450"/>
      <c r="AM450"/>
      <c r="AS450"/>
      <c r="BB450" s="1"/>
      <c r="BC450" s="60"/>
      <c r="BD450" s="62"/>
    </row>
    <row r="451" spans="5:56" ht="14.4" customHeight="1" x14ac:dyDescent="0.35">
      <c r="E451" s="1"/>
      <c r="X451" s="31"/>
      <c r="Y451"/>
      <c r="Z451"/>
      <c r="AA451"/>
      <c r="AB451"/>
      <c r="AC451"/>
      <c r="AD451"/>
      <c r="AE451"/>
      <c r="AF451"/>
      <c r="AG451"/>
      <c r="AH451"/>
      <c r="AI451"/>
      <c r="AJ451"/>
      <c r="AK451"/>
      <c r="AL451"/>
      <c r="AM451"/>
      <c r="AS451"/>
      <c r="BB451" s="1"/>
      <c r="BC451" s="60"/>
      <c r="BD451" s="62"/>
    </row>
    <row r="452" spans="5:56" x14ac:dyDescent="0.35">
      <c r="E452" s="1"/>
      <c r="X452" s="31"/>
      <c r="Y452"/>
      <c r="Z452"/>
      <c r="AA452"/>
      <c r="AB452"/>
      <c r="AC452"/>
      <c r="AD452"/>
      <c r="AE452"/>
      <c r="AF452"/>
      <c r="AG452"/>
      <c r="AH452"/>
      <c r="AI452"/>
      <c r="AJ452"/>
      <c r="AK452"/>
      <c r="AL452"/>
      <c r="AM452"/>
      <c r="AS452"/>
      <c r="BB452" s="1"/>
      <c r="BC452" s="60"/>
      <c r="BD452" s="62"/>
    </row>
    <row r="453" spans="5:56" ht="14.4" customHeight="1" x14ac:dyDescent="0.35">
      <c r="E453" s="1"/>
      <c r="X453" s="31"/>
      <c r="Y453"/>
      <c r="Z453"/>
      <c r="AA453"/>
      <c r="AB453"/>
      <c r="AC453"/>
      <c r="AD453"/>
      <c r="AE453"/>
      <c r="AF453"/>
      <c r="AG453"/>
      <c r="AH453"/>
      <c r="AI453"/>
      <c r="AJ453"/>
      <c r="AK453"/>
      <c r="AL453"/>
      <c r="AM453"/>
      <c r="AS453"/>
      <c r="BB453" s="1"/>
      <c r="BC453" s="60"/>
      <c r="BD453" s="62"/>
    </row>
    <row r="454" spans="5:56" ht="14.4" customHeight="1" x14ac:dyDescent="0.35">
      <c r="E454" s="1"/>
      <c r="X454" s="31"/>
      <c r="Y454"/>
      <c r="Z454"/>
      <c r="AA454"/>
      <c r="AB454"/>
      <c r="AC454"/>
      <c r="AD454"/>
      <c r="AE454"/>
      <c r="AF454"/>
      <c r="AG454"/>
      <c r="AH454"/>
      <c r="AI454"/>
      <c r="AJ454"/>
      <c r="AK454"/>
      <c r="AL454"/>
      <c r="AM454"/>
      <c r="AS454"/>
      <c r="BB454" s="1"/>
      <c r="BC454" s="60"/>
      <c r="BD454" s="62"/>
    </row>
    <row r="455" spans="5:56" ht="14.4" customHeight="1" x14ac:dyDescent="0.35">
      <c r="E455" s="1"/>
      <c r="X455" s="31"/>
      <c r="Y455"/>
      <c r="Z455"/>
      <c r="AA455"/>
      <c r="AB455"/>
      <c r="AC455"/>
      <c r="AD455"/>
      <c r="AE455"/>
      <c r="AF455"/>
      <c r="AG455"/>
      <c r="AH455"/>
      <c r="AI455"/>
      <c r="AJ455"/>
      <c r="AK455"/>
      <c r="AL455"/>
      <c r="AM455"/>
      <c r="AS455"/>
      <c r="BB455" s="1"/>
      <c r="BC455" s="60"/>
      <c r="BD455" s="62"/>
    </row>
    <row r="456" spans="5:56" ht="14.4" customHeight="1" x14ac:dyDescent="0.35">
      <c r="E456" s="1"/>
      <c r="X456" s="31"/>
      <c r="Y456"/>
      <c r="Z456"/>
      <c r="AA456"/>
      <c r="AB456"/>
      <c r="AC456"/>
      <c r="AD456"/>
      <c r="AE456"/>
      <c r="AF456"/>
      <c r="AG456"/>
      <c r="AH456"/>
      <c r="AI456"/>
      <c r="AJ456"/>
      <c r="AK456"/>
      <c r="AL456"/>
      <c r="AM456"/>
      <c r="AS456"/>
      <c r="BB456" s="1"/>
      <c r="BC456" s="60"/>
      <c r="BD456" s="62"/>
    </row>
    <row r="457" spans="5:56" ht="14.4" customHeight="1" x14ac:dyDescent="0.35">
      <c r="E457" s="1"/>
      <c r="X457" s="31"/>
      <c r="Y457"/>
      <c r="Z457"/>
      <c r="AA457"/>
      <c r="AB457"/>
      <c r="AC457"/>
      <c r="AD457"/>
      <c r="AE457"/>
      <c r="AF457"/>
      <c r="AG457"/>
      <c r="AH457"/>
      <c r="AI457"/>
      <c r="AJ457"/>
      <c r="AK457"/>
      <c r="AL457"/>
      <c r="AM457"/>
      <c r="AS457"/>
      <c r="BB457" s="1"/>
      <c r="BC457" s="60"/>
      <c r="BD457" s="62"/>
    </row>
    <row r="458" spans="5:56" ht="14.4" customHeight="1" x14ac:dyDescent="0.35">
      <c r="E458" s="1"/>
      <c r="X458" s="31"/>
      <c r="Y458"/>
      <c r="Z458"/>
      <c r="AA458"/>
      <c r="AB458"/>
      <c r="AC458"/>
      <c r="AD458"/>
      <c r="AE458"/>
      <c r="AF458"/>
      <c r="AG458"/>
      <c r="AH458"/>
      <c r="AI458"/>
      <c r="AJ458"/>
      <c r="AK458"/>
      <c r="AL458"/>
      <c r="AM458"/>
      <c r="AS458"/>
      <c r="BB458" s="1"/>
      <c r="BC458" s="60"/>
      <c r="BD458" s="62"/>
    </row>
    <row r="459" spans="5:56" x14ac:dyDescent="0.35">
      <c r="E459" s="1"/>
      <c r="X459" s="31"/>
      <c r="Y459"/>
      <c r="Z459"/>
      <c r="AA459"/>
      <c r="AB459"/>
      <c r="AC459"/>
      <c r="AD459"/>
      <c r="AE459"/>
      <c r="AF459"/>
      <c r="AG459"/>
      <c r="AH459"/>
      <c r="AI459"/>
      <c r="AJ459"/>
      <c r="AK459"/>
      <c r="AL459"/>
      <c r="AM459"/>
      <c r="AS459"/>
      <c r="BB459" s="1"/>
      <c r="BC459" s="60"/>
      <c r="BD459" s="62"/>
    </row>
    <row r="460" spans="5:56" ht="14.4" customHeight="1" x14ac:dyDescent="0.35">
      <c r="E460" s="1"/>
      <c r="X460" s="31"/>
      <c r="Y460"/>
      <c r="Z460"/>
      <c r="AA460"/>
      <c r="AB460"/>
      <c r="AC460"/>
      <c r="AD460"/>
      <c r="AE460"/>
      <c r="AF460"/>
      <c r="AG460"/>
      <c r="AH460"/>
      <c r="AI460"/>
      <c r="AJ460"/>
      <c r="AK460"/>
      <c r="AL460"/>
      <c r="AM460"/>
      <c r="AS460"/>
      <c r="BB460" s="1"/>
      <c r="BC460" s="60"/>
      <c r="BD460" s="62"/>
    </row>
    <row r="461" spans="5:56" ht="14.4" customHeight="1" x14ac:dyDescent="0.35">
      <c r="E461" s="1"/>
      <c r="X461" s="31"/>
      <c r="Y461"/>
      <c r="Z461"/>
      <c r="AA461"/>
      <c r="AB461"/>
      <c r="AC461"/>
      <c r="AD461"/>
      <c r="AE461"/>
      <c r="AF461"/>
      <c r="AG461"/>
      <c r="AH461"/>
      <c r="AI461"/>
      <c r="AJ461"/>
      <c r="AK461"/>
      <c r="AL461"/>
      <c r="AM461"/>
      <c r="AS461"/>
      <c r="BB461" s="1"/>
      <c r="BC461" s="60"/>
      <c r="BD461" s="62"/>
    </row>
    <row r="462" spans="5:56" ht="14.4" customHeight="1" x14ac:dyDescent="0.35">
      <c r="E462" s="1"/>
      <c r="X462" s="31"/>
      <c r="Y462"/>
      <c r="Z462"/>
      <c r="AA462"/>
      <c r="AB462"/>
      <c r="AC462"/>
      <c r="AD462"/>
      <c r="AE462"/>
      <c r="AF462"/>
      <c r="AG462"/>
      <c r="AH462"/>
      <c r="AI462"/>
      <c r="AJ462"/>
      <c r="AK462"/>
      <c r="AL462"/>
      <c r="AM462"/>
      <c r="AS462"/>
      <c r="BB462" s="1"/>
      <c r="BC462" s="60"/>
      <c r="BD462" s="62"/>
    </row>
    <row r="463" spans="5:56" ht="14.4" customHeight="1" x14ac:dyDescent="0.35">
      <c r="E463" s="1"/>
      <c r="X463" s="31"/>
      <c r="Y463"/>
      <c r="Z463"/>
      <c r="AA463"/>
      <c r="AB463"/>
      <c r="AC463"/>
      <c r="AD463"/>
      <c r="AE463"/>
      <c r="AF463"/>
      <c r="AG463"/>
      <c r="AH463"/>
      <c r="AI463"/>
      <c r="AJ463"/>
      <c r="AK463"/>
      <c r="AL463"/>
      <c r="AM463"/>
      <c r="AS463"/>
      <c r="BB463" s="1"/>
      <c r="BC463" s="60"/>
      <c r="BD463" s="62"/>
    </row>
    <row r="464" spans="5:56" ht="14.4" customHeight="1" x14ac:dyDescent="0.35">
      <c r="E464" s="1"/>
      <c r="X464" s="31"/>
      <c r="Y464"/>
      <c r="Z464"/>
      <c r="AA464"/>
      <c r="AB464"/>
      <c r="AC464"/>
      <c r="AD464"/>
      <c r="AE464"/>
      <c r="AF464"/>
      <c r="AG464"/>
      <c r="AH464"/>
      <c r="AI464"/>
      <c r="AJ464"/>
      <c r="AK464"/>
      <c r="AL464"/>
      <c r="AM464"/>
      <c r="AS464"/>
      <c r="BB464" s="1"/>
      <c r="BC464" s="60"/>
      <c r="BD464" s="62"/>
    </row>
    <row r="465" spans="1:56" ht="14.4" customHeight="1" x14ac:dyDescent="0.35">
      <c r="E465" s="1"/>
      <c r="X465" s="31"/>
      <c r="Y465"/>
      <c r="Z465"/>
      <c r="AA465"/>
      <c r="AB465"/>
      <c r="AC465"/>
      <c r="AD465"/>
      <c r="AE465"/>
      <c r="AF465"/>
      <c r="AG465"/>
      <c r="AH465"/>
      <c r="AI465"/>
      <c r="AJ465"/>
      <c r="AK465"/>
      <c r="AL465"/>
      <c r="AM465"/>
      <c r="AS465"/>
      <c r="BB465" s="1"/>
      <c r="BC465" s="60"/>
      <c r="BD465" s="62"/>
    </row>
    <row r="466" spans="1:56" ht="14.4" customHeight="1" x14ac:dyDescent="0.35">
      <c r="E466" s="1"/>
      <c r="X466" s="31"/>
      <c r="Y466"/>
      <c r="Z466"/>
      <c r="AA466"/>
      <c r="AB466"/>
      <c r="AC466"/>
      <c r="AD466"/>
      <c r="AE466"/>
      <c r="AF466"/>
      <c r="AG466"/>
      <c r="AH466"/>
      <c r="AI466"/>
      <c r="AJ466"/>
      <c r="AK466"/>
      <c r="AL466"/>
      <c r="AM466"/>
      <c r="AS466"/>
      <c r="BB466" s="1"/>
      <c r="BC466" s="60"/>
      <c r="BD466" s="62"/>
    </row>
    <row r="467" spans="1:56" ht="14.4" customHeight="1" x14ac:dyDescent="0.35">
      <c r="E467" s="1"/>
      <c r="X467" s="31"/>
      <c r="Y467"/>
      <c r="Z467"/>
      <c r="AA467"/>
      <c r="AB467"/>
      <c r="AC467"/>
      <c r="AD467"/>
      <c r="AE467"/>
      <c r="AF467"/>
      <c r="AG467"/>
      <c r="AH467"/>
      <c r="AI467"/>
      <c r="AJ467"/>
      <c r="AK467"/>
      <c r="AL467"/>
      <c r="AM467"/>
      <c r="AS467"/>
      <c r="BB467" s="1"/>
      <c r="BC467" s="60"/>
      <c r="BD467" s="62"/>
    </row>
    <row r="468" spans="1:56" ht="14.4" customHeight="1" x14ac:dyDescent="0.35">
      <c r="E468" s="1"/>
      <c r="X468" s="31"/>
      <c r="Y468"/>
      <c r="Z468"/>
      <c r="AA468"/>
      <c r="AB468"/>
      <c r="AC468"/>
      <c r="AD468"/>
      <c r="AE468"/>
      <c r="AF468"/>
      <c r="AG468"/>
      <c r="AH468"/>
      <c r="AI468"/>
      <c r="AJ468"/>
      <c r="AK468"/>
      <c r="AL468"/>
      <c r="AM468"/>
      <c r="AS468"/>
      <c r="BB468" s="1"/>
      <c r="BC468" s="60"/>
      <c r="BD468" s="62"/>
    </row>
    <row r="469" spans="1:56" ht="14.4" customHeight="1" x14ac:dyDescent="0.35">
      <c r="E469" s="1"/>
      <c r="X469" s="31"/>
      <c r="Y469"/>
      <c r="Z469"/>
      <c r="AA469"/>
      <c r="AB469"/>
      <c r="AC469"/>
      <c r="AD469"/>
      <c r="AE469"/>
      <c r="AF469"/>
      <c r="AG469"/>
      <c r="AH469"/>
      <c r="AI469"/>
      <c r="AJ469"/>
      <c r="AK469"/>
      <c r="AL469"/>
      <c r="AM469"/>
      <c r="AS469"/>
      <c r="BB469" s="1"/>
      <c r="BC469" s="60"/>
      <c r="BD469" s="62"/>
    </row>
    <row r="470" spans="1:56" ht="14.4" customHeight="1" x14ac:dyDescent="0.35">
      <c r="A470" s="2"/>
      <c r="E470" s="1"/>
      <c r="X470" s="31"/>
      <c r="Y470"/>
      <c r="Z470"/>
      <c r="AA470"/>
      <c r="AB470"/>
      <c r="AC470"/>
      <c r="AD470"/>
      <c r="AE470"/>
      <c r="AF470"/>
      <c r="AG470"/>
      <c r="AH470"/>
      <c r="AI470"/>
      <c r="AJ470"/>
      <c r="AK470"/>
      <c r="AL470"/>
      <c r="AM470"/>
      <c r="AS470"/>
      <c r="BB470" s="1"/>
      <c r="BC470" s="60"/>
      <c r="BD470" s="62"/>
    </row>
    <row r="471" spans="1:56" ht="14.4" customHeight="1" x14ac:dyDescent="0.35">
      <c r="E471" s="1"/>
      <c r="X471" s="31"/>
      <c r="Y471"/>
      <c r="Z471"/>
      <c r="AA471"/>
      <c r="AB471"/>
      <c r="AC471"/>
      <c r="AD471"/>
      <c r="AE471"/>
      <c r="AF471"/>
      <c r="AG471"/>
      <c r="AH471"/>
      <c r="AI471"/>
      <c r="AJ471"/>
      <c r="AK471"/>
      <c r="AL471"/>
      <c r="AM471"/>
      <c r="AS471"/>
      <c r="BB471" s="1"/>
      <c r="BC471" s="60"/>
      <c r="BD471" s="62"/>
    </row>
    <row r="472" spans="1:56" ht="14.4" customHeight="1" x14ac:dyDescent="0.35">
      <c r="E472" s="1"/>
      <c r="X472" s="31"/>
      <c r="Y472"/>
      <c r="Z472"/>
      <c r="AA472"/>
      <c r="AB472"/>
      <c r="AC472"/>
      <c r="AD472"/>
      <c r="AE472"/>
      <c r="AF472"/>
      <c r="AG472"/>
      <c r="AH472"/>
      <c r="AI472"/>
      <c r="AJ472"/>
      <c r="AK472"/>
      <c r="AL472"/>
      <c r="AM472"/>
      <c r="AS472"/>
      <c r="BB472" s="1"/>
      <c r="BC472" s="60"/>
      <c r="BD472" s="62"/>
    </row>
    <row r="473" spans="1:56" ht="14.4" customHeight="1" x14ac:dyDescent="0.35">
      <c r="E473" s="1"/>
      <c r="X473" s="31"/>
      <c r="Y473"/>
      <c r="Z473"/>
      <c r="AA473"/>
      <c r="AB473"/>
      <c r="AC473"/>
      <c r="AD473"/>
      <c r="AE473"/>
      <c r="AF473"/>
      <c r="AG473"/>
      <c r="AH473"/>
      <c r="AI473"/>
      <c r="AJ473"/>
      <c r="AK473"/>
      <c r="AL473"/>
      <c r="AM473"/>
      <c r="AS473"/>
      <c r="BB473" s="1"/>
      <c r="BC473" s="60"/>
      <c r="BD473" s="62"/>
    </row>
    <row r="474" spans="1:56" ht="14.4" customHeight="1" x14ac:dyDescent="0.35">
      <c r="E474" s="1"/>
      <c r="X474" s="31"/>
      <c r="Y474"/>
      <c r="Z474"/>
      <c r="AA474"/>
      <c r="AB474"/>
      <c r="AC474"/>
      <c r="AD474"/>
      <c r="AE474"/>
      <c r="AF474"/>
      <c r="AG474"/>
      <c r="AH474"/>
      <c r="AI474"/>
      <c r="AJ474"/>
      <c r="AK474"/>
      <c r="AL474"/>
      <c r="AM474"/>
      <c r="AS474"/>
      <c r="BB474" s="1"/>
      <c r="BC474" s="60"/>
      <c r="BD474" s="62"/>
    </row>
    <row r="475" spans="1:56" ht="14.4" customHeight="1" x14ac:dyDescent="0.35">
      <c r="E475" s="1"/>
      <c r="X475" s="31"/>
      <c r="Y475"/>
      <c r="Z475"/>
      <c r="AA475"/>
      <c r="AB475"/>
      <c r="AC475"/>
      <c r="AD475"/>
      <c r="AE475"/>
      <c r="AF475"/>
      <c r="AG475"/>
      <c r="AH475"/>
      <c r="AI475"/>
      <c r="AJ475"/>
      <c r="AK475"/>
      <c r="AL475"/>
      <c r="AM475"/>
      <c r="AS475"/>
      <c r="BB475" s="1"/>
      <c r="BC475" s="60"/>
      <c r="BD475" s="62"/>
    </row>
    <row r="476" spans="1:56" ht="14.4" customHeight="1" x14ac:dyDescent="0.35">
      <c r="E476" s="1"/>
      <c r="X476" s="31"/>
      <c r="Y476"/>
      <c r="Z476"/>
      <c r="AA476"/>
      <c r="AB476"/>
      <c r="AC476"/>
      <c r="AD476"/>
      <c r="AE476"/>
      <c r="AF476"/>
      <c r="AG476"/>
      <c r="AH476"/>
      <c r="AI476"/>
      <c r="AJ476"/>
      <c r="AK476"/>
      <c r="AL476"/>
      <c r="AM476"/>
      <c r="AS476"/>
      <c r="BB476" s="1"/>
      <c r="BC476" s="60"/>
      <c r="BD476" s="62"/>
    </row>
    <row r="477" spans="1:56" ht="14.4" customHeight="1" x14ac:dyDescent="0.35">
      <c r="E477" s="1"/>
      <c r="X477" s="31"/>
      <c r="Y477"/>
      <c r="Z477"/>
      <c r="AA477"/>
      <c r="AB477"/>
      <c r="AC477"/>
      <c r="AD477"/>
      <c r="AE477"/>
      <c r="AF477"/>
      <c r="AG477"/>
      <c r="AH477"/>
      <c r="AI477"/>
      <c r="AJ477"/>
      <c r="AK477"/>
      <c r="AL477"/>
      <c r="AM477"/>
      <c r="AS477"/>
      <c r="BB477" s="1"/>
      <c r="BC477" s="60"/>
      <c r="BD477" s="62"/>
    </row>
    <row r="478" spans="1:56" ht="14.4" customHeight="1" x14ac:dyDescent="0.35">
      <c r="E478" s="1"/>
      <c r="X478" s="31"/>
      <c r="Y478"/>
      <c r="Z478"/>
      <c r="AA478"/>
      <c r="AB478"/>
      <c r="AC478"/>
      <c r="AD478"/>
      <c r="AE478"/>
      <c r="AF478"/>
      <c r="AG478"/>
      <c r="AH478"/>
      <c r="AI478"/>
      <c r="AJ478"/>
      <c r="AK478"/>
      <c r="AL478"/>
      <c r="AM478"/>
      <c r="AS478"/>
      <c r="BB478" s="1"/>
      <c r="BC478" s="60"/>
      <c r="BD478" s="62"/>
    </row>
    <row r="479" spans="1:56" ht="14.4" customHeight="1" x14ac:dyDescent="0.35">
      <c r="E479" s="1"/>
      <c r="X479" s="31"/>
      <c r="Y479"/>
      <c r="Z479"/>
      <c r="AA479"/>
      <c r="AB479"/>
      <c r="AC479"/>
      <c r="AD479"/>
      <c r="AE479"/>
      <c r="AF479"/>
      <c r="AG479"/>
      <c r="AH479"/>
      <c r="AI479"/>
      <c r="AJ479"/>
      <c r="AK479"/>
      <c r="AL479"/>
      <c r="AM479"/>
      <c r="AS479"/>
      <c r="BB479" s="1"/>
      <c r="BC479" s="60"/>
      <c r="BD479" s="62"/>
    </row>
    <row r="480" spans="1:56" x14ac:dyDescent="0.35">
      <c r="E480" s="1"/>
      <c r="X480" s="31"/>
      <c r="Y480"/>
      <c r="Z480"/>
      <c r="AA480"/>
      <c r="AB480"/>
      <c r="AC480"/>
      <c r="AD480"/>
      <c r="AE480"/>
      <c r="AF480"/>
      <c r="AG480"/>
      <c r="AH480"/>
      <c r="AI480"/>
      <c r="AJ480"/>
      <c r="AK480"/>
      <c r="AL480"/>
      <c r="AM480"/>
      <c r="AS480"/>
      <c r="BB480" s="1"/>
      <c r="BC480" s="60"/>
      <c r="BD480" s="62"/>
    </row>
    <row r="481" spans="5:56" x14ac:dyDescent="0.35">
      <c r="E481" s="1"/>
      <c r="X481" s="31"/>
      <c r="Y481"/>
      <c r="Z481"/>
      <c r="AA481"/>
      <c r="AB481"/>
      <c r="AC481"/>
      <c r="AD481"/>
      <c r="AE481"/>
      <c r="AF481"/>
      <c r="AG481"/>
      <c r="AH481"/>
      <c r="AI481"/>
      <c r="AJ481"/>
      <c r="AK481"/>
      <c r="AL481"/>
      <c r="AM481"/>
      <c r="AS481"/>
      <c r="BB481" s="1"/>
      <c r="BC481" s="60"/>
      <c r="BD481" s="62"/>
    </row>
    <row r="482" spans="5:56" x14ac:dyDescent="0.35">
      <c r="E482" s="1"/>
      <c r="X482" s="31"/>
      <c r="Y482"/>
      <c r="Z482"/>
      <c r="AA482"/>
      <c r="AB482"/>
      <c r="AC482"/>
      <c r="AD482"/>
      <c r="AE482"/>
      <c r="AF482"/>
      <c r="AG482"/>
      <c r="AH482"/>
      <c r="AI482"/>
      <c r="AJ482"/>
      <c r="AK482"/>
      <c r="AL482"/>
      <c r="AM482"/>
      <c r="AS482"/>
      <c r="BB482" s="1"/>
      <c r="BC482" s="60"/>
      <c r="BD482" s="62"/>
    </row>
    <row r="483" spans="5:56" x14ac:dyDescent="0.35">
      <c r="E483" s="1"/>
      <c r="X483" s="31"/>
      <c r="Y483"/>
      <c r="Z483"/>
      <c r="AA483"/>
      <c r="AB483"/>
      <c r="AC483"/>
      <c r="AD483"/>
      <c r="AE483"/>
      <c r="AF483"/>
      <c r="AG483"/>
      <c r="AH483"/>
      <c r="AI483"/>
      <c r="AJ483"/>
      <c r="AK483"/>
      <c r="AL483"/>
      <c r="AM483"/>
      <c r="AS483"/>
      <c r="BB483" s="1"/>
      <c r="BC483" s="60"/>
      <c r="BD483" s="62"/>
    </row>
    <row r="484" spans="5:56" x14ac:dyDescent="0.35">
      <c r="E484" s="1"/>
      <c r="X484" s="31"/>
      <c r="Y484"/>
      <c r="Z484"/>
      <c r="AA484"/>
      <c r="AB484"/>
      <c r="AC484"/>
      <c r="AD484"/>
      <c r="AE484"/>
      <c r="AF484"/>
      <c r="AG484"/>
      <c r="AH484"/>
      <c r="AI484"/>
      <c r="AJ484"/>
      <c r="AK484"/>
      <c r="AL484"/>
      <c r="AM484"/>
      <c r="AS484"/>
      <c r="BB484" s="1"/>
      <c r="BC484" s="60"/>
      <c r="BD484" s="62"/>
    </row>
    <row r="485" spans="5:56" x14ac:dyDescent="0.35">
      <c r="E485" s="1"/>
      <c r="X485" s="31"/>
      <c r="Y485"/>
      <c r="Z485"/>
      <c r="AA485"/>
      <c r="AB485"/>
      <c r="AC485"/>
      <c r="AD485"/>
      <c r="AE485"/>
      <c r="AF485"/>
      <c r="AG485"/>
      <c r="AH485"/>
      <c r="AI485"/>
      <c r="AJ485"/>
      <c r="AK485"/>
      <c r="AL485"/>
      <c r="AM485"/>
      <c r="AS485"/>
      <c r="BB485" s="1"/>
      <c r="BC485" s="60"/>
      <c r="BD485" s="62"/>
    </row>
    <row r="486" spans="5:56" x14ac:dyDescent="0.35">
      <c r="E486" s="1"/>
      <c r="X486" s="31"/>
      <c r="Y486"/>
      <c r="Z486"/>
      <c r="AA486"/>
      <c r="AB486"/>
      <c r="AC486"/>
      <c r="AD486"/>
      <c r="AE486"/>
      <c r="AF486"/>
      <c r="AG486"/>
      <c r="AH486"/>
      <c r="AI486"/>
      <c r="AJ486"/>
      <c r="AK486"/>
      <c r="AL486"/>
      <c r="AM486"/>
      <c r="AS486"/>
      <c r="BB486" s="1"/>
      <c r="BC486" s="60"/>
      <c r="BD486" s="62"/>
    </row>
    <row r="487" spans="5:56" x14ac:dyDescent="0.35">
      <c r="E487" s="1"/>
      <c r="X487" s="31"/>
      <c r="Y487"/>
      <c r="Z487"/>
      <c r="AA487"/>
      <c r="AB487"/>
      <c r="AC487"/>
      <c r="AD487"/>
      <c r="AE487"/>
      <c r="AF487"/>
      <c r="AG487"/>
      <c r="AH487"/>
      <c r="AI487"/>
      <c r="AJ487"/>
      <c r="AK487"/>
      <c r="AL487"/>
      <c r="AM487"/>
      <c r="AS487"/>
      <c r="BB487" s="1"/>
      <c r="BC487" s="60"/>
      <c r="BD487" s="62"/>
    </row>
    <row r="488" spans="5:56" x14ac:dyDescent="0.35">
      <c r="E488" s="1"/>
      <c r="X488" s="31"/>
      <c r="Y488"/>
      <c r="Z488"/>
      <c r="AA488"/>
      <c r="AB488"/>
      <c r="AC488"/>
      <c r="AD488"/>
      <c r="AE488"/>
      <c r="AF488"/>
      <c r="AG488"/>
      <c r="AH488"/>
      <c r="AI488"/>
      <c r="AJ488"/>
      <c r="AK488"/>
      <c r="AL488"/>
      <c r="AM488"/>
      <c r="AS488"/>
      <c r="BB488" s="1"/>
      <c r="BC488" s="60"/>
      <c r="BD488" s="62"/>
    </row>
    <row r="489" spans="5:56" x14ac:dyDescent="0.35">
      <c r="E489" s="1"/>
      <c r="X489" s="31"/>
      <c r="Y489"/>
      <c r="Z489"/>
      <c r="AA489"/>
      <c r="AB489"/>
      <c r="AC489"/>
      <c r="AD489"/>
      <c r="AE489"/>
      <c r="AF489"/>
      <c r="AG489"/>
      <c r="AH489"/>
      <c r="AI489"/>
      <c r="AJ489"/>
      <c r="AK489"/>
      <c r="AL489"/>
      <c r="AM489"/>
      <c r="AS489"/>
      <c r="BB489" s="1"/>
      <c r="BC489" s="60"/>
      <c r="BD489" s="62"/>
    </row>
    <row r="490" spans="5:56" x14ac:dyDescent="0.35">
      <c r="E490" s="1"/>
      <c r="X490" s="31"/>
      <c r="Y490"/>
      <c r="Z490"/>
      <c r="AA490"/>
      <c r="AB490"/>
      <c r="AC490"/>
      <c r="AD490"/>
      <c r="AE490"/>
      <c r="AF490"/>
      <c r="AG490"/>
      <c r="AH490"/>
      <c r="AI490"/>
      <c r="AJ490"/>
      <c r="AK490"/>
      <c r="AL490"/>
      <c r="AM490"/>
      <c r="AS490"/>
      <c r="BB490" s="1"/>
      <c r="BC490" s="60"/>
      <c r="BD490" s="62"/>
    </row>
    <row r="491" spans="5:56" x14ac:dyDescent="0.35">
      <c r="E491" s="1"/>
      <c r="X491" s="31"/>
      <c r="Y491"/>
      <c r="Z491"/>
      <c r="AA491"/>
      <c r="AB491"/>
      <c r="AC491"/>
      <c r="AD491"/>
      <c r="AE491"/>
      <c r="AF491"/>
      <c r="AG491"/>
      <c r="AH491"/>
      <c r="AI491"/>
      <c r="AJ491"/>
      <c r="AK491"/>
      <c r="AL491"/>
      <c r="AM491"/>
      <c r="AS491"/>
      <c r="BB491" s="1"/>
      <c r="BC491" s="60"/>
      <c r="BD491" s="62"/>
    </row>
    <row r="492" spans="5:56" x14ac:dyDescent="0.35">
      <c r="E492" s="1"/>
      <c r="X492" s="31"/>
      <c r="Y492"/>
      <c r="Z492"/>
      <c r="AA492"/>
      <c r="AB492"/>
      <c r="AC492"/>
      <c r="AD492"/>
      <c r="AE492"/>
      <c r="AF492"/>
      <c r="AG492"/>
      <c r="AH492"/>
      <c r="AI492"/>
      <c r="AJ492"/>
      <c r="AK492"/>
      <c r="AL492"/>
      <c r="AM492"/>
      <c r="AS492"/>
      <c r="BB492" s="1"/>
      <c r="BC492" s="60"/>
      <c r="BD492" s="62"/>
    </row>
    <row r="493" spans="5:56" x14ac:dyDescent="0.35">
      <c r="E493" s="1"/>
      <c r="X493" s="31"/>
      <c r="Y493"/>
      <c r="Z493"/>
      <c r="AA493"/>
      <c r="AB493"/>
      <c r="AC493"/>
      <c r="AD493"/>
      <c r="AE493"/>
      <c r="AF493"/>
      <c r="AG493"/>
      <c r="AH493"/>
      <c r="AI493"/>
      <c r="AJ493"/>
      <c r="AK493"/>
      <c r="AL493"/>
      <c r="AM493"/>
      <c r="AS493"/>
      <c r="BB493" s="1"/>
      <c r="BC493" s="60"/>
      <c r="BD493" s="62"/>
    </row>
    <row r="494" spans="5:56" x14ac:dyDescent="0.35">
      <c r="E494" s="1"/>
      <c r="X494" s="31"/>
      <c r="Y494"/>
      <c r="Z494"/>
      <c r="AA494"/>
      <c r="AB494"/>
      <c r="AC494"/>
      <c r="AD494"/>
      <c r="AE494"/>
      <c r="AF494"/>
      <c r="AG494"/>
      <c r="AH494"/>
      <c r="AI494"/>
      <c r="AJ494"/>
      <c r="AK494"/>
      <c r="AL494"/>
      <c r="AM494"/>
      <c r="AS494"/>
      <c r="BB494" s="1"/>
      <c r="BC494" s="60"/>
      <c r="BD494" s="62"/>
    </row>
    <row r="495" spans="5:56" x14ac:dyDescent="0.35">
      <c r="E495" s="1"/>
      <c r="X495" s="31"/>
      <c r="Y495"/>
      <c r="Z495"/>
      <c r="AA495"/>
      <c r="AB495"/>
      <c r="AC495"/>
      <c r="AD495"/>
      <c r="AE495"/>
      <c r="AF495"/>
      <c r="AG495"/>
      <c r="AH495"/>
      <c r="AI495"/>
      <c r="AJ495"/>
      <c r="AK495"/>
      <c r="AL495"/>
      <c r="AM495"/>
      <c r="AS495"/>
      <c r="BB495" s="1"/>
      <c r="BC495" s="60"/>
      <c r="BD495" s="62"/>
    </row>
    <row r="496" spans="5:56" x14ac:dyDescent="0.35">
      <c r="E496" s="1"/>
      <c r="X496" s="31"/>
      <c r="Y496"/>
      <c r="Z496"/>
      <c r="AA496"/>
      <c r="AB496"/>
      <c r="AC496"/>
      <c r="AD496"/>
      <c r="AE496"/>
      <c r="AF496"/>
      <c r="AG496"/>
      <c r="AH496"/>
      <c r="AI496"/>
      <c r="AJ496"/>
      <c r="AK496"/>
      <c r="AL496"/>
      <c r="AM496"/>
      <c r="AS496"/>
      <c r="BB496" s="1"/>
      <c r="BC496" s="60"/>
      <c r="BD496" s="62"/>
    </row>
    <row r="497" spans="5:56" x14ac:dyDescent="0.35">
      <c r="E497" s="1"/>
      <c r="X497" s="31"/>
      <c r="Y497"/>
      <c r="Z497"/>
      <c r="AA497"/>
      <c r="AB497"/>
      <c r="AC497"/>
      <c r="AD497"/>
      <c r="AE497"/>
      <c r="AF497"/>
      <c r="AG497"/>
      <c r="AH497"/>
      <c r="AI497"/>
      <c r="AJ497"/>
      <c r="AK497"/>
      <c r="AL497"/>
      <c r="AM497"/>
      <c r="AS497"/>
      <c r="BB497" s="1"/>
      <c r="BC497" s="60"/>
      <c r="BD497" s="62"/>
    </row>
    <row r="498" spans="5:56" x14ac:dyDescent="0.35">
      <c r="E498" s="1"/>
      <c r="X498" s="31"/>
      <c r="Y498"/>
      <c r="Z498"/>
      <c r="AA498"/>
      <c r="AB498"/>
      <c r="AC498"/>
      <c r="AD498"/>
      <c r="AE498"/>
      <c r="AF498"/>
      <c r="AG498"/>
      <c r="AH498"/>
      <c r="AI498"/>
      <c r="AJ498"/>
      <c r="AK498"/>
      <c r="AL498"/>
      <c r="AM498"/>
      <c r="AS498"/>
      <c r="BB498" s="1"/>
      <c r="BC498" s="60"/>
      <c r="BD498" s="62"/>
    </row>
    <row r="499" spans="5:56" x14ac:dyDescent="0.35">
      <c r="E499" s="1"/>
      <c r="X499" s="31"/>
      <c r="Y499"/>
      <c r="Z499"/>
      <c r="AA499"/>
      <c r="AB499"/>
      <c r="AC499"/>
      <c r="AD499"/>
      <c r="AE499"/>
      <c r="AF499"/>
      <c r="AG499"/>
      <c r="AH499"/>
      <c r="AI499"/>
      <c r="AJ499"/>
      <c r="AK499"/>
      <c r="AL499"/>
      <c r="AM499"/>
      <c r="AS499"/>
      <c r="BB499" s="1"/>
      <c r="BC499" s="60"/>
      <c r="BD499" s="62"/>
    </row>
    <row r="500" spans="5:56" x14ac:dyDescent="0.35">
      <c r="E500" s="1"/>
      <c r="X500" s="31"/>
      <c r="Y500"/>
      <c r="Z500"/>
      <c r="AA500"/>
      <c r="AB500"/>
      <c r="AC500"/>
      <c r="AD500"/>
      <c r="AE500"/>
      <c r="AF500"/>
      <c r="AG500"/>
      <c r="AH500"/>
      <c r="AI500"/>
      <c r="AJ500"/>
      <c r="AK500"/>
      <c r="AL500"/>
      <c r="AM500"/>
      <c r="AS500"/>
      <c r="BB500" s="1"/>
      <c r="BC500" s="60"/>
      <c r="BD500" s="62"/>
    </row>
    <row r="501" spans="5:56" x14ac:dyDescent="0.35">
      <c r="E501" s="1"/>
      <c r="X501" s="31"/>
      <c r="Y501"/>
      <c r="Z501"/>
      <c r="AA501"/>
      <c r="AB501"/>
      <c r="AC501"/>
      <c r="AD501"/>
      <c r="AE501"/>
      <c r="AF501"/>
      <c r="AG501"/>
      <c r="AH501"/>
      <c r="AI501"/>
      <c r="AJ501"/>
      <c r="AK501"/>
      <c r="AL501"/>
      <c r="AM501"/>
      <c r="AS501"/>
      <c r="BB501" s="1"/>
      <c r="BC501" s="60"/>
      <c r="BD501" s="62"/>
    </row>
    <row r="502" spans="5:56" x14ac:dyDescent="0.35">
      <c r="E502" s="1"/>
      <c r="X502" s="31"/>
      <c r="Y502"/>
      <c r="Z502"/>
      <c r="AA502"/>
      <c r="AB502"/>
      <c r="AC502"/>
      <c r="AD502"/>
      <c r="AE502"/>
      <c r="AF502"/>
      <c r="AG502"/>
      <c r="AH502"/>
      <c r="AI502"/>
      <c r="AJ502"/>
      <c r="AK502"/>
      <c r="AL502"/>
      <c r="AM502"/>
      <c r="AS502"/>
      <c r="BB502" s="1"/>
      <c r="BC502" s="60"/>
      <c r="BD502" s="62"/>
    </row>
    <row r="503" spans="5:56" x14ac:dyDescent="0.35">
      <c r="E503" s="1"/>
      <c r="X503" s="31"/>
      <c r="Y503"/>
      <c r="Z503"/>
      <c r="AA503"/>
      <c r="AB503"/>
      <c r="AC503"/>
      <c r="AD503"/>
      <c r="AE503"/>
      <c r="AF503"/>
      <c r="AG503"/>
      <c r="AH503"/>
      <c r="AI503"/>
      <c r="AJ503"/>
      <c r="AK503"/>
      <c r="AL503"/>
      <c r="AM503"/>
      <c r="AS503"/>
      <c r="BB503" s="1"/>
      <c r="BC503" s="60"/>
      <c r="BD503" s="62"/>
    </row>
    <row r="504" spans="5:56" x14ac:dyDescent="0.35">
      <c r="E504" s="1"/>
      <c r="X504" s="31"/>
      <c r="Y504"/>
      <c r="Z504"/>
      <c r="AA504"/>
      <c r="AB504"/>
      <c r="AC504"/>
      <c r="AD504"/>
      <c r="AE504"/>
      <c r="AF504"/>
      <c r="AG504"/>
      <c r="AH504"/>
      <c r="AI504"/>
      <c r="AJ504"/>
      <c r="AK504"/>
      <c r="AL504"/>
      <c r="AM504"/>
      <c r="AS504"/>
      <c r="BB504" s="1"/>
      <c r="BC504" s="60"/>
      <c r="BD504" s="62"/>
    </row>
    <row r="505" spans="5:56" x14ac:dyDescent="0.35">
      <c r="E505" s="1"/>
      <c r="X505" s="31"/>
      <c r="Y505"/>
      <c r="Z505"/>
      <c r="AA505"/>
      <c r="AB505"/>
      <c r="AC505"/>
      <c r="AD505"/>
      <c r="AE505"/>
      <c r="AF505"/>
      <c r="AG505"/>
      <c r="AH505"/>
      <c r="AI505"/>
      <c r="AJ505"/>
      <c r="AK505"/>
      <c r="AL505"/>
      <c r="AM505"/>
      <c r="AS505"/>
      <c r="BB505" s="1"/>
      <c r="BC505" s="60"/>
      <c r="BD505" s="62"/>
    </row>
    <row r="506" spans="5:56" x14ac:dyDescent="0.35">
      <c r="E506" s="1"/>
      <c r="X506" s="31"/>
      <c r="Y506"/>
      <c r="Z506"/>
      <c r="AA506"/>
      <c r="AB506"/>
      <c r="AC506"/>
      <c r="AD506"/>
      <c r="AE506"/>
      <c r="AF506"/>
      <c r="AG506"/>
      <c r="AH506"/>
      <c r="AI506"/>
      <c r="AJ506"/>
      <c r="AK506"/>
      <c r="AL506"/>
      <c r="AM506"/>
      <c r="AS506"/>
      <c r="BB506" s="1"/>
      <c r="BC506" s="60"/>
      <c r="BD506" s="62"/>
    </row>
    <row r="507" spans="5:56" x14ac:dyDescent="0.35">
      <c r="E507" s="1"/>
      <c r="X507" s="31"/>
      <c r="Y507"/>
      <c r="Z507"/>
      <c r="AA507"/>
      <c r="AB507"/>
      <c r="AC507"/>
      <c r="AD507"/>
      <c r="AE507"/>
      <c r="AF507"/>
      <c r="AG507"/>
      <c r="AH507"/>
      <c r="AI507"/>
      <c r="AJ507"/>
      <c r="AK507"/>
      <c r="AL507"/>
      <c r="AM507"/>
      <c r="AS507"/>
      <c r="BB507" s="1"/>
      <c r="BC507" s="60"/>
      <c r="BD507" s="62"/>
    </row>
    <row r="508" spans="5:56" x14ac:dyDescent="0.35">
      <c r="E508" s="1"/>
      <c r="X508" s="31"/>
      <c r="Y508"/>
      <c r="Z508"/>
      <c r="AA508"/>
      <c r="AB508"/>
      <c r="AC508"/>
      <c r="AD508"/>
      <c r="AE508"/>
      <c r="AF508"/>
      <c r="AG508"/>
      <c r="AH508"/>
      <c r="AI508"/>
      <c r="AJ508"/>
      <c r="AK508"/>
      <c r="AL508"/>
      <c r="AM508"/>
      <c r="AS508"/>
      <c r="BB508" s="1"/>
      <c r="BC508" s="60"/>
      <c r="BD508" s="62"/>
    </row>
    <row r="509" spans="5:56" x14ac:dyDescent="0.35">
      <c r="E509" s="1"/>
      <c r="X509" s="31"/>
      <c r="Y509"/>
      <c r="Z509"/>
      <c r="AA509"/>
      <c r="AB509"/>
      <c r="AC509"/>
      <c r="AD509"/>
      <c r="AE509"/>
      <c r="AF509"/>
      <c r="AG509"/>
      <c r="AH509"/>
      <c r="AI509"/>
      <c r="AJ509"/>
      <c r="AK509"/>
      <c r="AL509"/>
      <c r="AM509"/>
      <c r="AS509"/>
      <c r="BB509" s="1"/>
      <c r="BC509" s="60"/>
      <c r="BD509" s="62"/>
    </row>
    <row r="510" spans="5:56" x14ac:dyDescent="0.35">
      <c r="E510" s="1"/>
      <c r="X510" s="31"/>
      <c r="Y510"/>
      <c r="Z510"/>
      <c r="AA510"/>
      <c r="AB510"/>
      <c r="AC510"/>
      <c r="AD510"/>
      <c r="AE510"/>
      <c r="AF510"/>
      <c r="AG510"/>
      <c r="AH510"/>
      <c r="AI510"/>
      <c r="AJ510"/>
      <c r="AK510"/>
      <c r="AL510"/>
      <c r="AM510"/>
      <c r="AS510"/>
      <c r="BB510" s="1"/>
      <c r="BC510" s="60"/>
      <c r="BD510" s="62"/>
    </row>
    <row r="511" spans="5:56" x14ac:dyDescent="0.35">
      <c r="E511" s="1"/>
      <c r="X511" s="31"/>
      <c r="Y511"/>
      <c r="Z511"/>
      <c r="AA511"/>
      <c r="AB511"/>
      <c r="AC511"/>
      <c r="AD511"/>
      <c r="AE511"/>
      <c r="AF511"/>
      <c r="AG511"/>
      <c r="AH511"/>
      <c r="AI511"/>
      <c r="AJ511"/>
      <c r="AK511"/>
      <c r="AL511"/>
      <c r="AM511"/>
      <c r="AS511"/>
      <c r="BB511" s="1"/>
      <c r="BC511" s="60"/>
      <c r="BD511" s="62"/>
    </row>
    <row r="512" spans="5:56" x14ac:dyDescent="0.35">
      <c r="E512" s="1"/>
      <c r="X512" s="31"/>
      <c r="Y512"/>
      <c r="Z512"/>
      <c r="AA512"/>
      <c r="AB512"/>
      <c r="AC512"/>
      <c r="AD512"/>
      <c r="AE512"/>
      <c r="AF512"/>
      <c r="AG512"/>
      <c r="AH512"/>
      <c r="AI512"/>
      <c r="AJ512"/>
      <c r="AK512"/>
      <c r="AL512"/>
      <c r="AM512"/>
      <c r="AS512"/>
      <c r="BB512" s="1"/>
      <c r="BC512" s="60"/>
      <c r="BD512" s="62"/>
    </row>
    <row r="513" spans="1:56" x14ac:dyDescent="0.35">
      <c r="A513" s="2"/>
      <c r="E513" s="1"/>
      <c r="X513" s="31"/>
      <c r="Y513"/>
      <c r="Z513"/>
      <c r="AA513"/>
      <c r="AB513"/>
      <c r="AC513"/>
      <c r="AD513"/>
      <c r="AE513"/>
      <c r="AF513"/>
      <c r="AG513"/>
      <c r="AH513"/>
      <c r="AI513"/>
      <c r="AJ513"/>
      <c r="AK513"/>
      <c r="AL513"/>
      <c r="AM513"/>
      <c r="AS513"/>
      <c r="BB513" s="1"/>
      <c r="BC513" s="60"/>
    </row>
    <row r="514" spans="1:56" x14ac:dyDescent="0.35">
      <c r="E514" s="1"/>
      <c r="X514" s="31"/>
      <c r="Y514"/>
      <c r="Z514"/>
      <c r="AA514"/>
      <c r="AB514"/>
      <c r="AC514"/>
      <c r="AD514"/>
      <c r="AE514"/>
      <c r="AF514"/>
      <c r="AG514"/>
      <c r="AH514"/>
      <c r="AI514"/>
      <c r="AJ514"/>
      <c r="AK514"/>
      <c r="AL514"/>
      <c r="AM514"/>
      <c r="AS514"/>
      <c r="BB514" s="1"/>
      <c r="BC514" s="60"/>
    </row>
    <row r="515" spans="1:56" x14ac:dyDescent="0.35">
      <c r="E515" s="1"/>
      <c r="X515" s="31"/>
      <c r="Y515"/>
      <c r="Z515"/>
      <c r="AA515"/>
      <c r="AB515"/>
      <c r="AC515"/>
      <c r="AD515"/>
      <c r="AE515"/>
      <c r="AF515"/>
      <c r="AG515"/>
      <c r="AH515"/>
      <c r="AI515"/>
      <c r="AJ515"/>
      <c r="AK515"/>
      <c r="AL515"/>
      <c r="AM515"/>
      <c r="AS515"/>
      <c r="BB515" s="1"/>
      <c r="BC515" s="60"/>
    </row>
    <row r="516" spans="1:56" x14ac:dyDescent="0.35">
      <c r="E516" s="1"/>
      <c r="X516" s="31"/>
      <c r="Y516"/>
      <c r="Z516"/>
      <c r="AA516"/>
      <c r="AB516"/>
      <c r="AC516"/>
      <c r="AD516"/>
      <c r="AE516"/>
      <c r="AF516"/>
      <c r="AG516"/>
      <c r="AH516"/>
      <c r="AI516"/>
      <c r="AJ516"/>
      <c r="AK516"/>
      <c r="AL516"/>
      <c r="AM516"/>
      <c r="AS516"/>
      <c r="BB516" s="1"/>
      <c r="BC516" s="60"/>
    </row>
    <row r="517" spans="1:56" x14ac:dyDescent="0.35">
      <c r="E517" s="1"/>
      <c r="X517" s="31"/>
      <c r="Y517"/>
      <c r="Z517"/>
      <c r="AA517"/>
      <c r="AB517"/>
      <c r="AC517"/>
      <c r="AD517"/>
      <c r="AE517"/>
      <c r="AF517"/>
      <c r="AG517"/>
      <c r="AH517"/>
      <c r="AI517"/>
      <c r="AJ517"/>
      <c r="AK517"/>
      <c r="AL517"/>
      <c r="AM517"/>
      <c r="AS517"/>
      <c r="BB517" s="1"/>
      <c r="BC517" s="60"/>
      <c r="BD517" s="62"/>
    </row>
    <row r="518" spans="1:56" x14ac:dyDescent="0.35">
      <c r="E518" s="1"/>
      <c r="X518" s="31"/>
      <c r="Y518"/>
      <c r="Z518"/>
      <c r="AA518"/>
      <c r="AB518"/>
      <c r="AC518"/>
      <c r="AD518"/>
      <c r="AE518"/>
      <c r="AF518"/>
      <c r="AG518"/>
      <c r="AH518"/>
      <c r="AI518"/>
      <c r="AJ518"/>
      <c r="AK518"/>
      <c r="AL518"/>
      <c r="AM518"/>
      <c r="AS518"/>
      <c r="BB518" s="1"/>
      <c r="BC518" s="60"/>
    </row>
    <row r="519" spans="1:56" x14ac:dyDescent="0.35">
      <c r="E519" s="1"/>
      <c r="X519" s="31"/>
      <c r="Y519"/>
      <c r="Z519"/>
      <c r="AA519"/>
      <c r="AB519"/>
      <c r="AC519"/>
      <c r="AD519"/>
      <c r="AE519"/>
      <c r="AF519"/>
      <c r="AG519"/>
      <c r="AH519"/>
      <c r="AI519"/>
      <c r="AJ519"/>
      <c r="AK519"/>
      <c r="AL519"/>
      <c r="AM519"/>
      <c r="AS519"/>
      <c r="BB519" s="1"/>
      <c r="BC519" s="60"/>
    </row>
    <row r="520" spans="1:56" x14ac:dyDescent="0.35">
      <c r="E520" s="1"/>
      <c r="X520" s="31"/>
      <c r="Y520"/>
      <c r="Z520"/>
      <c r="AA520"/>
      <c r="AB520"/>
      <c r="AC520"/>
      <c r="AD520"/>
      <c r="AE520"/>
      <c r="AF520"/>
      <c r="AG520"/>
      <c r="AH520"/>
      <c r="AI520"/>
      <c r="AJ520"/>
      <c r="AK520"/>
      <c r="AL520"/>
      <c r="AM520"/>
      <c r="AS520"/>
      <c r="BB520" s="1"/>
      <c r="BC520" s="60"/>
      <c r="BD520" s="62"/>
    </row>
    <row r="521" spans="1:56" x14ac:dyDescent="0.35">
      <c r="E521" s="1"/>
      <c r="X521" s="31"/>
      <c r="Y521"/>
      <c r="Z521"/>
      <c r="AA521"/>
      <c r="AB521"/>
      <c r="AC521"/>
      <c r="AD521"/>
      <c r="AE521"/>
      <c r="AF521"/>
      <c r="AG521"/>
      <c r="AH521"/>
      <c r="AI521"/>
      <c r="AJ521"/>
      <c r="AK521"/>
      <c r="AL521"/>
      <c r="AM521"/>
      <c r="AS521"/>
      <c r="BB521" s="1"/>
      <c r="BC521" s="60"/>
      <c r="BD521" s="62"/>
    </row>
    <row r="522" spans="1:56" x14ac:dyDescent="0.35">
      <c r="E522" s="1"/>
      <c r="X522" s="31"/>
      <c r="Y522"/>
      <c r="Z522"/>
      <c r="AA522"/>
      <c r="AB522"/>
      <c r="AC522"/>
      <c r="AD522"/>
      <c r="AE522"/>
      <c r="AF522"/>
      <c r="AG522"/>
      <c r="AH522"/>
      <c r="AI522"/>
      <c r="AJ522"/>
      <c r="AK522"/>
      <c r="AL522"/>
      <c r="AM522"/>
      <c r="AS522"/>
      <c r="BB522" s="1"/>
      <c r="BC522" s="60"/>
    </row>
    <row r="523" spans="1:56" x14ac:dyDescent="0.35">
      <c r="E523" s="1"/>
      <c r="X523" s="31"/>
      <c r="Y523"/>
      <c r="Z523"/>
      <c r="AA523"/>
      <c r="AB523"/>
      <c r="AC523"/>
      <c r="AD523"/>
      <c r="AE523"/>
      <c r="AF523"/>
      <c r="AG523"/>
      <c r="AH523"/>
      <c r="AI523"/>
      <c r="AJ523"/>
      <c r="AK523"/>
      <c r="AL523"/>
      <c r="AM523"/>
      <c r="AS523"/>
      <c r="BB523" s="1"/>
      <c r="BC523" s="60"/>
      <c r="BD523" s="62"/>
    </row>
    <row r="524" spans="1:56" x14ac:dyDescent="0.35">
      <c r="E524" s="1"/>
      <c r="X524" s="31"/>
      <c r="Y524"/>
      <c r="Z524"/>
      <c r="AA524"/>
      <c r="AB524"/>
      <c r="AC524"/>
      <c r="AD524"/>
      <c r="AE524"/>
      <c r="AF524"/>
      <c r="AG524"/>
      <c r="AH524"/>
      <c r="AI524"/>
      <c r="AJ524"/>
      <c r="AK524"/>
      <c r="AL524"/>
      <c r="AM524"/>
      <c r="AS524"/>
      <c r="BB524" s="1"/>
      <c r="BC524" s="60"/>
    </row>
    <row r="525" spans="1:56" x14ac:dyDescent="0.35">
      <c r="E525" s="1"/>
      <c r="X525" s="31"/>
      <c r="Y525"/>
      <c r="Z525"/>
      <c r="AA525"/>
      <c r="AB525"/>
      <c r="AC525"/>
      <c r="AD525"/>
      <c r="AE525"/>
      <c r="AF525"/>
      <c r="AG525"/>
      <c r="AH525"/>
      <c r="AI525"/>
      <c r="AJ525"/>
      <c r="AK525"/>
      <c r="AL525"/>
      <c r="AM525"/>
      <c r="AS525"/>
      <c r="BB525" s="1"/>
      <c r="BC525" s="60"/>
      <c r="BD525" s="62"/>
    </row>
    <row r="526" spans="1:56" x14ac:dyDescent="0.35">
      <c r="E526" s="1"/>
      <c r="X526" s="31"/>
      <c r="Y526"/>
      <c r="Z526"/>
      <c r="AA526"/>
      <c r="AB526"/>
      <c r="AC526"/>
      <c r="AD526"/>
      <c r="AE526"/>
      <c r="AF526"/>
      <c r="AG526"/>
      <c r="AH526"/>
      <c r="AI526"/>
      <c r="AJ526"/>
      <c r="AK526"/>
      <c r="AL526"/>
      <c r="AM526"/>
      <c r="AS526"/>
      <c r="BB526" s="1"/>
      <c r="BC526" s="60"/>
    </row>
    <row r="527" spans="1:56" x14ac:dyDescent="0.35">
      <c r="E527" s="1"/>
      <c r="X527" s="31"/>
      <c r="Y527"/>
      <c r="Z527"/>
      <c r="AA527"/>
      <c r="AB527"/>
      <c r="AC527"/>
      <c r="AD527"/>
      <c r="AE527"/>
      <c r="AF527"/>
      <c r="AG527"/>
      <c r="AH527"/>
      <c r="AI527"/>
      <c r="AJ527"/>
      <c r="AK527"/>
      <c r="AL527"/>
      <c r="AM527"/>
      <c r="AS527"/>
      <c r="BB527" s="1"/>
      <c r="BC527" s="60"/>
      <c r="BD527" s="62"/>
    </row>
    <row r="528" spans="1:56" x14ac:dyDescent="0.35">
      <c r="E528" s="1"/>
      <c r="X528" s="31"/>
      <c r="Y528"/>
      <c r="Z528"/>
      <c r="AA528"/>
      <c r="AB528"/>
      <c r="AC528"/>
      <c r="AD528"/>
      <c r="AE528"/>
      <c r="AF528"/>
      <c r="AG528"/>
      <c r="AH528"/>
      <c r="AI528"/>
      <c r="AJ528"/>
      <c r="AK528"/>
      <c r="AL528"/>
      <c r="AM528"/>
      <c r="AS528"/>
      <c r="BB528" s="1"/>
      <c r="BC528" s="60"/>
    </row>
    <row r="529" spans="5:56" x14ac:dyDescent="0.35">
      <c r="E529" s="1"/>
      <c r="X529" s="31"/>
      <c r="Y529"/>
      <c r="Z529"/>
      <c r="AA529"/>
      <c r="AB529"/>
      <c r="AC529"/>
      <c r="AD529"/>
      <c r="AE529"/>
      <c r="AF529"/>
      <c r="AG529"/>
      <c r="AH529"/>
      <c r="AI529"/>
      <c r="AJ529"/>
      <c r="AK529"/>
      <c r="AL529"/>
      <c r="AM529"/>
      <c r="AS529"/>
      <c r="BB529" s="1"/>
      <c r="BC529" s="60"/>
    </row>
    <row r="530" spans="5:56" x14ac:dyDescent="0.35">
      <c r="E530" s="1"/>
      <c r="X530" s="31"/>
      <c r="Y530"/>
      <c r="Z530"/>
      <c r="AA530"/>
      <c r="AB530"/>
      <c r="AC530"/>
      <c r="AD530"/>
      <c r="AE530"/>
      <c r="AF530"/>
      <c r="AG530"/>
      <c r="AH530"/>
      <c r="AI530"/>
      <c r="AJ530"/>
      <c r="AK530"/>
      <c r="AL530"/>
      <c r="AM530"/>
      <c r="AS530"/>
      <c r="BB530" s="1"/>
      <c r="BC530" s="60"/>
      <c r="BD530" s="62"/>
    </row>
    <row r="531" spans="5:56" x14ac:dyDescent="0.35">
      <c r="E531" s="1"/>
      <c r="X531" s="31"/>
      <c r="Y531"/>
      <c r="Z531"/>
      <c r="AA531"/>
      <c r="AB531"/>
      <c r="AC531"/>
      <c r="AD531"/>
      <c r="AE531"/>
      <c r="AF531"/>
      <c r="AG531"/>
      <c r="AH531"/>
      <c r="AI531"/>
      <c r="AJ531"/>
      <c r="AK531"/>
      <c r="AL531"/>
      <c r="AM531"/>
      <c r="AS531"/>
      <c r="BB531" s="1"/>
      <c r="BC531" s="60"/>
    </row>
    <row r="532" spans="5:56" x14ac:dyDescent="0.35">
      <c r="E532" s="1"/>
      <c r="X532" s="31"/>
      <c r="Y532"/>
      <c r="Z532"/>
      <c r="AA532"/>
      <c r="AB532"/>
      <c r="AC532"/>
      <c r="AD532"/>
      <c r="AE532"/>
      <c r="AF532"/>
      <c r="AG532"/>
      <c r="AH532"/>
      <c r="AI532"/>
      <c r="AJ532"/>
      <c r="AK532"/>
      <c r="AL532"/>
      <c r="AM532"/>
      <c r="AS532"/>
      <c r="BB532" s="1"/>
      <c r="BC532" s="60"/>
    </row>
    <row r="533" spans="5:56" x14ac:dyDescent="0.35">
      <c r="E533" s="1"/>
      <c r="X533" s="31"/>
      <c r="Y533"/>
      <c r="Z533"/>
      <c r="AA533"/>
      <c r="AB533"/>
      <c r="AC533"/>
      <c r="AD533"/>
      <c r="AE533"/>
      <c r="AF533"/>
      <c r="AG533"/>
      <c r="AH533"/>
      <c r="AI533"/>
      <c r="AJ533"/>
      <c r="AK533"/>
      <c r="AL533"/>
      <c r="AM533"/>
      <c r="AS533"/>
      <c r="BB533" s="1"/>
      <c r="BC533" s="60"/>
      <c r="BD533" s="62"/>
    </row>
    <row r="534" spans="5:56" x14ac:dyDescent="0.35">
      <c r="E534" s="1"/>
      <c r="X534" s="31"/>
      <c r="Y534"/>
      <c r="Z534"/>
      <c r="AA534"/>
      <c r="AB534"/>
      <c r="AC534"/>
      <c r="AD534"/>
      <c r="AE534"/>
      <c r="AF534"/>
      <c r="AG534"/>
      <c r="AH534"/>
      <c r="AI534"/>
      <c r="AJ534"/>
      <c r="AK534"/>
      <c r="AL534"/>
      <c r="AM534"/>
      <c r="AS534"/>
      <c r="BB534" s="1"/>
      <c r="BC534" s="60"/>
      <c r="BD534" s="62"/>
    </row>
    <row r="535" spans="5:56" x14ac:dyDescent="0.35">
      <c r="E535" s="1"/>
      <c r="X535" s="31"/>
      <c r="Y535"/>
      <c r="Z535"/>
      <c r="AA535"/>
      <c r="AB535"/>
      <c r="AC535"/>
      <c r="AD535"/>
      <c r="AE535"/>
      <c r="AF535"/>
      <c r="AG535"/>
      <c r="AH535"/>
      <c r="AI535"/>
      <c r="AJ535"/>
      <c r="AK535"/>
      <c r="AL535"/>
      <c r="AM535"/>
      <c r="AS535"/>
      <c r="BB535" s="1"/>
      <c r="BC535" s="60"/>
    </row>
    <row r="536" spans="5:56" x14ac:dyDescent="0.35">
      <c r="E536" s="1"/>
      <c r="X536" s="31"/>
      <c r="Y536"/>
      <c r="Z536"/>
      <c r="AA536"/>
      <c r="AB536"/>
      <c r="AC536"/>
      <c r="AD536"/>
      <c r="AE536"/>
      <c r="AF536"/>
      <c r="AG536"/>
      <c r="AH536"/>
      <c r="AI536"/>
      <c r="AJ536"/>
      <c r="AK536"/>
      <c r="AL536"/>
      <c r="AM536"/>
      <c r="AS536"/>
      <c r="BB536" s="1"/>
      <c r="BC536" s="60"/>
      <c r="BD536" s="62"/>
    </row>
    <row r="537" spans="5:56" x14ac:dyDescent="0.35">
      <c r="E537" s="1"/>
      <c r="X537" s="31"/>
      <c r="Y537"/>
      <c r="Z537"/>
      <c r="AA537"/>
      <c r="AB537"/>
      <c r="AC537"/>
      <c r="AD537"/>
      <c r="AE537"/>
      <c r="AF537"/>
      <c r="AG537"/>
      <c r="AH537"/>
      <c r="AI537"/>
      <c r="AJ537"/>
      <c r="AK537"/>
      <c r="AL537"/>
      <c r="AM537"/>
      <c r="AS537"/>
      <c r="BB537" s="1"/>
      <c r="BC537" s="60"/>
      <c r="BD537" s="62"/>
    </row>
    <row r="538" spans="5:56" x14ac:dyDescent="0.35">
      <c r="E538" s="1"/>
      <c r="X538" s="31"/>
      <c r="Y538"/>
      <c r="Z538"/>
      <c r="AA538"/>
      <c r="AB538"/>
      <c r="AC538"/>
      <c r="AD538"/>
      <c r="AE538"/>
      <c r="AF538"/>
      <c r="AG538"/>
      <c r="AH538"/>
      <c r="AI538"/>
      <c r="AJ538"/>
      <c r="AK538"/>
      <c r="AL538"/>
      <c r="AM538"/>
      <c r="AS538"/>
      <c r="BB538" s="1"/>
      <c r="BC538" s="60"/>
      <c r="BD538" s="62"/>
    </row>
    <row r="539" spans="5:56" x14ac:dyDescent="0.35">
      <c r="E539" s="1"/>
      <c r="X539" s="31"/>
      <c r="Y539"/>
      <c r="Z539"/>
      <c r="AA539"/>
      <c r="AB539"/>
      <c r="AC539"/>
      <c r="AD539"/>
      <c r="AE539"/>
      <c r="AF539"/>
      <c r="AG539"/>
      <c r="AH539"/>
      <c r="AI539"/>
      <c r="AJ539"/>
      <c r="AK539"/>
      <c r="AL539"/>
      <c r="AM539"/>
      <c r="AS539"/>
      <c r="BB539" s="1"/>
      <c r="BC539" s="60"/>
    </row>
    <row r="540" spans="5:56" x14ac:dyDescent="0.35">
      <c r="E540" s="1"/>
      <c r="X540" s="31"/>
      <c r="Y540"/>
      <c r="Z540"/>
      <c r="AA540"/>
      <c r="AB540"/>
      <c r="AC540"/>
      <c r="AD540"/>
      <c r="AE540"/>
      <c r="AF540"/>
      <c r="AG540"/>
      <c r="AH540"/>
      <c r="AI540"/>
      <c r="AJ540"/>
      <c r="AK540"/>
      <c r="AL540"/>
      <c r="AM540"/>
      <c r="AS540"/>
      <c r="BB540" s="1"/>
      <c r="BC540" s="60"/>
    </row>
    <row r="541" spans="5:56" x14ac:dyDescent="0.35">
      <c r="E541" s="1"/>
      <c r="X541" s="31"/>
      <c r="Y541"/>
      <c r="Z541"/>
      <c r="AA541"/>
      <c r="AB541"/>
      <c r="AC541"/>
      <c r="AD541"/>
      <c r="AE541"/>
      <c r="AF541"/>
      <c r="AG541"/>
      <c r="AH541"/>
      <c r="AI541"/>
      <c r="AJ541"/>
      <c r="AK541"/>
      <c r="AL541"/>
      <c r="AM541"/>
      <c r="AS541"/>
      <c r="BB541" s="1"/>
      <c r="BC541" s="60"/>
    </row>
    <row r="542" spans="5:56" x14ac:dyDescent="0.35">
      <c r="E542" s="1"/>
      <c r="X542" s="31"/>
      <c r="Y542"/>
      <c r="Z542"/>
      <c r="AA542"/>
      <c r="AB542"/>
      <c r="AC542"/>
      <c r="AD542"/>
      <c r="AE542"/>
      <c r="AF542"/>
      <c r="AG542"/>
      <c r="AH542"/>
      <c r="AI542"/>
      <c r="AJ542"/>
      <c r="AK542"/>
      <c r="AL542"/>
      <c r="AM542"/>
      <c r="AS542"/>
      <c r="BB542" s="1"/>
      <c r="BC542" s="60"/>
      <c r="BD542" s="62"/>
    </row>
    <row r="543" spans="5:56" x14ac:dyDescent="0.35">
      <c r="E543" s="1"/>
      <c r="X543" s="31"/>
      <c r="Y543"/>
      <c r="Z543"/>
      <c r="AA543"/>
      <c r="AB543"/>
      <c r="AC543"/>
      <c r="AD543"/>
      <c r="AE543"/>
      <c r="AF543"/>
      <c r="AG543"/>
      <c r="AH543"/>
      <c r="AI543"/>
      <c r="AJ543"/>
      <c r="AK543"/>
      <c r="AL543"/>
      <c r="AM543"/>
      <c r="AS543"/>
      <c r="BB543" s="1"/>
      <c r="BC543" s="60"/>
      <c r="BD543" s="62"/>
    </row>
    <row r="544" spans="5:56" x14ac:dyDescent="0.35">
      <c r="E544" s="1"/>
      <c r="X544" s="31"/>
      <c r="Y544"/>
      <c r="Z544"/>
      <c r="AA544"/>
      <c r="AB544"/>
      <c r="AC544"/>
      <c r="AD544"/>
      <c r="AE544"/>
      <c r="AF544"/>
      <c r="AG544"/>
      <c r="AH544"/>
      <c r="AI544"/>
      <c r="AJ544"/>
      <c r="AK544"/>
      <c r="AL544"/>
      <c r="AM544"/>
      <c r="AS544"/>
      <c r="BB544" s="1"/>
      <c r="BC544" s="60"/>
      <c r="BD544" s="62"/>
    </row>
    <row r="545" spans="5:56" x14ac:dyDescent="0.35">
      <c r="E545" s="1"/>
      <c r="X545" s="31"/>
      <c r="Y545"/>
      <c r="Z545"/>
      <c r="AA545"/>
      <c r="AB545"/>
      <c r="AC545"/>
      <c r="AD545"/>
      <c r="AE545"/>
      <c r="AF545"/>
      <c r="AG545"/>
      <c r="AH545"/>
      <c r="AI545"/>
      <c r="AJ545"/>
      <c r="AK545"/>
      <c r="AL545"/>
      <c r="AM545"/>
      <c r="AS545"/>
      <c r="BB545" s="1"/>
      <c r="BC545" s="60"/>
      <c r="BD545" s="62"/>
    </row>
    <row r="546" spans="5:56" x14ac:dyDescent="0.35">
      <c r="E546" s="1"/>
      <c r="X546" s="31"/>
      <c r="Y546"/>
      <c r="Z546"/>
      <c r="AA546"/>
      <c r="AB546"/>
      <c r="AC546"/>
      <c r="AD546"/>
      <c r="AE546"/>
      <c r="AF546"/>
      <c r="AG546"/>
      <c r="AH546"/>
      <c r="AI546"/>
      <c r="AJ546"/>
      <c r="AK546"/>
      <c r="AL546"/>
      <c r="AM546"/>
      <c r="AS546"/>
      <c r="BB546" s="1"/>
      <c r="BC546" s="60"/>
      <c r="BD546" s="62"/>
    </row>
    <row r="547" spans="5:56" x14ac:dyDescent="0.35">
      <c r="E547" s="1"/>
      <c r="X547" s="31"/>
      <c r="Y547"/>
      <c r="Z547"/>
      <c r="AA547"/>
      <c r="AB547"/>
      <c r="AC547"/>
      <c r="AD547"/>
      <c r="AE547"/>
      <c r="AF547"/>
      <c r="AG547"/>
      <c r="AH547"/>
      <c r="AI547"/>
      <c r="AJ547"/>
      <c r="AK547"/>
      <c r="AL547"/>
      <c r="AM547"/>
      <c r="AS547"/>
      <c r="BB547" s="1"/>
      <c r="BC547" s="60"/>
    </row>
    <row r="548" spans="5:56" x14ac:dyDescent="0.35">
      <c r="E548" s="1"/>
      <c r="X548" s="31"/>
      <c r="Y548"/>
      <c r="Z548"/>
      <c r="AA548"/>
      <c r="AB548"/>
      <c r="AC548"/>
      <c r="AD548"/>
      <c r="AE548"/>
      <c r="AF548"/>
      <c r="AG548"/>
      <c r="AH548"/>
      <c r="AI548"/>
      <c r="AJ548"/>
      <c r="AK548"/>
      <c r="AL548"/>
      <c r="AM548"/>
      <c r="AS548"/>
      <c r="BB548" s="1"/>
      <c r="BC548" s="60"/>
    </row>
    <row r="549" spans="5:56" x14ac:dyDescent="0.35">
      <c r="E549" s="1"/>
      <c r="X549" s="31"/>
      <c r="Y549"/>
      <c r="Z549"/>
      <c r="AA549"/>
      <c r="AB549"/>
      <c r="AC549"/>
      <c r="AD549"/>
      <c r="AE549"/>
      <c r="AF549"/>
      <c r="AG549"/>
      <c r="AH549"/>
      <c r="AI549"/>
      <c r="AJ549"/>
      <c r="AK549"/>
      <c r="AL549"/>
      <c r="AM549"/>
      <c r="AS549"/>
      <c r="BB549" s="1"/>
      <c r="BC549" s="60"/>
    </row>
    <row r="550" spans="5:56" x14ac:dyDescent="0.35">
      <c r="E550" s="1"/>
      <c r="X550" s="31"/>
      <c r="Y550"/>
      <c r="Z550"/>
      <c r="AA550"/>
      <c r="AB550"/>
      <c r="AC550"/>
      <c r="AD550"/>
      <c r="AE550"/>
      <c r="AF550"/>
      <c r="AG550"/>
      <c r="AH550"/>
      <c r="AI550"/>
      <c r="AJ550"/>
      <c r="AK550"/>
      <c r="AL550"/>
      <c r="AM550"/>
      <c r="AS550"/>
      <c r="BB550" s="1"/>
      <c r="BC550" s="60"/>
    </row>
    <row r="551" spans="5:56" x14ac:dyDescent="0.35">
      <c r="E551" s="1"/>
      <c r="X551" s="31"/>
      <c r="Y551"/>
      <c r="Z551"/>
      <c r="AA551"/>
      <c r="AB551"/>
      <c r="AC551"/>
      <c r="AD551"/>
      <c r="AE551"/>
      <c r="AF551"/>
      <c r="AG551"/>
      <c r="AH551"/>
      <c r="AI551"/>
      <c r="AJ551"/>
      <c r="AK551"/>
      <c r="AL551"/>
      <c r="AM551"/>
      <c r="AS551"/>
      <c r="BB551" s="1"/>
      <c r="BC551" s="60"/>
    </row>
    <row r="552" spans="5:56" x14ac:dyDescent="0.35">
      <c r="E552" s="1"/>
      <c r="X552" s="31"/>
      <c r="Y552"/>
      <c r="Z552"/>
      <c r="AA552"/>
      <c r="AB552"/>
      <c r="AC552"/>
      <c r="AD552"/>
      <c r="AE552"/>
      <c r="AF552"/>
      <c r="AG552"/>
      <c r="AH552"/>
      <c r="AI552"/>
      <c r="AJ552"/>
      <c r="AK552"/>
      <c r="AL552"/>
      <c r="AM552"/>
      <c r="AS552"/>
      <c r="BB552" s="1"/>
      <c r="BC552" s="60"/>
      <c r="BD552" s="62"/>
    </row>
    <row r="553" spans="5:56" x14ac:dyDescent="0.35">
      <c r="E553" s="1"/>
      <c r="X553" s="31"/>
      <c r="Y553"/>
      <c r="Z553"/>
      <c r="AA553"/>
      <c r="AB553"/>
      <c r="AC553"/>
      <c r="AD553"/>
      <c r="AE553"/>
      <c r="AF553"/>
      <c r="AG553"/>
      <c r="AH553"/>
      <c r="AI553"/>
      <c r="AJ553"/>
      <c r="AK553"/>
      <c r="AL553"/>
      <c r="AM553"/>
      <c r="AS553"/>
      <c r="BB553" s="1"/>
      <c r="BC553" s="60"/>
    </row>
    <row r="554" spans="5:56" x14ac:dyDescent="0.35">
      <c r="E554" s="1"/>
      <c r="X554" s="31"/>
      <c r="Y554"/>
      <c r="Z554"/>
      <c r="AA554"/>
      <c r="AB554"/>
      <c r="AC554"/>
      <c r="AD554"/>
      <c r="AE554"/>
      <c r="AF554"/>
      <c r="AG554"/>
      <c r="AH554"/>
      <c r="AI554"/>
      <c r="AJ554"/>
      <c r="AK554"/>
      <c r="AL554"/>
      <c r="AM554"/>
      <c r="AS554"/>
      <c r="BB554" s="1"/>
      <c r="BC554" s="60"/>
      <c r="BD554" s="62"/>
    </row>
    <row r="555" spans="5:56" x14ac:dyDescent="0.35">
      <c r="E555" s="1"/>
      <c r="X555" s="31"/>
      <c r="Y555"/>
      <c r="Z555"/>
      <c r="AA555"/>
      <c r="AB555"/>
      <c r="AC555"/>
      <c r="AD555"/>
      <c r="AE555"/>
      <c r="AF555"/>
      <c r="AG555"/>
      <c r="AH555"/>
      <c r="AI555"/>
      <c r="AJ555"/>
      <c r="AK555"/>
      <c r="AL555"/>
      <c r="AM555"/>
      <c r="AS555"/>
      <c r="BB555" s="1"/>
      <c r="BC555" s="60"/>
      <c r="BD555" s="62"/>
    </row>
    <row r="556" spans="5:56" x14ac:dyDescent="0.35">
      <c r="E556" s="1"/>
      <c r="X556" s="31"/>
      <c r="Y556"/>
      <c r="Z556"/>
      <c r="AA556"/>
      <c r="AB556"/>
      <c r="AC556"/>
      <c r="AD556"/>
      <c r="AE556"/>
      <c r="AF556"/>
      <c r="AG556"/>
      <c r="AH556"/>
      <c r="AI556"/>
      <c r="AJ556"/>
      <c r="AK556"/>
      <c r="AL556"/>
      <c r="AM556"/>
      <c r="AS556"/>
      <c r="BB556" s="1"/>
      <c r="BC556" s="60"/>
    </row>
    <row r="557" spans="5:56" x14ac:dyDescent="0.35">
      <c r="E557" s="1"/>
      <c r="X557" s="31"/>
      <c r="Y557"/>
      <c r="Z557"/>
      <c r="AA557"/>
      <c r="AB557"/>
      <c r="AC557"/>
      <c r="AD557"/>
      <c r="AE557"/>
      <c r="AF557"/>
      <c r="AG557"/>
      <c r="AH557"/>
      <c r="AI557"/>
      <c r="AJ557"/>
      <c r="AK557"/>
      <c r="AL557"/>
      <c r="AM557"/>
      <c r="AS557"/>
      <c r="BB557" s="1"/>
      <c r="BC557" s="60"/>
      <c r="BD557" s="62"/>
    </row>
    <row r="558" spans="5:56" x14ac:dyDescent="0.35">
      <c r="E558" s="1"/>
      <c r="X558" s="31"/>
      <c r="Y558"/>
      <c r="Z558"/>
      <c r="AA558"/>
      <c r="AB558"/>
      <c r="AC558"/>
      <c r="AD558"/>
      <c r="AE558"/>
      <c r="AF558"/>
      <c r="AG558"/>
      <c r="AH558"/>
      <c r="AI558"/>
      <c r="AJ558"/>
      <c r="AK558"/>
      <c r="AL558"/>
      <c r="AM558"/>
      <c r="AS558"/>
      <c r="BB558" s="1"/>
      <c r="BC558" s="60"/>
    </row>
    <row r="559" spans="5:56" x14ac:dyDescent="0.35">
      <c r="E559" s="1"/>
      <c r="X559" s="31"/>
      <c r="Y559"/>
      <c r="Z559"/>
      <c r="AA559"/>
      <c r="AB559"/>
      <c r="AC559"/>
      <c r="AD559"/>
      <c r="AE559"/>
      <c r="AF559"/>
      <c r="AG559"/>
      <c r="AH559"/>
      <c r="AI559"/>
      <c r="AJ559"/>
      <c r="AK559"/>
      <c r="AL559"/>
      <c r="AM559"/>
      <c r="AS559"/>
      <c r="BB559" s="1"/>
      <c r="BC559" s="60"/>
    </row>
    <row r="560" spans="5:56" x14ac:dyDescent="0.35">
      <c r="E560" s="1"/>
      <c r="X560" s="31"/>
      <c r="Y560"/>
      <c r="Z560"/>
      <c r="AA560"/>
      <c r="AB560"/>
      <c r="AC560"/>
      <c r="AD560"/>
      <c r="AE560"/>
      <c r="AF560"/>
      <c r="AG560"/>
      <c r="AH560"/>
      <c r="AI560"/>
      <c r="AJ560"/>
      <c r="AK560"/>
      <c r="AL560"/>
      <c r="AM560"/>
      <c r="AS560"/>
      <c r="BB560" s="1"/>
      <c r="BC560" s="60"/>
      <c r="BD560" s="62"/>
    </row>
    <row r="561" spans="5:56" x14ac:dyDescent="0.35">
      <c r="E561" s="1"/>
      <c r="X561" s="31"/>
      <c r="Y561"/>
      <c r="Z561"/>
      <c r="AA561"/>
      <c r="AB561"/>
      <c r="AC561"/>
      <c r="AD561"/>
      <c r="AE561"/>
      <c r="AF561"/>
      <c r="AG561"/>
      <c r="AH561"/>
      <c r="AI561"/>
      <c r="AJ561"/>
      <c r="AK561"/>
      <c r="AL561"/>
      <c r="AM561"/>
      <c r="AS561"/>
      <c r="BB561" s="1"/>
      <c r="BC561" s="60"/>
      <c r="BD561" s="62"/>
    </row>
    <row r="562" spans="5:56" x14ac:dyDescent="0.35">
      <c r="E562" s="1"/>
      <c r="X562" s="31"/>
      <c r="Y562"/>
      <c r="Z562"/>
      <c r="AA562"/>
      <c r="AB562"/>
      <c r="AC562"/>
      <c r="AD562"/>
      <c r="AE562"/>
      <c r="AF562"/>
      <c r="AG562"/>
      <c r="AH562"/>
      <c r="AI562"/>
      <c r="AJ562"/>
      <c r="AK562"/>
      <c r="AL562"/>
      <c r="AM562"/>
      <c r="AS562"/>
      <c r="BB562" s="1"/>
      <c r="BC562" s="60"/>
      <c r="BD562" s="62"/>
    </row>
    <row r="563" spans="5:56" x14ac:dyDescent="0.35">
      <c r="E563" s="1"/>
      <c r="X563" s="31"/>
      <c r="Y563"/>
      <c r="Z563"/>
      <c r="AA563"/>
      <c r="AB563"/>
      <c r="AC563"/>
      <c r="AD563"/>
      <c r="AE563"/>
      <c r="AF563"/>
      <c r="AG563"/>
      <c r="AH563"/>
      <c r="AI563"/>
      <c r="AJ563"/>
      <c r="AK563"/>
      <c r="AL563"/>
      <c r="AM563"/>
      <c r="AS563"/>
      <c r="BB563" s="1"/>
      <c r="BC563" s="60"/>
    </row>
    <row r="564" spans="5:56" x14ac:dyDescent="0.35">
      <c r="E564" s="1"/>
      <c r="X564" s="31"/>
      <c r="Y564"/>
      <c r="Z564"/>
      <c r="AA564"/>
      <c r="AB564"/>
      <c r="AC564"/>
      <c r="AD564"/>
      <c r="AE564"/>
      <c r="AF564"/>
      <c r="AG564"/>
      <c r="AH564"/>
      <c r="AI564"/>
      <c r="AJ564"/>
      <c r="AK564"/>
      <c r="AL564"/>
      <c r="AM564"/>
      <c r="AS564"/>
      <c r="BB564" s="1"/>
      <c r="BC564" s="60"/>
      <c r="BD564" s="62"/>
    </row>
    <row r="565" spans="5:56" x14ac:dyDescent="0.35">
      <c r="E565" s="1"/>
      <c r="X565" s="31"/>
      <c r="Y565"/>
      <c r="Z565"/>
      <c r="AA565"/>
      <c r="AB565"/>
      <c r="AC565"/>
      <c r="AD565"/>
      <c r="AE565"/>
      <c r="AF565"/>
      <c r="AG565"/>
      <c r="AH565"/>
      <c r="AI565"/>
      <c r="AJ565"/>
      <c r="AK565"/>
      <c r="AL565"/>
      <c r="AM565"/>
      <c r="AS565"/>
      <c r="BB565" s="1"/>
      <c r="BC565" s="60"/>
      <c r="BD565" s="62"/>
    </row>
    <row r="566" spans="5:56" x14ac:dyDescent="0.35">
      <c r="E566" s="1"/>
      <c r="X566" s="31"/>
      <c r="Y566"/>
      <c r="Z566"/>
      <c r="AA566"/>
      <c r="AB566"/>
      <c r="AC566"/>
      <c r="AD566"/>
      <c r="AE566"/>
      <c r="AF566"/>
      <c r="AG566"/>
      <c r="AH566"/>
      <c r="AI566"/>
      <c r="AJ566"/>
      <c r="AK566"/>
      <c r="AL566"/>
      <c r="AM566"/>
      <c r="AS566"/>
      <c r="BB566" s="1"/>
      <c r="BC566" s="60"/>
      <c r="BD566" s="62"/>
    </row>
    <row r="567" spans="5:56" x14ac:dyDescent="0.35">
      <c r="E567" s="1"/>
      <c r="X567" s="31"/>
      <c r="Y567"/>
      <c r="Z567"/>
      <c r="AA567"/>
      <c r="AB567"/>
      <c r="AC567"/>
      <c r="AD567"/>
      <c r="AE567"/>
      <c r="AF567"/>
      <c r="AG567"/>
      <c r="AH567"/>
      <c r="AI567"/>
      <c r="AJ567"/>
      <c r="AK567"/>
      <c r="AL567"/>
      <c r="AM567"/>
      <c r="AS567"/>
      <c r="BB567" s="1"/>
      <c r="BC567" s="60"/>
    </row>
    <row r="568" spans="5:56" x14ac:dyDescent="0.35">
      <c r="E568" s="1"/>
      <c r="X568" s="31"/>
      <c r="Y568"/>
      <c r="Z568"/>
      <c r="AA568"/>
      <c r="AB568"/>
      <c r="AC568"/>
      <c r="AD568"/>
      <c r="AE568"/>
      <c r="AF568"/>
      <c r="AG568"/>
      <c r="AH568"/>
      <c r="AI568"/>
      <c r="AJ568"/>
      <c r="AK568"/>
      <c r="AL568"/>
      <c r="AM568"/>
      <c r="AS568"/>
      <c r="BB568" s="1"/>
      <c r="BC568" s="60"/>
      <c r="BD568" s="62"/>
    </row>
    <row r="569" spans="5:56" x14ac:dyDescent="0.35">
      <c r="E569" s="1"/>
      <c r="X569" s="31"/>
      <c r="Y569"/>
      <c r="Z569"/>
      <c r="AA569"/>
      <c r="AB569"/>
      <c r="AC569"/>
      <c r="AD569"/>
      <c r="AE569"/>
      <c r="AF569"/>
      <c r="AG569"/>
      <c r="AH569"/>
      <c r="AI569"/>
      <c r="AJ569"/>
      <c r="AK569"/>
      <c r="AL569"/>
      <c r="AM569"/>
      <c r="AS569"/>
      <c r="BB569" s="1"/>
      <c r="BC569" s="60"/>
      <c r="BD569" s="62"/>
    </row>
    <row r="570" spans="5:56" x14ac:dyDescent="0.35">
      <c r="E570" s="1"/>
      <c r="X570" s="31"/>
      <c r="Y570"/>
      <c r="Z570"/>
      <c r="AA570"/>
      <c r="AB570"/>
      <c r="AC570"/>
      <c r="AD570"/>
      <c r="AE570"/>
      <c r="AF570"/>
      <c r="AG570"/>
      <c r="AH570"/>
      <c r="AI570"/>
      <c r="AJ570"/>
      <c r="AK570"/>
      <c r="AL570"/>
      <c r="AM570"/>
      <c r="AS570"/>
      <c r="BB570" s="1"/>
      <c r="BC570" s="60"/>
      <c r="BD570" s="62"/>
    </row>
    <row r="571" spans="5:56" x14ac:dyDescent="0.35">
      <c r="E571" s="1"/>
      <c r="X571" s="31"/>
      <c r="Y571"/>
      <c r="Z571"/>
      <c r="AA571"/>
      <c r="AB571"/>
      <c r="AC571"/>
      <c r="AD571"/>
      <c r="AE571"/>
      <c r="AF571"/>
      <c r="AG571"/>
      <c r="AH571"/>
      <c r="AI571"/>
      <c r="AJ571"/>
      <c r="AK571"/>
      <c r="AL571"/>
      <c r="AM571"/>
      <c r="AS571"/>
      <c r="BB571" s="1"/>
      <c r="BC571" s="60"/>
      <c r="BD571" s="62"/>
    </row>
    <row r="572" spans="5:56" x14ac:dyDescent="0.35">
      <c r="E572" s="1"/>
      <c r="X572" s="31"/>
      <c r="Y572"/>
      <c r="Z572"/>
      <c r="AA572"/>
      <c r="AB572"/>
      <c r="AC572"/>
      <c r="AD572"/>
      <c r="AE572"/>
      <c r="AF572"/>
      <c r="AG572"/>
      <c r="AH572"/>
      <c r="AI572"/>
      <c r="AJ572"/>
      <c r="AK572"/>
      <c r="AL572"/>
      <c r="AM572"/>
      <c r="AS572"/>
      <c r="BB572" s="1"/>
      <c r="BC572" s="60"/>
      <c r="BD572" s="62"/>
    </row>
    <row r="573" spans="5:56" x14ac:dyDescent="0.35">
      <c r="E573" s="1"/>
      <c r="X573" s="31"/>
      <c r="Y573"/>
      <c r="Z573"/>
      <c r="AA573"/>
      <c r="AB573"/>
      <c r="AC573"/>
      <c r="AD573"/>
      <c r="AE573"/>
      <c r="AF573"/>
      <c r="AG573"/>
      <c r="AH573"/>
      <c r="AI573"/>
      <c r="AJ573"/>
      <c r="AK573"/>
      <c r="AL573"/>
      <c r="AM573"/>
      <c r="AS573"/>
      <c r="BB573" s="1"/>
      <c r="BC573" s="60"/>
    </row>
    <row r="574" spans="5:56" x14ac:dyDescent="0.35">
      <c r="E574" s="1"/>
      <c r="X574" s="31"/>
      <c r="Y574"/>
      <c r="Z574"/>
      <c r="AA574"/>
      <c r="AB574"/>
      <c r="AC574"/>
      <c r="AD574"/>
      <c r="AE574"/>
      <c r="AF574"/>
      <c r="AG574"/>
      <c r="AH574"/>
      <c r="AI574"/>
      <c r="AJ574"/>
      <c r="AK574"/>
      <c r="AL574"/>
      <c r="AM574"/>
      <c r="AS574"/>
      <c r="BB574" s="1"/>
      <c r="BC574" s="60"/>
      <c r="BD574" s="62"/>
    </row>
    <row r="575" spans="5:56" x14ac:dyDescent="0.35">
      <c r="E575" s="1"/>
      <c r="X575" s="31"/>
      <c r="Y575"/>
      <c r="Z575"/>
      <c r="AA575"/>
      <c r="AB575"/>
      <c r="AC575"/>
      <c r="AD575"/>
      <c r="AE575"/>
      <c r="AF575"/>
      <c r="AG575"/>
      <c r="AH575"/>
      <c r="AI575"/>
      <c r="AJ575"/>
      <c r="AK575"/>
      <c r="AL575"/>
      <c r="AM575"/>
      <c r="AS575"/>
      <c r="BB575" s="1"/>
      <c r="BC575" s="60"/>
      <c r="BD575" s="62"/>
    </row>
    <row r="576" spans="5:56" x14ac:dyDescent="0.35">
      <c r="E576" s="1"/>
      <c r="X576" s="31"/>
      <c r="Y576"/>
      <c r="Z576"/>
      <c r="AA576"/>
      <c r="AB576"/>
      <c r="AC576"/>
      <c r="AD576"/>
      <c r="AE576"/>
      <c r="AF576"/>
      <c r="AG576"/>
      <c r="AH576"/>
      <c r="AI576"/>
      <c r="AJ576"/>
      <c r="AK576"/>
      <c r="AL576"/>
      <c r="AM576"/>
      <c r="AS576"/>
      <c r="BB576" s="1"/>
      <c r="BC576" s="60"/>
      <c r="BD576" s="62"/>
    </row>
    <row r="577" spans="5:56" x14ac:dyDescent="0.35">
      <c r="E577" s="1"/>
      <c r="X577" s="31"/>
      <c r="Y577"/>
      <c r="Z577"/>
      <c r="AA577"/>
      <c r="AB577"/>
      <c r="AC577"/>
      <c r="AD577"/>
      <c r="AE577"/>
      <c r="AF577"/>
      <c r="AG577"/>
      <c r="AH577"/>
      <c r="AI577"/>
      <c r="AJ577"/>
      <c r="AK577"/>
      <c r="AL577"/>
      <c r="AM577"/>
      <c r="AS577"/>
      <c r="BB577" s="1"/>
      <c r="BC577" s="60"/>
      <c r="BD577" s="62"/>
    </row>
    <row r="578" spans="5:56" x14ac:dyDescent="0.35">
      <c r="E578" s="1"/>
      <c r="X578" s="31"/>
      <c r="Y578"/>
      <c r="Z578"/>
      <c r="AA578"/>
      <c r="AB578"/>
      <c r="AC578"/>
      <c r="AD578"/>
      <c r="AE578"/>
      <c r="AF578"/>
      <c r="AG578"/>
      <c r="AH578"/>
      <c r="AI578"/>
      <c r="AJ578"/>
      <c r="AK578"/>
      <c r="AL578"/>
      <c r="AM578"/>
      <c r="AS578"/>
      <c r="BB578" s="1"/>
      <c r="BC578" s="60"/>
      <c r="BD578" s="62"/>
    </row>
    <row r="579" spans="5:56" x14ac:dyDescent="0.35">
      <c r="E579" s="1"/>
      <c r="X579" s="31"/>
      <c r="Y579"/>
      <c r="Z579"/>
      <c r="AA579"/>
      <c r="AB579"/>
      <c r="AC579"/>
      <c r="AD579"/>
      <c r="AE579"/>
      <c r="AF579"/>
      <c r="AG579"/>
      <c r="AH579"/>
      <c r="AI579"/>
      <c r="AJ579"/>
      <c r="AK579"/>
      <c r="AL579"/>
      <c r="AM579"/>
      <c r="AS579"/>
      <c r="BB579" s="1"/>
      <c r="BC579" s="60"/>
    </row>
    <row r="580" spans="5:56" x14ac:dyDescent="0.35">
      <c r="E580" s="1"/>
      <c r="X580" s="31"/>
      <c r="Y580"/>
      <c r="Z580"/>
      <c r="AA580"/>
      <c r="AB580"/>
      <c r="AC580"/>
      <c r="AD580"/>
      <c r="AE580"/>
      <c r="AF580"/>
      <c r="AG580"/>
      <c r="AH580"/>
      <c r="AI580"/>
      <c r="AJ580"/>
      <c r="AK580"/>
      <c r="AL580"/>
      <c r="AM580"/>
      <c r="AS580"/>
      <c r="BB580" s="1"/>
      <c r="BC580" s="60"/>
      <c r="BD580" s="62"/>
    </row>
    <row r="581" spans="5:56" x14ac:dyDescent="0.35">
      <c r="E581" s="1"/>
      <c r="X581" s="31"/>
      <c r="Y581"/>
      <c r="Z581"/>
      <c r="AA581"/>
      <c r="AB581"/>
      <c r="AC581"/>
      <c r="AD581"/>
      <c r="AE581"/>
      <c r="AF581"/>
      <c r="AG581"/>
      <c r="AH581"/>
      <c r="AI581"/>
      <c r="AJ581"/>
      <c r="AK581"/>
      <c r="AL581"/>
      <c r="AM581"/>
      <c r="AS581"/>
      <c r="BB581" s="1"/>
      <c r="BC581" s="60"/>
    </row>
    <row r="582" spans="5:56" x14ac:dyDescent="0.35">
      <c r="E582" s="1"/>
      <c r="X582" s="31"/>
      <c r="Y582"/>
      <c r="Z582"/>
      <c r="AA582"/>
      <c r="AB582"/>
      <c r="AC582"/>
      <c r="AD582"/>
      <c r="AE582"/>
      <c r="AF582"/>
      <c r="AG582"/>
      <c r="AH582"/>
      <c r="AI582"/>
      <c r="AJ582"/>
      <c r="AK582"/>
      <c r="AL582"/>
      <c r="AM582"/>
      <c r="AS582"/>
      <c r="BB582" s="1"/>
      <c r="BC582" s="60"/>
    </row>
    <row r="583" spans="5:56" x14ac:dyDescent="0.35">
      <c r="E583" s="1"/>
      <c r="X583" s="31"/>
      <c r="Y583"/>
      <c r="Z583"/>
      <c r="AA583"/>
      <c r="AB583"/>
      <c r="AC583"/>
      <c r="AD583"/>
      <c r="AE583"/>
      <c r="AF583"/>
      <c r="AG583"/>
      <c r="AH583"/>
      <c r="AI583"/>
      <c r="AJ583"/>
      <c r="AK583"/>
      <c r="AL583"/>
      <c r="AM583"/>
      <c r="AS583"/>
      <c r="BB583" s="1"/>
      <c r="BC583" s="60"/>
    </row>
    <row r="584" spans="5:56" x14ac:dyDescent="0.35">
      <c r="E584" s="1"/>
      <c r="X584" s="31"/>
      <c r="Y584"/>
      <c r="Z584"/>
      <c r="AA584"/>
      <c r="AB584"/>
      <c r="AC584"/>
      <c r="AD584"/>
      <c r="AE584"/>
      <c r="AF584"/>
      <c r="AG584"/>
      <c r="AH584"/>
      <c r="AI584"/>
      <c r="AJ584"/>
      <c r="AK584"/>
      <c r="AL584"/>
      <c r="AM584"/>
      <c r="AS584"/>
      <c r="BB584" s="1"/>
      <c r="BC584" s="60"/>
      <c r="BD584" s="62"/>
    </row>
    <row r="585" spans="5:56" x14ac:dyDescent="0.35">
      <c r="E585" s="1"/>
      <c r="X585" s="31"/>
      <c r="Y585"/>
      <c r="Z585"/>
      <c r="AA585"/>
      <c r="AB585"/>
      <c r="AC585"/>
      <c r="AD585"/>
      <c r="AE585"/>
      <c r="AF585"/>
      <c r="AG585"/>
      <c r="AH585"/>
      <c r="AI585"/>
      <c r="AJ585"/>
      <c r="AK585"/>
      <c r="AL585"/>
      <c r="AM585"/>
      <c r="AS585"/>
      <c r="BB585" s="1"/>
      <c r="BC585" s="60"/>
    </row>
    <row r="586" spans="5:56" x14ac:dyDescent="0.35">
      <c r="E586" s="1"/>
      <c r="X586" s="31"/>
      <c r="Y586"/>
      <c r="Z586"/>
      <c r="AA586"/>
      <c r="AB586"/>
      <c r="AC586"/>
      <c r="AD586"/>
      <c r="AE586"/>
      <c r="AF586"/>
      <c r="AG586"/>
      <c r="AH586"/>
      <c r="AI586"/>
      <c r="AJ586"/>
      <c r="AK586"/>
      <c r="AL586"/>
      <c r="AM586"/>
      <c r="AS586"/>
      <c r="BB586" s="1"/>
      <c r="BC586" s="60"/>
      <c r="BD586" s="62"/>
    </row>
    <row r="587" spans="5:56" x14ac:dyDescent="0.35">
      <c r="E587" s="1"/>
      <c r="X587" s="31"/>
      <c r="Y587"/>
      <c r="Z587"/>
      <c r="AA587"/>
      <c r="AB587"/>
      <c r="AC587"/>
      <c r="AD587"/>
      <c r="AE587"/>
      <c r="AF587"/>
      <c r="AG587"/>
      <c r="AH587"/>
      <c r="AI587"/>
      <c r="AJ587"/>
      <c r="AK587"/>
      <c r="AL587"/>
      <c r="AM587"/>
      <c r="AS587"/>
      <c r="BB587" s="1"/>
      <c r="BC587" s="60"/>
      <c r="BD587" s="62"/>
    </row>
    <row r="588" spans="5:56" x14ac:dyDescent="0.35">
      <c r="E588" s="1"/>
      <c r="X588" s="31"/>
      <c r="Y588"/>
      <c r="Z588"/>
      <c r="AA588"/>
      <c r="AB588"/>
      <c r="AC588"/>
      <c r="AD588"/>
      <c r="AE588"/>
      <c r="AF588"/>
      <c r="AG588"/>
      <c r="AH588"/>
      <c r="AI588"/>
      <c r="AJ588"/>
      <c r="AK588"/>
      <c r="AL588"/>
      <c r="AM588"/>
      <c r="AS588"/>
      <c r="BB588" s="1"/>
      <c r="BC588" s="60"/>
      <c r="BD588" s="62"/>
    </row>
    <row r="589" spans="5:56" x14ac:dyDescent="0.35">
      <c r="E589" s="1"/>
      <c r="X589" s="31"/>
      <c r="Y589"/>
      <c r="Z589"/>
      <c r="AA589"/>
      <c r="AB589"/>
      <c r="AC589"/>
      <c r="AD589"/>
      <c r="AE589"/>
      <c r="AF589"/>
      <c r="AG589"/>
      <c r="AH589"/>
      <c r="AI589"/>
      <c r="AJ589"/>
      <c r="AK589"/>
      <c r="AL589"/>
      <c r="AM589"/>
      <c r="AS589"/>
      <c r="BB589" s="1"/>
      <c r="BC589" s="60"/>
    </row>
    <row r="590" spans="5:56" x14ac:dyDescent="0.35">
      <c r="E590" s="1"/>
      <c r="X590" s="31"/>
      <c r="Y590"/>
      <c r="Z590"/>
      <c r="AA590"/>
      <c r="AB590"/>
      <c r="AC590"/>
      <c r="AD590"/>
      <c r="AE590"/>
      <c r="AF590"/>
      <c r="AG590"/>
      <c r="AH590"/>
      <c r="AI590"/>
      <c r="AJ590"/>
      <c r="AK590"/>
      <c r="AL590"/>
      <c r="AM590"/>
      <c r="AS590"/>
      <c r="BB590" s="1"/>
      <c r="BC590" s="60"/>
      <c r="BD590" s="62"/>
    </row>
    <row r="591" spans="5:56" x14ac:dyDescent="0.35">
      <c r="E591" s="1"/>
      <c r="X591" s="31"/>
      <c r="Y591"/>
      <c r="Z591"/>
      <c r="AA591"/>
      <c r="AB591"/>
      <c r="AC591"/>
      <c r="AD591"/>
      <c r="AE591"/>
      <c r="AF591"/>
      <c r="AG591"/>
      <c r="AH591"/>
      <c r="AI591"/>
      <c r="AJ591"/>
      <c r="AK591"/>
      <c r="AL591"/>
      <c r="AM591"/>
      <c r="AS591"/>
      <c r="BB591" s="1"/>
      <c r="BC591" s="60"/>
      <c r="BD591" s="62"/>
    </row>
    <row r="592" spans="5:56" x14ac:dyDescent="0.35">
      <c r="E592" s="1"/>
      <c r="X592" s="31"/>
      <c r="Y592"/>
      <c r="Z592"/>
      <c r="AA592"/>
      <c r="AB592"/>
      <c r="AC592"/>
      <c r="AD592"/>
      <c r="AE592"/>
      <c r="AF592"/>
      <c r="AG592"/>
      <c r="AH592"/>
      <c r="AI592"/>
      <c r="AJ592"/>
      <c r="AK592"/>
      <c r="AL592"/>
      <c r="AM592"/>
      <c r="AS592"/>
      <c r="BB592" s="1"/>
      <c r="BC592" s="60"/>
    </row>
    <row r="593" spans="5:56" x14ac:dyDescent="0.35">
      <c r="E593" s="1"/>
      <c r="X593" s="31"/>
      <c r="Y593"/>
      <c r="Z593"/>
      <c r="AA593"/>
      <c r="AB593"/>
      <c r="AC593"/>
      <c r="AD593"/>
      <c r="AE593"/>
      <c r="AF593"/>
      <c r="AG593"/>
      <c r="AH593"/>
      <c r="AI593"/>
      <c r="AJ593"/>
      <c r="AK593"/>
      <c r="AL593"/>
      <c r="AM593"/>
      <c r="AS593"/>
      <c r="BB593" s="1"/>
      <c r="BC593" s="60"/>
    </row>
    <row r="594" spans="5:56" x14ac:dyDescent="0.35">
      <c r="E594" s="1"/>
      <c r="X594" s="31"/>
      <c r="Y594"/>
      <c r="Z594"/>
      <c r="AA594"/>
      <c r="AB594"/>
      <c r="AC594"/>
      <c r="AD594"/>
      <c r="AE594"/>
      <c r="AF594"/>
      <c r="AG594"/>
      <c r="AH594"/>
      <c r="AI594"/>
      <c r="AJ594"/>
      <c r="AK594"/>
      <c r="AL594"/>
      <c r="AM594"/>
      <c r="AS594"/>
      <c r="BB594" s="1"/>
      <c r="BC594" s="60"/>
      <c r="BD594" s="62"/>
    </row>
    <row r="595" spans="5:56" x14ac:dyDescent="0.35">
      <c r="E595" s="1"/>
      <c r="X595" s="31"/>
      <c r="Y595"/>
      <c r="Z595"/>
      <c r="AA595"/>
      <c r="AB595"/>
      <c r="AC595"/>
      <c r="AD595"/>
      <c r="AE595"/>
      <c r="AF595"/>
      <c r="AG595"/>
      <c r="AH595"/>
      <c r="AI595"/>
      <c r="AJ595"/>
      <c r="AK595"/>
      <c r="AL595"/>
      <c r="AM595"/>
      <c r="AS595"/>
      <c r="BB595" s="1"/>
      <c r="BC595" s="60"/>
    </row>
    <row r="596" spans="5:56" x14ac:dyDescent="0.35">
      <c r="E596" s="1"/>
      <c r="X596" s="31"/>
      <c r="Y596"/>
      <c r="Z596"/>
      <c r="AA596"/>
      <c r="AB596"/>
      <c r="AC596"/>
      <c r="AD596"/>
      <c r="AE596"/>
      <c r="AF596"/>
      <c r="AG596"/>
      <c r="AH596"/>
      <c r="AI596"/>
      <c r="AJ596"/>
      <c r="AK596"/>
      <c r="AL596"/>
      <c r="AM596"/>
      <c r="AS596"/>
      <c r="BB596" s="1"/>
      <c r="BC596" s="60"/>
      <c r="BD596" s="62"/>
    </row>
    <row r="597" spans="5:56" x14ac:dyDescent="0.35">
      <c r="E597" s="1"/>
      <c r="X597" s="31"/>
      <c r="Y597"/>
      <c r="Z597"/>
      <c r="AA597"/>
      <c r="AB597"/>
      <c r="AC597"/>
      <c r="AD597"/>
      <c r="AE597"/>
      <c r="AF597"/>
      <c r="AG597"/>
      <c r="AH597"/>
      <c r="AI597"/>
      <c r="AJ597"/>
      <c r="AK597"/>
      <c r="AL597"/>
      <c r="AM597"/>
      <c r="AS597"/>
      <c r="BB597" s="1"/>
      <c r="BC597" s="60"/>
    </row>
    <row r="598" spans="5:56" x14ac:dyDescent="0.35">
      <c r="E598" s="1"/>
      <c r="X598" s="31"/>
      <c r="Y598"/>
      <c r="Z598"/>
      <c r="AA598"/>
      <c r="AB598"/>
      <c r="AC598"/>
      <c r="AD598"/>
      <c r="AE598"/>
      <c r="AF598"/>
      <c r="AG598"/>
      <c r="AH598"/>
      <c r="AI598"/>
      <c r="AJ598"/>
      <c r="AK598"/>
      <c r="AL598"/>
      <c r="AM598"/>
      <c r="AS598"/>
      <c r="BB598" s="1"/>
      <c r="BC598" s="60"/>
    </row>
    <row r="599" spans="5:56" x14ac:dyDescent="0.35">
      <c r="E599" s="1"/>
      <c r="X599" s="31"/>
      <c r="Y599"/>
      <c r="Z599"/>
      <c r="AA599"/>
      <c r="AB599"/>
      <c r="AC599"/>
      <c r="AD599"/>
      <c r="AE599"/>
      <c r="AF599"/>
      <c r="AG599"/>
      <c r="AH599"/>
      <c r="AI599"/>
      <c r="AJ599"/>
      <c r="AK599"/>
      <c r="AL599"/>
      <c r="AM599"/>
      <c r="AS599"/>
      <c r="BB599" s="1"/>
      <c r="BC599" s="60"/>
      <c r="BD599" s="62"/>
    </row>
    <row r="600" spans="5:56" x14ac:dyDescent="0.35">
      <c r="E600" s="1"/>
      <c r="X600" s="31"/>
      <c r="Y600"/>
      <c r="Z600"/>
      <c r="AA600"/>
      <c r="AB600"/>
      <c r="AC600"/>
      <c r="AD600"/>
      <c r="AE600"/>
      <c r="AF600"/>
      <c r="AG600"/>
      <c r="AH600"/>
      <c r="AI600"/>
      <c r="AJ600"/>
      <c r="AK600"/>
      <c r="AL600"/>
      <c r="AM600"/>
      <c r="AS600"/>
      <c r="BB600" s="1"/>
      <c r="BC600" s="60"/>
      <c r="BD600" s="62"/>
    </row>
    <row r="601" spans="5:56" x14ac:dyDescent="0.35">
      <c r="E601" s="1"/>
      <c r="X601" s="31"/>
      <c r="Y601"/>
      <c r="Z601"/>
      <c r="AA601"/>
      <c r="AB601"/>
      <c r="AC601"/>
      <c r="AD601"/>
      <c r="AE601"/>
      <c r="AF601"/>
      <c r="AG601"/>
      <c r="AH601"/>
      <c r="AI601"/>
      <c r="AJ601"/>
      <c r="AK601"/>
      <c r="AL601"/>
      <c r="AM601"/>
      <c r="AS601"/>
      <c r="BB601" s="1"/>
      <c r="BC601" s="60"/>
      <c r="BD601" s="62"/>
    </row>
    <row r="602" spans="5:56" x14ac:dyDescent="0.35">
      <c r="E602" s="1"/>
      <c r="X602" s="31"/>
      <c r="Y602"/>
      <c r="Z602"/>
      <c r="AA602"/>
      <c r="AB602"/>
      <c r="AC602"/>
      <c r="AD602"/>
      <c r="AE602"/>
      <c r="AF602"/>
      <c r="AG602"/>
      <c r="AH602"/>
      <c r="AI602"/>
      <c r="AJ602"/>
      <c r="AK602"/>
      <c r="AL602"/>
      <c r="AM602"/>
      <c r="AS602"/>
      <c r="BB602" s="1"/>
      <c r="BC602" s="60"/>
      <c r="BD602" s="62"/>
    </row>
    <row r="603" spans="5:56" x14ac:dyDescent="0.35">
      <c r="E603" s="1"/>
      <c r="X603" s="31"/>
      <c r="Y603"/>
      <c r="Z603"/>
      <c r="AA603"/>
      <c r="AB603"/>
      <c r="AC603"/>
      <c r="AD603"/>
      <c r="AE603"/>
      <c r="AF603"/>
      <c r="AG603"/>
      <c r="AH603"/>
      <c r="AI603"/>
      <c r="AJ603"/>
      <c r="AK603"/>
      <c r="AL603"/>
      <c r="AM603"/>
      <c r="AS603"/>
      <c r="BB603" s="1"/>
      <c r="BC603" s="60"/>
      <c r="BD603" s="62"/>
    </row>
    <row r="604" spans="5:56" x14ac:dyDescent="0.35">
      <c r="E604" s="1"/>
      <c r="X604" s="31"/>
      <c r="Y604"/>
      <c r="Z604"/>
      <c r="AA604"/>
      <c r="AB604"/>
      <c r="AC604"/>
      <c r="AD604"/>
      <c r="AE604"/>
      <c r="AF604"/>
      <c r="AG604"/>
      <c r="AH604"/>
      <c r="AI604"/>
      <c r="AJ604"/>
      <c r="AK604"/>
      <c r="AL604"/>
      <c r="AM604"/>
      <c r="AS604"/>
      <c r="BB604" s="1"/>
      <c r="BC604" s="60"/>
      <c r="BD604" s="62"/>
    </row>
    <row r="605" spans="5:56" x14ac:dyDescent="0.35">
      <c r="E605" s="1"/>
      <c r="X605" s="31"/>
      <c r="Y605"/>
      <c r="Z605"/>
      <c r="AA605"/>
      <c r="AB605"/>
      <c r="AC605"/>
      <c r="AD605"/>
      <c r="AE605"/>
      <c r="AF605"/>
      <c r="AG605"/>
      <c r="AH605"/>
      <c r="AI605"/>
      <c r="AJ605"/>
      <c r="AK605"/>
      <c r="AL605"/>
      <c r="AM605"/>
      <c r="AS605"/>
      <c r="BB605" s="1"/>
      <c r="BC605" s="60"/>
    </row>
    <row r="606" spans="5:56" x14ac:dyDescent="0.35">
      <c r="E606" s="1"/>
      <c r="X606" s="31"/>
      <c r="Y606"/>
      <c r="Z606"/>
      <c r="AA606"/>
      <c r="AB606"/>
      <c r="AC606"/>
      <c r="AD606"/>
      <c r="AE606"/>
      <c r="AF606"/>
      <c r="AG606"/>
      <c r="AH606"/>
      <c r="AI606"/>
      <c r="AJ606"/>
      <c r="AK606"/>
      <c r="AL606"/>
      <c r="AM606"/>
      <c r="AS606"/>
      <c r="BB606" s="1"/>
      <c r="BC606" s="60"/>
      <c r="BD606" s="62"/>
    </row>
    <row r="607" spans="5:56" x14ac:dyDescent="0.35">
      <c r="E607" s="1"/>
      <c r="X607" s="31"/>
      <c r="Y607"/>
      <c r="Z607"/>
      <c r="AA607"/>
      <c r="AB607"/>
      <c r="AC607"/>
      <c r="AD607"/>
      <c r="AE607"/>
      <c r="AF607"/>
      <c r="AG607"/>
      <c r="AH607"/>
      <c r="AI607"/>
      <c r="AJ607"/>
      <c r="AK607"/>
      <c r="AL607"/>
      <c r="AM607"/>
      <c r="AS607"/>
      <c r="BB607" s="1"/>
      <c r="BC607" s="60"/>
      <c r="BD607" s="62"/>
    </row>
    <row r="608" spans="5:56" x14ac:dyDescent="0.35">
      <c r="E608" s="1"/>
      <c r="X608" s="31"/>
      <c r="Y608"/>
      <c r="Z608"/>
      <c r="AA608"/>
      <c r="AB608"/>
      <c r="AC608"/>
      <c r="AD608"/>
      <c r="AE608"/>
      <c r="AF608"/>
      <c r="AG608"/>
      <c r="AH608"/>
      <c r="AI608"/>
      <c r="AJ608"/>
      <c r="AK608"/>
      <c r="AL608"/>
      <c r="AM608"/>
      <c r="AS608"/>
      <c r="BB608" s="1"/>
      <c r="BC608" s="60"/>
    </row>
    <row r="609" spans="5:56" x14ac:dyDescent="0.35">
      <c r="E609" s="1"/>
      <c r="X609" s="31"/>
      <c r="Y609"/>
      <c r="Z609"/>
      <c r="AA609"/>
      <c r="AB609"/>
      <c r="AC609"/>
      <c r="AD609"/>
      <c r="AE609"/>
      <c r="AF609"/>
      <c r="AG609"/>
      <c r="AH609"/>
      <c r="AI609"/>
      <c r="AJ609"/>
      <c r="AK609"/>
      <c r="AL609"/>
      <c r="AM609"/>
      <c r="AS609"/>
      <c r="BB609" s="1"/>
      <c r="BC609" s="60"/>
    </row>
    <row r="610" spans="5:56" x14ac:dyDescent="0.35">
      <c r="E610" s="1"/>
      <c r="X610" s="31"/>
      <c r="Y610"/>
      <c r="Z610"/>
      <c r="AA610"/>
      <c r="AB610"/>
      <c r="AC610"/>
      <c r="AD610"/>
      <c r="AE610"/>
      <c r="AF610"/>
      <c r="AG610"/>
      <c r="AH610"/>
      <c r="AI610"/>
      <c r="AJ610"/>
      <c r="AK610"/>
      <c r="AL610"/>
      <c r="AM610"/>
      <c r="AS610"/>
      <c r="BB610" s="1"/>
      <c r="BC610" s="60"/>
      <c r="BD610" s="62"/>
    </row>
    <row r="611" spans="5:56" x14ac:dyDescent="0.35">
      <c r="E611" s="1"/>
      <c r="X611" s="31"/>
      <c r="Y611"/>
      <c r="Z611"/>
      <c r="AA611"/>
      <c r="AB611"/>
      <c r="AC611"/>
      <c r="AD611"/>
      <c r="AE611"/>
      <c r="AF611"/>
      <c r="AG611"/>
      <c r="AH611"/>
      <c r="AI611"/>
      <c r="AJ611"/>
      <c r="AK611"/>
      <c r="AL611"/>
      <c r="AM611"/>
      <c r="AS611"/>
      <c r="BB611" s="1"/>
      <c r="BC611" s="60"/>
    </row>
    <row r="612" spans="5:56" x14ac:dyDescent="0.35">
      <c r="E612" s="1"/>
      <c r="X612" s="31"/>
      <c r="Y612"/>
      <c r="Z612"/>
      <c r="AA612"/>
      <c r="AB612"/>
      <c r="AC612"/>
      <c r="AD612"/>
      <c r="AE612"/>
      <c r="AF612"/>
      <c r="AG612"/>
      <c r="AH612"/>
      <c r="AI612"/>
      <c r="AJ612"/>
      <c r="AK612"/>
      <c r="AL612"/>
      <c r="AM612"/>
      <c r="AS612"/>
      <c r="BB612" s="1"/>
      <c r="BC612" s="60"/>
      <c r="BD612" s="62"/>
    </row>
    <row r="613" spans="5:56" x14ac:dyDescent="0.35">
      <c r="E613" s="1"/>
      <c r="X613" s="31"/>
      <c r="Y613"/>
      <c r="Z613"/>
      <c r="AA613"/>
      <c r="AB613"/>
      <c r="AC613"/>
      <c r="AD613"/>
      <c r="AE613"/>
      <c r="AF613"/>
      <c r="AG613"/>
      <c r="AH613"/>
      <c r="AI613"/>
      <c r="AJ613"/>
      <c r="AK613"/>
      <c r="AL613"/>
      <c r="AM613"/>
      <c r="AS613"/>
      <c r="BB613" s="1"/>
      <c r="BC613" s="60"/>
    </row>
    <row r="614" spans="5:56" x14ac:dyDescent="0.35">
      <c r="E614" s="1"/>
      <c r="X614" s="31"/>
      <c r="Y614"/>
      <c r="Z614"/>
      <c r="AA614"/>
      <c r="AB614"/>
      <c r="AC614"/>
      <c r="AD614"/>
      <c r="AE614"/>
      <c r="AF614"/>
      <c r="AG614"/>
      <c r="AH614"/>
      <c r="AI614"/>
      <c r="AJ614"/>
      <c r="AK614"/>
      <c r="AL614"/>
      <c r="AM614"/>
      <c r="AS614"/>
      <c r="BB614" s="1"/>
      <c r="BC614" s="60"/>
    </row>
    <row r="615" spans="5:56" x14ac:dyDescent="0.35">
      <c r="E615" s="1"/>
      <c r="X615" s="31"/>
      <c r="Y615"/>
      <c r="Z615"/>
      <c r="AA615"/>
      <c r="AB615"/>
      <c r="AC615"/>
      <c r="AD615"/>
      <c r="AE615"/>
      <c r="AF615"/>
      <c r="AG615"/>
      <c r="AH615"/>
      <c r="AI615"/>
      <c r="AJ615"/>
      <c r="AK615"/>
      <c r="AL615"/>
      <c r="AM615"/>
      <c r="AS615"/>
      <c r="BB615" s="1"/>
      <c r="BC615" s="60"/>
    </row>
    <row r="616" spans="5:56" x14ac:dyDescent="0.35">
      <c r="E616" s="1"/>
      <c r="X616" s="31"/>
      <c r="Y616"/>
      <c r="Z616"/>
      <c r="AA616"/>
      <c r="AB616"/>
      <c r="AC616"/>
      <c r="AD616"/>
      <c r="AE616"/>
      <c r="AF616"/>
      <c r="AG616"/>
      <c r="AH616"/>
      <c r="AI616"/>
      <c r="AJ616"/>
      <c r="AK616"/>
      <c r="AL616"/>
      <c r="AM616"/>
      <c r="AS616"/>
      <c r="BB616" s="1"/>
      <c r="BC616" s="60"/>
      <c r="BD616" s="62"/>
    </row>
    <row r="617" spans="5:56" x14ac:dyDescent="0.35">
      <c r="E617" s="1"/>
      <c r="X617" s="31"/>
      <c r="Y617"/>
      <c r="Z617"/>
      <c r="AA617"/>
      <c r="AB617"/>
      <c r="AC617"/>
      <c r="AD617"/>
      <c r="AE617"/>
      <c r="AF617"/>
      <c r="AG617"/>
      <c r="AH617"/>
      <c r="AI617"/>
      <c r="AJ617"/>
      <c r="AK617"/>
      <c r="AL617"/>
      <c r="AM617"/>
      <c r="AS617"/>
      <c r="BB617" s="1"/>
      <c r="BC617" s="60"/>
    </row>
    <row r="618" spans="5:56" x14ac:dyDescent="0.35">
      <c r="E618" s="1"/>
      <c r="X618" s="31"/>
      <c r="Y618"/>
      <c r="Z618"/>
      <c r="AA618"/>
      <c r="AB618"/>
      <c r="AC618"/>
      <c r="AD618"/>
      <c r="AE618"/>
      <c r="AF618"/>
      <c r="AG618"/>
      <c r="AH618"/>
      <c r="AI618"/>
      <c r="AJ618"/>
      <c r="AK618"/>
      <c r="AL618"/>
      <c r="AM618"/>
      <c r="AS618"/>
      <c r="BB618" s="1"/>
      <c r="BC618" s="60"/>
    </row>
    <row r="619" spans="5:56" x14ac:dyDescent="0.35">
      <c r="E619" s="1"/>
      <c r="X619" s="31"/>
      <c r="Y619"/>
      <c r="Z619"/>
      <c r="AA619"/>
      <c r="AB619"/>
      <c r="AC619"/>
      <c r="AD619"/>
      <c r="AE619"/>
      <c r="AF619"/>
      <c r="AG619"/>
      <c r="AH619"/>
      <c r="AI619"/>
      <c r="AJ619"/>
      <c r="AK619"/>
      <c r="AL619"/>
      <c r="AM619"/>
      <c r="AS619"/>
      <c r="BB619" s="1"/>
      <c r="BC619" s="60"/>
      <c r="BD619" s="62"/>
    </row>
    <row r="620" spans="5:56" x14ac:dyDescent="0.35">
      <c r="E620" s="1"/>
      <c r="X620" s="31"/>
      <c r="Y620"/>
      <c r="Z620"/>
      <c r="AA620"/>
      <c r="AB620"/>
      <c r="AC620"/>
      <c r="AD620"/>
      <c r="AE620"/>
      <c r="AF620"/>
      <c r="AG620"/>
      <c r="AH620"/>
      <c r="AI620"/>
      <c r="AJ620"/>
      <c r="AK620"/>
      <c r="AL620"/>
      <c r="AM620"/>
      <c r="AS620"/>
      <c r="BB620" s="1"/>
      <c r="BC620" s="60"/>
      <c r="BD620" s="62"/>
    </row>
    <row r="621" spans="5:56" ht="13.75" customHeight="1" x14ac:dyDescent="0.35">
      <c r="E621" s="1"/>
      <c r="X621" s="31"/>
      <c r="Y621"/>
      <c r="Z621"/>
      <c r="AA621"/>
      <c r="AB621"/>
      <c r="AC621"/>
      <c r="AD621"/>
      <c r="AE621"/>
      <c r="AF621"/>
      <c r="AG621"/>
      <c r="AH621"/>
      <c r="AI621"/>
      <c r="AJ621"/>
      <c r="AK621"/>
      <c r="AL621"/>
      <c r="AM621"/>
      <c r="AS621"/>
      <c r="BB621" s="1"/>
      <c r="BC621" s="60"/>
    </row>
    <row r="622" spans="5:56" x14ac:dyDescent="0.35">
      <c r="E622" s="1"/>
      <c r="X622" s="31"/>
      <c r="Y622"/>
      <c r="Z622"/>
      <c r="AA622"/>
      <c r="AB622"/>
      <c r="AC622"/>
      <c r="AD622"/>
      <c r="AE622"/>
      <c r="AF622"/>
      <c r="AG622"/>
      <c r="AH622"/>
      <c r="AI622"/>
      <c r="AJ622"/>
      <c r="AK622"/>
      <c r="AL622"/>
      <c r="AM622"/>
      <c r="AS622"/>
      <c r="BB622" s="1"/>
      <c r="BC622" s="60"/>
    </row>
    <row r="623" spans="5:56" x14ac:dyDescent="0.35">
      <c r="E623" s="1"/>
      <c r="X623" s="31"/>
      <c r="Y623"/>
      <c r="Z623"/>
      <c r="AA623"/>
      <c r="AB623"/>
      <c r="AC623"/>
      <c r="AD623"/>
      <c r="AE623"/>
      <c r="AF623"/>
      <c r="AG623"/>
      <c r="AH623"/>
      <c r="AI623"/>
      <c r="AJ623"/>
      <c r="AK623"/>
      <c r="AL623"/>
      <c r="AM623"/>
      <c r="AS623"/>
      <c r="BB623" s="1"/>
      <c r="BC623" s="60"/>
      <c r="BD623" s="62"/>
    </row>
    <row r="624" spans="5:56" x14ac:dyDescent="0.35">
      <c r="E624" s="1"/>
      <c r="X624" s="31"/>
      <c r="Y624"/>
      <c r="Z624"/>
      <c r="AA624"/>
      <c r="AB624"/>
      <c r="AC624"/>
      <c r="AD624"/>
      <c r="AE624"/>
      <c r="AF624"/>
      <c r="AG624"/>
      <c r="AH624"/>
      <c r="AI624"/>
      <c r="AJ624"/>
      <c r="AK624"/>
      <c r="AL624"/>
      <c r="AM624"/>
      <c r="AS624"/>
      <c r="BB624" s="1"/>
      <c r="BC624" s="60"/>
      <c r="BD624" s="62"/>
    </row>
    <row r="625" spans="5:56" x14ac:dyDescent="0.35">
      <c r="E625" s="1"/>
      <c r="X625" s="31"/>
      <c r="Y625"/>
      <c r="Z625"/>
      <c r="AA625"/>
      <c r="AB625"/>
      <c r="AC625"/>
      <c r="AD625"/>
      <c r="AE625"/>
      <c r="AF625"/>
      <c r="AG625"/>
      <c r="AH625"/>
      <c r="AI625"/>
      <c r="AJ625"/>
      <c r="AK625"/>
      <c r="AL625"/>
      <c r="AM625"/>
      <c r="AS625"/>
      <c r="BB625" s="1"/>
      <c r="BC625" s="60"/>
    </row>
    <row r="626" spans="5:56" x14ac:dyDescent="0.35">
      <c r="E626" s="1"/>
      <c r="X626" s="31"/>
      <c r="Y626"/>
      <c r="Z626"/>
      <c r="AA626"/>
      <c r="AB626"/>
      <c r="AC626"/>
      <c r="AD626"/>
      <c r="AE626"/>
      <c r="AF626"/>
      <c r="AG626"/>
      <c r="AH626"/>
      <c r="AI626"/>
      <c r="AJ626"/>
      <c r="AK626"/>
      <c r="AL626"/>
      <c r="AM626"/>
      <c r="AS626"/>
      <c r="BB626" s="1"/>
      <c r="BC626" s="60"/>
    </row>
    <row r="627" spans="5:56" x14ac:dyDescent="0.35">
      <c r="E627" s="1"/>
      <c r="X627" s="31"/>
      <c r="Y627"/>
      <c r="Z627"/>
      <c r="AA627"/>
      <c r="AB627"/>
      <c r="AC627"/>
      <c r="AD627"/>
      <c r="AE627"/>
      <c r="AF627"/>
      <c r="AG627"/>
      <c r="AH627"/>
      <c r="AI627"/>
      <c r="AJ627"/>
      <c r="AK627"/>
      <c r="AL627"/>
      <c r="AM627"/>
      <c r="AS627"/>
      <c r="BB627" s="1"/>
      <c r="BC627" s="60"/>
      <c r="BD627" s="62"/>
    </row>
    <row r="628" spans="5:56" x14ac:dyDescent="0.35">
      <c r="E628" s="1"/>
      <c r="X628" s="31"/>
      <c r="Y628"/>
      <c r="Z628"/>
      <c r="AA628"/>
      <c r="AB628"/>
      <c r="AC628"/>
      <c r="AD628"/>
      <c r="AE628"/>
      <c r="AF628"/>
      <c r="AG628"/>
      <c r="AH628"/>
      <c r="AI628"/>
      <c r="AJ628"/>
      <c r="AK628"/>
      <c r="AL628"/>
      <c r="AM628"/>
      <c r="AS628"/>
      <c r="BB628" s="1"/>
      <c r="BC628" s="60"/>
      <c r="BD628" s="62"/>
    </row>
    <row r="629" spans="5:56" x14ac:dyDescent="0.35">
      <c r="E629" s="1"/>
      <c r="X629" s="31"/>
      <c r="Y629"/>
      <c r="Z629"/>
      <c r="AA629"/>
      <c r="AB629"/>
      <c r="AC629"/>
      <c r="AD629"/>
      <c r="AE629"/>
      <c r="AF629"/>
      <c r="AG629"/>
      <c r="AH629"/>
      <c r="AI629"/>
      <c r="AJ629"/>
      <c r="AK629"/>
      <c r="AL629"/>
      <c r="AM629"/>
      <c r="AS629"/>
      <c r="BB629" s="1"/>
      <c r="BC629" s="60"/>
    </row>
    <row r="630" spans="5:56" x14ac:dyDescent="0.35">
      <c r="E630" s="1"/>
      <c r="X630" s="31"/>
      <c r="Y630"/>
      <c r="Z630"/>
      <c r="AA630"/>
      <c r="AB630"/>
      <c r="AC630"/>
      <c r="AD630"/>
      <c r="AE630"/>
      <c r="AF630"/>
      <c r="AG630"/>
      <c r="AH630"/>
      <c r="AI630"/>
      <c r="AJ630"/>
      <c r="AK630"/>
      <c r="AL630"/>
      <c r="AM630"/>
      <c r="AS630"/>
      <c r="BB630" s="1"/>
      <c r="BC630" s="60"/>
      <c r="BD630" s="62"/>
    </row>
    <row r="631" spans="5:56" x14ac:dyDescent="0.35">
      <c r="E631" s="1"/>
      <c r="X631" s="31"/>
      <c r="Y631"/>
      <c r="Z631"/>
      <c r="AA631"/>
      <c r="AB631"/>
      <c r="AC631"/>
      <c r="AD631"/>
      <c r="AE631"/>
      <c r="AF631"/>
      <c r="AG631"/>
      <c r="AH631"/>
      <c r="AI631"/>
      <c r="AJ631"/>
      <c r="AK631"/>
      <c r="AL631"/>
      <c r="AM631"/>
      <c r="AS631"/>
      <c r="BB631" s="1"/>
      <c r="BC631" s="60"/>
    </row>
    <row r="632" spans="5:56" x14ac:dyDescent="0.35">
      <c r="E632" s="1"/>
      <c r="X632" s="31"/>
      <c r="Y632"/>
      <c r="Z632"/>
      <c r="AA632"/>
      <c r="AB632"/>
      <c r="AC632"/>
      <c r="AD632"/>
      <c r="AE632"/>
      <c r="AF632"/>
      <c r="AG632"/>
      <c r="AH632"/>
      <c r="AI632"/>
      <c r="AJ632"/>
      <c r="AK632"/>
      <c r="AL632"/>
      <c r="AM632"/>
      <c r="AS632"/>
      <c r="BB632" s="1"/>
      <c r="BC632" s="60"/>
    </row>
    <row r="633" spans="5:56" x14ac:dyDescent="0.35">
      <c r="E633" s="1"/>
      <c r="X633" s="31"/>
      <c r="Y633"/>
      <c r="Z633"/>
      <c r="AA633"/>
      <c r="AB633"/>
      <c r="AC633"/>
      <c r="AD633"/>
      <c r="AE633"/>
      <c r="AF633"/>
      <c r="AG633"/>
      <c r="AH633"/>
      <c r="AI633"/>
      <c r="AJ633"/>
      <c r="AK633"/>
      <c r="AL633"/>
      <c r="AM633"/>
      <c r="AS633"/>
      <c r="BB633" s="1"/>
      <c r="BC633" s="60"/>
    </row>
    <row r="634" spans="5:56" x14ac:dyDescent="0.35">
      <c r="E634" s="1"/>
      <c r="X634" s="31"/>
      <c r="Y634"/>
      <c r="Z634"/>
      <c r="AA634"/>
      <c r="AB634"/>
      <c r="AC634"/>
      <c r="AD634"/>
      <c r="AE634"/>
      <c r="AF634"/>
      <c r="AG634"/>
      <c r="AH634"/>
      <c r="AI634"/>
      <c r="AJ634"/>
      <c r="AK634"/>
      <c r="AL634"/>
      <c r="AM634"/>
      <c r="AS634"/>
      <c r="BB634" s="1"/>
      <c r="BC634" s="60"/>
    </row>
    <row r="635" spans="5:56" x14ac:dyDescent="0.35">
      <c r="E635" s="1"/>
      <c r="X635" s="31"/>
      <c r="Y635"/>
      <c r="Z635"/>
      <c r="AA635"/>
      <c r="AB635"/>
      <c r="AC635"/>
      <c r="AD635"/>
      <c r="AE635"/>
      <c r="AF635"/>
      <c r="AG635"/>
      <c r="AH635"/>
      <c r="AI635"/>
      <c r="AJ635"/>
      <c r="AK635"/>
      <c r="AL635"/>
      <c r="AM635"/>
      <c r="AS635"/>
      <c r="BB635" s="1"/>
      <c r="BC635" s="60"/>
    </row>
    <row r="636" spans="5:56" x14ac:dyDescent="0.35">
      <c r="E636" s="1"/>
      <c r="X636" s="31"/>
      <c r="Y636"/>
      <c r="Z636"/>
      <c r="AA636"/>
      <c r="AB636"/>
      <c r="AC636"/>
      <c r="AD636"/>
      <c r="AE636"/>
      <c r="AF636"/>
      <c r="AG636"/>
      <c r="AH636"/>
      <c r="AI636"/>
      <c r="AJ636"/>
      <c r="AK636"/>
      <c r="AL636"/>
      <c r="AM636"/>
      <c r="AS636"/>
      <c r="BB636" s="1"/>
      <c r="BC636" s="60"/>
      <c r="BD636" s="62"/>
    </row>
    <row r="637" spans="5:56" x14ac:dyDescent="0.35">
      <c r="E637" s="1"/>
      <c r="X637" s="31"/>
      <c r="Y637"/>
      <c r="Z637"/>
      <c r="AA637"/>
      <c r="AB637"/>
      <c r="AC637"/>
      <c r="AD637"/>
      <c r="AE637"/>
      <c r="AF637"/>
      <c r="AG637"/>
      <c r="AH637"/>
      <c r="AI637"/>
      <c r="AJ637"/>
      <c r="AK637"/>
      <c r="AL637"/>
      <c r="AM637"/>
      <c r="AS637"/>
      <c r="BB637" s="1"/>
      <c r="BC637" s="60"/>
      <c r="BD637" s="62"/>
    </row>
    <row r="638" spans="5:56" x14ac:dyDescent="0.35">
      <c r="E638" s="1"/>
      <c r="X638" s="31"/>
      <c r="Y638"/>
      <c r="Z638"/>
      <c r="AA638"/>
      <c r="AB638"/>
      <c r="AC638"/>
      <c r="AD638"/>
      <c r="AE638"/>
      <c r="AF638"/>
      <c r="AG638"/>
      <c r="AH638"/>
      <c r="AI638"/>
      <c r="AJ638"/>
      <c r="AK638"/>
      <c r="AL638"/>
      <c r="AM638"/>
      <c r="AS638"/>
      <c r="BB638" s="1"/>
      <c r="BC638" s="60"/>
    </row>
    <row r="639" spans="5:56" x14ac:dyDescent="0.35">
      <c r="E639" s="1"/>
      <c r="X639" s="31"/>
      <c r="Y639"/>
      <c r="Z639"/>
      <c r="AA639"/>
      <c r="AB639"/>
      <c r="AC639"/>
      <c r="AD639"/>
      <c r="AE639"/>
      <c r="AF639"/>
      <c r="AG639"/>
      <c r="AH639"/>
      <c r="AI639"/>
      <c r="AJ639"/>
      <c r="AK639"/>
      <c r="AL639"/>
      <c r="AM639"/>
      <c r="AS639"/>
      <c r="BB639" s="1"/>
      <c r="BC639" s="60"/>
    </row>
    <row r="640" spans="5:56" x14ac:dyDescent="0.35">
      <c r="E640" s="1"/>
      <c r="X640" s="31"/>
      <c r="Y640"/>
      <c r="Z640"/>
      <c r="AA640"/>
      <c r="AB640"/>
      <c r="AC640"/>
      <c r="AD640"/>
      <c r="AE640"/>
      <c r="AF640"/>
      <c r="AG640"/>
      <c r="AH640"/>
      <c r="AI640"/>
      <c r="AJ640"/>
      <c r="AK640"/>
      <c r="AL640"/>
      <c r="AM640"/>
      <c r="AS640"/>
      <c r="BB640" s="1"/>
      <c r="BC640" s="60"/>
    </row>
    <row r="641" spans="5:56" x14ac:dyDescent="0.35">
      <c r="E641" s="1"/>
      <c r="X641" s="31"/>
      <c r="Y641"/>
      <c r="Z641"/>
      <c r="AA641"/>
      <c r="AB641"/>
      <c r="AC641"/>
      <c r="AD641"/>
      <c r="AE641"/>
      <c r="AF641"/>
      <c r="AG641"/>
      <c r="AH641"/>
      <c r="AI641"/>
      <c r="AJ641"/>
      <c r="AK641"/>
      <c r="AL641"/>
      <c r="AM641"/>
      <c r="AS641"/>
      <c r="BB641" s="1"/>
      <c r="BC641" s="60"/>
    </row>
    <row r="642" spans="5:56" x14ac:dyDescent="0.35">
      <c r="E642" s="1"/>
      <c r="X642" s="31"/>
      <c r="Y642"/>
      <c r="Z642"/>
      <c r="AA642"/>
      <c r="AB642"/>
      <c r="AC642"/>
      <c r="AD642"/>
      <c r="AE642"/>
      <c r="AF642"/>
      <c r="AG642"/>
      <c r="AH642"/>
      <c r="AI642"/>
      <c r="AJ642"/>
      <c r="AK642"/>
      <c r="AL642"/>
      <c r="AM642"/>
      <c r="AS642"/>
      <c r="BB642" s="1"/>
      <c r="BC642" s="60"/>
      <c r="BD642" s="62"/>
    </row>
    <row r="643" spans="5:56" x14ac:dyDescent="0.35">
      <c r="E643" s="1"/>
      <c r="X643" s="31"/>
      <c r="Y643"/>
      <c r="Z643"/>
      <c r="AA643"/>
      <c r="AB643"/>
      <c r="AC643"/>
      <c r="AD643"/>
      <c r="AE643"/>
      <c r="AF643"/>
      <c r="AG643"/>
      <c r="AH643"/>
      <c r="AI643"/>
      <c r="AJ643"/>
      <c r="AK643"/>
      <c r="AL643"/>
      <c r="AM643"/>
      <c r="AS643"/>
      <c r="BB643" s="1"/>
      <c r="BC643" s="60"/>
    </row>
    <row r="644" spans="5:56" x14ac:dyDescent="0.35">
      <c r="E644" s="1"/>
      <c r="X644" s="31"/>
      <c r="Y644"/>
      <c r="Z644"/>
      <c r="AA644"/>
      <c r="AB644"/>
      <c r="AC644"/>
      <c r="AD644"/>
      <c r="AE644"/>
      <c r="AF644"/>
      <c r="AG644"/>
      <c r="AH644"/>
      <c r="AI644"/>
      <c r="AJ644"/>
      <c r="AK644"/>
      <c r="AL644"/>
      <c r="AM644"/>
      <c r="AS644"/>
      <c r="BB644" s="1"/>
      <c r="BC644" s="60"/>
    </row>
    <row r="645" spans="5:56" x14ac:dyDescent="0.35">
      <c r="E645" s="1"/>
      <c r="X645" s="31"/>
      <c r="Y645"/>
      <c r="Z645"/>
      <c r="AA645"/>
      <c r="AB645"/>
      <c r="AC645"/>
      <c r="AD645"/>
      <c r="AE645"/>
      <c r="AF645"/>
      <c r="AG645"/>
      <c r="AH645"/>
      <c r="AI645"/>
      <c r="AJ645"/>
      <c r="AK645"/>
      <c r="AL645"/>
      <c r="AM645"/>
      <c r="AS645"/>
      <c r="BB645" s="1"/>
      <c r="BC645" s="60"/>
    </row>
    <row r="646" spans="5:56" x14ac:dyDescent="0.35">
      <c r="E646" s="1"/>
      <c r="X646" s="31"/>
      <c r="Y646"/>
      <c r="Z646"/>
      <c r="AA646"/>
      <c r="AB646"/>
      <c r="AC646"/>
      <c r="AD646"/>
      <c r="AE646"/>
      <c r="AF646"/>
      <c r="AG646"/>
      <c r="AH646"/>
      <c r="AI646"/>
      <c r="AJ646"/>
      <c r="AK646"/>
      <c r="AL646"/>
      <c r="AM646"/>
      <c r="AS646"/>
      <c r="BB646" s="1"/>
      <c r="BC646" s="60"/>
      <c r="BD646" s="62"/>
    </row>
    <row r="647" spans="5:56" x14ac:dyDescent="0.35">
      <c r="E647" s="1"/>
      <c r="X647" s="31"/>
      <c r="Y647"/>
      <c r="Z647"/>
      <c r="AA647"/>
      <c r="AB647"/>
      <c r="AC647"/>
      <c r="AD647"/>
      <c r="AE647"/>
      <c r="AF647"/>
      <c r="AG647"/>
      <c r="AH647"/>
      <c r="AI647"/>
      <c r="AJ647"/>
      <c r="AK647"/>
      <c r="AL647"/>
      <c r="AM647"/>
      <c r="AS647"/>
      <c r="BB647" s="1"/>
      <c r="BC647" s="60"/>
      <c r="BD647" s="62"/>
    </row>
    <row r="648" spans="5:56" x14ac:dyDescent="0.35">
      <c r="E648" s="1"/>
      <c r="X648" s="31"/>
      <c r="Y648"/>
      <c r="Z648"/>
      <c r="AA648"/>
      <c r="AB648"/>
      <c r="AC648"/>
      <c r="AD648"/>
      <c r="AE648"/>
      <c r="AF648"/>
      <c r="AG648"/>
      <c r="AH648"/>
      <c r="AI648"/>
      <c r="AJ648"/>
      <c r="AK648"/>
      <c r="AL648"/>
      <c r="AM648"/>
      <c r="AS648"/>
      <c r="BB648" s="1"/>
      <c r="BC648" s="60"/>
    </row>
    <row r="649" spans="5:56" x14ac:dyDescent="0.35">
      <c r="E649" s="1"/>
      <c r="X649" s="31"/>
      <c r="Y649"/>
      <c r="Z649"/>
      <c r="AA649"/>
      <c r="AB649"/>
      <c r="AC649"/>
      <c r="AD649"/>
      <c r="AE649"/>
      <c r="AF649"/>
      <c r="AG649"/>
      <c r="AH649"/>
      <c r="AI649"/>
      <c r="AJ649"/>
      <c r="AK649"/>
      <c r="AL649"/>
      <c r="AM649"/>
      <c r="AS649"/>
      <c r="BB649" s="1"/>
      <c r="BC649" s="60"/>
    </row>
    <row r="650" spans="5:56" x14ac:dyDescent="0.35">
      <c r="E650" s="1"/>
      <c r="X650" s="31"/>
      <c r="Y650"/>
      <c r="Z650"/>
      <c r="AA650"/>
      <c r="AB650"/>
      <c r="AC650"/>
      <c r="AD650"/>
      <c r="AE650"/>
      <c r="AF650"/>
      <c r="AG650"/>
      <c r="AH650"/>
      <c r="AI650"/>
      <c r="AJ650"/>
      <c r="AK650"/>
      <c r="AL650"/>
      <c r="AM650"/>
      <c r="AS650"/>
      <c r="BB650" s="1"/>
      <c r="BC650" s="60"/>
    </row>
    <row r="651" spans="5:56" x14ac:dyDescent="0.35">
      <c r="E651" s="1"/>
      <c r="X651" s="31"/>
      <c r="Y651"/>
      <c r="Z651"/>
      <c r="AA651"/>
      <c r="AB651"/>
      <c r="AC651"/>
      <c r="AD651"/>
      <c r="AE651"/>
      <c r="AF651"/>
      <c r="AG651"/>
      <c r="AH651"/>
      <c r="AI651"/>
      <c r="AJ651"/>
      <c r="AK651"/>
      <c r="AL651"/>
      <c r="AM651"/>
      <c r="AS651"/>
      <c r="BB651" s="1"/>
      <c r="BC651" s="60"/>
    </row>
    <row r="652" spans="5:56" x14ac:dyDescent="0.35">
      <c r="E652" s="1"/>
      <c r="X652" s="31"/>
      <c r="Y652"/>
      <c r="Z652"/>
      <c r="AA652"/>
      <c r="AB652"/>
      <c r="AC652"/>
      <c r="AD652"/>
      <c r="AE652"/>
      <c r="AF652"/>
      <c r="AG652"/>
      <c r="AH652"/>
      <c r="AI652"/>
      <c r="AJ652"/>
      <c r="AK652"/>
      <c r="AL652"/>
      <c r="AM652"/>
      <c r="AS652"/>
      <c r="BB652" s="1"/>
      <c r="BC652" s="60"/>
    </row>
    <row r="653" spans="5:56" x14ac:dyDescent="0.35">
      <c r="E653" s="1"/>
      <c r="X653" s="31"/>
      <c r="Y653"/>
      <c r="Z653"/>
      <c r="AA653"/>
      <c r="AB653"/>
      <c r="AC653"/>
      <c r="AD653"/>
      <c r="AE653"/>
      <c r="AF653"/>
      <c r="AG653"/>
      <c r="AH653"/>
      <c r="AI653"/>
      <c r="AJ653"/>
      <c r="AK653"/>
      <c r="AL653"/>
      <c r="AM653"/>
      <c r="AS653"/>
      <c r="BB653" s="1"/>
      <c r="BC653" s="60"/>
      <c r="BD653" s="62"/>
    </row>
    <row r="654" spans="5:56" x14ac:dyDescent="0.35">
      <c r="E654" s="1"/>
      <c r="X654" s="31"/>
      <c r="Y654"/>
      <c r="Z654"/>
      <c r="AA654"/>
      <c r="AB654"/>
      <c r="AC654"/>
      <c r="AD654"/>
      <c r="AE654"/>
      <c r="AF654"/>
      <c r="AG654"/>
      <c r="AH654"/>
      <c r="AI654"/>
      <c r="AJ654"/>
      <c r="AK654"/>
      <c r="AL654"/>
      <c r="AM654"/>
      <c r="AS654"/>
      <c r="BB654" s="1"/>
      <c r="BC654" s="60"/>
    </row>
    <row r="655" spans="5:56" x14ac:dyDescent="0.35">
      <c r="E655" s="1"/>
      <c r="X655" s="31"/>
      <c r="Y655"/>
      <c r="Z655"/>
      <c r="AA655"/>
      <c r="AB655"/>
      <c r="AC655"/>
      <c r="AD655"/>
      <c r="AE655"/>
      <c r="AF655"/>
      <c r="AG655"/>
      <c r="AH655"/>
      <c r="AI655"/>
      <c r="AJ655"/>
      <c r="AK655"/>
      <c r="AL655"/>
      <c r="AM655"/>
      <c r="AS655"/>
      <c r="BB655" s="1"/>
      <c r="BC655" s="60"/>
    </row>
    <row r="656" spans="5:56" x14ac:dyDescent="0.35">
      <c r="E656" s="1"/>
      <c r="X656" s="31"/>
      <c r="Y656"/>
      <c r="Z656"/>
      <c r="AA656"/>
      <c r="AB656"/>
      <c r="AC656"/>
      <c r="AD656"/>
      <c r="AE656"/>
      <c r="AF656"/>
      <c r="AG656"/>
      <c r="AH656"/>
      <c r="AI656"/>
      <c r="AJ656"/>
      <c r="AK656"/>
      <c r="AL656"/>
      <c r="AM656"/>
      <c r="AS656"/>
      <c r="BB656" s="1"/>
      <c r="BC656" s="60"/>
    </row>
    <row r="657" spans="5:56" x14ac:dyDescent="0.35">
      <c r="E657" s="1"/>
      <c r="X657" s="31"/>
      <c r="Y657"/>
      <c r="Z657"/>
      <c r="AA657"/>
      <c r="AB657"/>
      <c r="AC657"/>
      <c r="AD657"/>
      <c r="AE657"/>
      <c r="AF657"/>
      <c r="AG657"/>
      <c r="AH657"/>
      <c r="AI657"/>
      <c r="AJ657"/>
      <c r="AK657"/>
      <c r="AL657"/>
      <c r="AM657"/>
      <c r="AS657"/>
      <c r="BB657" s="1"/>
      <c r="BC657" s="60"/>
    </row>
    <row r="658" spans="5:56" x14ac:dyDescent="0.35">
      <c r="E658" s="1"/>
      <c r="X658" s="31"/>
      <c r="Y658"/>
      <c r="Z658"/>
      <c r="AA658"/>
      <c r="AB658"/>
      <c r="AC658"/>
      <c r="AD658"/>
      <c r="AE658"/>
      <c r="AF658"/>
      <c r="AG658"/>
      <c r="AH658"/>
      <c r="AI658"/>
      <c r="AJ658"/>
      <c r="AK658"/>
      <c r="AL658"/>
      <c r="AM658"/>
      <c r="AS658"/>
      <c r="BB658" s="1"/>
      <c r="BC658" s="60"/>
    </row>
    <row r="659" spans="5:56" x14ac:dyDescent="0.35">
      <c r="E659" s="1"/>
      <c r="X659" s="31"/>
      <c r="Y659"/>
      <c r="Z659"/>
      <c r="AA659"/>
      <c r="AB659"/>
      <c r="AC659"/>
      <c r="AD659"/>
      <c r="AE659"/>
      <c r="AF659"/>
      <c r="AG659"/>
      <c r="AH659"/>
      <c r="AI659"/>
      <c r="AJ659"/>
      <c r="AK659"/>
      <c r="AL659"/>
      <c r="AM659"/>
      <c r="AS659"/>
      <c r="BB659" s="1"/>
      <c r="BC659" s="60"/>
    </row>
    <row r="660" spans="5:56" x14ac:dyDescent="0.35">
      <c r="E660" s="1"/>
      <c r="X660" s="31"/>
      <c r="Y660"/>
      <c r="Z660"/>
      <c r="AA660"/>
      <c r="AB660"/>
      <c r="AC660"/>
      <c r="AD660"/>
      <c r="AE660"/>
      <c r="AF660"/>
      <c r="AG660"/>
      <c r="AH660"/>
      <c r="AI660"/>
      <c r="AJ660"/>
      <c r="AK660"/>
      <c r="AL660"/>
      <c r="AM660"/>
      <c r="AS660"/>
      <c r="BB660" s="1"/>
      <c r="BC660" s="60"/>
    </row>
    <row r="661" spans="5:56" x14ac:dyDescent="0.35">
      <c r="E661" s="1"/>
      <c r="X661" s="31"/>
      <c r="Y661"/>
      <c r="Z661"/>
      <c r="AA661"/>
      <c r="AB661"/>
      <c r="AC661"/>
      <c r="AD661"/>
      <c r="AE661"/>
      <c r="AF661"/>
      <c r="AG661"/>
      <c r="AH661"/>
      <c r="AI661"/>
      <c r="AJ661"/>
      <c r="AK661"/>
      <c r="AL661"/>
      <c r="AM661"/>
      <c r="AS661"/>
      <c r="BB661" s="1"/>
      <c r="BC661" s="60"/>
    </row>
    <row r="662" spans="5:56" x14ac:dyDescent="0.35">
      <c r="E662" s="1"/>
      <c r="X662" s="31"/>
      <c r="Y662"/>
      <c r="Z662"/>
      <c r="AA662"/>
      <c r="AB662"/>
      <c r="AC662"/>
      <c r="AD662"/>
      <c r="AE662"/>
      <c r="AF662"/>
      <c r="AG662"/>
      <c r="AH662"/>
      <c r="AI662"/>
      <c r="AJ662"/>
      <c r="AK662"/>
      <c r="AL662"/>
      <c r="AM662"/>
      <c r="AS662"/>
      <c r="BB662" s="1"/>
      <c r="BC662" s="60"/>
    </row>
    <row r="663" spans="5:56" x14ac:dyDescent="0.35">
      <c r="E663" s="1"/>
      <c r="X663" s="31"/>
      <c r="Y663"/>
      <c r="Z663"/>
      <c r="AA663"/>
      <c r="AB663"/>
      <c r="AC663"/>
      <c r="AD663"/>
      <c r="AE663"/>
      <c r="AF663"/>
      <c r="AG663"/>
      <c r="AH663"/>
      <c r="AI663"/>
      <c r="AJ663"/>
      <c r="AK663"/>
      <c r="AL663"/>
      <c r="AM663"/>
      <c r="AS663"/>
      <c r="BB663" s="1"/>
      <c r="BC663" s="60"/>
    </row>
    <row r="664" spans="5:56" x14ac:dyDescent="0.35">
      <c r="E664" s="1"/>
      <c r="X664" s="31"/>
      <c r="Y664"/>
      <c r="Z664"/>
      <c r="AA664"/>
      <c r="AB664"/>
      <c r="AC664"/>
      <c r="AD664"/>
      <c r="AE664"/>
      <c r="AF664"/>
      <c r="AG664"/>
      <c r="AH664"/>
      <c r="AI664"/>
      <c r="AJ664"/>
      <c r="AK664"/>
      <c r="AL664"/>
      <c r="AM664"/>
      <c r="AS664"/>
      <c r="BB664" s="1"/>
      <c r="BC664" s="60"/>
    </row>
    <row r="665" spans="5:56" x14ac:dyDescent="0.35">
      <c r="E665" s="1"/>
      <c r="X665" s="31"/>
      <c r="Y665"/>
      <c r="Z665"/>
      <c r="AA665"/>
      <c r="AB665"/>
      <c r="AC665"/>
      <c r="AD665"/>
      <c r="AE665"/>
      <c r="AF665"/>
      <c r="AG665"/>
      <c r="AH665"/>
      <c r="AI665"/>
      <c r="AJ665"/>
      <c r="AK665"/>
      <c r="AL665"/>
      <c r="AM665"/>
      <c r="AS665"/>
      <c r="BB665" s="1"/>
      <c r="BC665" s="60"/>
    </row>
    <row r="666" spans="5:56" x14ac:dyDescent="0.35">
      <c r="E666" s="1"/>
      <c r="X666" s="31"/>
      <c r="Y666"/>
      <c r="Z666"/>
      <c r="AA666"/>
      <c r="AB666"/>
      <c r="AC666"/>
      <c r="AD666"/>
      <c r="AE666"/>
      <c r="AF666"/>
      <c r="AG666"/>
      <c r="AH666"/>
      <c r="AI666"/>
      <c r="AJ666"/>
      <c r="AK666"/>
      <c r="AL666"/>
      <c r="AM666"/>
      <c r="AS666"/>
      <c r="BB666" s="1"/>
      <c r="BC666" s="60"/>
    </row>
    <row r="667" spans="5:56" x14ac:dyDescent="0.35">
      <c r="E667" s="1"/>
      <c r="X667" s="31"/>
      <c r="Y667"/>
      <c r="Z667"/>
      <c r="AA667"/>
      <c r="AB667"/>
      <c r="AC667"/>
      <c r="AD667"/>
      <c r="AE667"/>
      <c r="AF667"/>
      <c r="AG667"/>
      <c r="AH667"/>
      <c r="AI667"/>
      <c r="AJ667"/>
      <c r="AK667"/>
      <c r="AL667"/>
      <c r="AM667"/>
      <c r="AS667"/>
      <c r="BB667" s="1"/>
      <c r="BC667" s="60"/>
    </row>
    <row r="668" spans="5:56" x14ac:dyDescent="0.35">
      <c r="E668" s="1"/>
      <c r="X668" s="31"/>
      <c r="Y668"/>
      <c r="Z668"/>
      <c r="AA668"/>
      <c r="AB668"/>
      <c r="AC668"/>
      <c r="AD668"/>
      <c r="AE668"/>
      <c r="AF668"/>
      <c r="AG668"/>
      <c r="AH668"/>
      <c r="AI668"/>
      <c r="AJ668"/>
      <c r="AK668"/>
      <c r="AL668"/>
      <c r="AM668"/>
      <c r="AS668"/>
      <c r="BB668" s="1"/>
      <c r="BC668" s="60"/>
    </row>
    <row r="669" spans="5:56" x14ac:dyDescent="0.35">
      <c r="E669" s="1"/>
      <c r="X669" s="31"/>
      <c r="Y669"/>
      <c r="Z669"/>
      <c r="AA669"/>
      <c r="AB669"/>
      <c r="AC669"/>
      <c r="AD669"/>
      <c r="AE669"/>
      <c r="AF669"/>
      <c r="AG669"/>
      <c r="AH669"/>
      <c r="AI669"/>
      <c r="AJ669"/>
      <c r="AK669"/>
      <c r="AL669"/>
      <c r="AM669"/>
      <c r="AS669"/>
      <c r="BB669" s="1"/>
      <c r="BC669" s="60"/>
    </row>
    <row r="670" spans="5:56" x14ac:dyDescent="0.35">
      <c r="E670" s="1"/>
      <c r="X670" s="31"/>
      <c r="Y670"/>
      <c r="Z670"/>
      <c r="AA670"/>
      <c r="AB670"/>
      <c r="AC670"/>
      <c r="AD670"/>
      <c r="AE670"/>
      <c r="AF670"/>
      <c r="AG670"/>
      <c r="AH670"/>
      <c r="AI670"/>
      <c r="AJ670"/>
      <c r="AK670"/>
      <c r="AL670"/>
      <c r="AM670"/>
      <c r="AS670"/>
      <c r="BB670" s="1"/>
      <c r="BC670" s="60"/>
    </row>
    <row r="671" spans="5:56" x14ac:dyDescent="0.35">
      <c r="E671" s="1"/>
      <c r="X671" s="31"/>
      <c r="Y671"/>
      <c r="Z671"/>
      <c r="AA671"/>
      <c r="AB671"/>
      <c r="AC671"/>
      <c r="AD671"/>
      <c r="AE671"/>
      <c r="AF671"/>
      <c r="AG671"/>
      <c r="AH671"/>
      <c r="AI671"/>
      <c r="AJ671"/>
      <c r="AK671"/>
      <c r="AL671"/>
      <c r="AM671"/>
      <c r="AS671"/>
      <c r="BB671" s="1"/>
      <c r="BC671" s="60"/>
      <c r="BD671" s="62"/>
    </row>
    <row r="672" spans="5:56" x14ac:dyDescent="0.35">
      <c r="E672" s="1"/>
      <c r="X672" s="31"/>
      <c r="Y672"/>
      <c r="Z672"/>
      <c r="AA672"/>
      <c r="AB672"/>
      <c r="AC672"/>
      <c r="AD672"/>
      <c r="AE672"/>
      <c r="AF672"/>
      <c r="AG672"/>
      <c r="AH672"/>
      <c r="AI672"/>
      <c r="AJ672"/>
      <c r="AK672"/>
      <c r="AL672"/>
      <c r="AM672"/>
      <c r="AS672"/>
      <c r="BB672" s="1"/>
      <c r="BC672" s="60"/>
    </row>
    <row r="673" spans="1:56" x14ac:dyDescent="0.35">
      <c r="E673" s="1"/>
      <c r="X673" s="31"/>
      <c r="Y673"/>
      <c r="Z673"/>
      <c r="AA673"/>
      <c r="AB673"/>
      <c r="AC673"/>
      <c r="AD673"/>
      <c r="AE673"/>
      <c r="AF673"/>
      <c r="AG673"/>
      <c r="AH673"/>
      <c r="AI673"/>
      <c r="AJ673"/>
      <c r="AK673"/>
      <c r="AL673"/>
      <c r="AM673"/>
      <c r="AS673"/>
      <c r="BB673" s="1"/>
      <c r="BC673" s="60"/>
      <c r="BD673" s="62"/>
    </row>
    <row r="674" spans="1:56" x14ac:dyDescent="0.35">
      <c r="E674" s="1"/>
      <c r="X674" s="31"/>
      <c r="Y674"/>
      <c r="Z674"/>
      <c r="AA674"/>
      <c r="AB674"/>
      <c r="AC674"/>
      <c r="AD674"/>
      <c r="AE674"/>
      <c r="AF674"/>
      <c r="AG674"/>
      <c r="AH674"/>
      <c r="AI674"/>
      <c r="AJ674"/>
      <c r="AK674"/>
      <c r="AL674"/>
      <c r="AM674"/>
      <c r="AS674"/>
      <c r="BB674" s="1"/>
      <c r="BC674" s="60"/>
    </row>
    <row r="675" spans="1:56" x14ac:dyDescent="0.35">
      <c r="E675" s="1"/>
      <c r="X675" s="31"/>
      <c r="Y675"/>
      <c r="Z675"/>
      <c r="AA675"/>
      <c r="AB675"/>
      <c r="AC675"/>
      <c r="AD675"/>
      <c r="AE675"/>
      <c r="AF675"/>
      <c r="AG675"/>
      <c r="AH675"/>
      <c r="AI675"/>
      <c r="AJ675"/>
      <c r="AK675"/>
      <c r="AL675"/>
      <c r="AM675"/>
      <c r="AS675"/>
      <c r="BB675" s="1"/>
      <c r="BC675" s="60"/>
    </row>
    <row r="676" spans="1:56" x14ac:dyDescent="0.35">
      <c r="E676" s="1"/>
      <c r="X676" s="31"/>
      <c r="Y676"/>
      <c r="Z676"/>
      <c r="AA676"/>
      <c r="AB676"/>
      <c r="AC676"/>
      <c r="AD676"/>
      <c r="AE676"/>
      <c r="AF676"/>
      <c r="AG676"/>
      <c r="AH676"/>
      <c r="AI676"/>
      <c r="AJ676"/>
      <c r="AK676"/>
      <c r="AL676"/>
      <c r="AM676"/>
      <c r="AS676"/>
      <c r="BB676" s="1"/>
      <c r="BC676" s="60"/>
    </row>
    <row r="677" spans="1:56" x14ac:dyDescent="0.35">
      <c r="E677" s="1"/>
      <c r="X677" s="31"/>
      <c r="Y677"/>
      <c r="Z677"/>
      <c r="AA677"/>
      <c r="AB677"/>
      <c r="AC677"/>
      <c r="AD677"/>
      <c r="AE677"/>
      <c r="AF677"/>
      <c r="AG677"/>
      <c r="AH677"/>
      <c r="AI677"/>
      <c r="AJ677"/>
      <c r="AK677"/>
      <c r="AL677"/>
      <c r="AM677"/>
      <c r="AS677"/>
      <c r="BB677" s="1"/>
      <c r="BC677" s="60"/>
      <c r="BD677" s="62"/>
    </row>
    <row r="678" spans="1:56" x14ac:dyDescent="0.35">
      <c r="E678" s="1"/>
      <c r="X678" s="31"/>
      <c r="Y678"/>
      <c r="Z678"/>
      <c r="AA678"/>
      <c r="AB678"/>
      <c r="AC678"/>
      <c r="AD678"/>
      <c r="AE678"/>
      <c r="AF678"/>
      <c r="AG678"/>
      <c r="AH678"/>
      <c r="AI678"/>
      <c r="AJ678"/>
      <c r="AK678"/>
      <c r="AL678"/>
      <c r="AM678"/>
      <c r="AS678"/>
      <c r="BB678" s="1"/>
      <c r="BC678" s="60"/>
    </row>
    <row r="679" spans="1:56" x14ac:dyDescent="0.35">
      <c r="E679" s="1"/>
      <c r="X679" s="31"/>
      <c r="Y679"/>
      <c r="Z679"/>
      <c r="AA679"/>
      <c r="AB679"/>
      <c r="AC679"/>
      <c r="AD679"/>
      <c r="AE679"/>
      <c r="AF679"/>
      <c r="AG679"/>
      <c r="AH679"/>
      <c r="AI679"/>
      <c r="AJ679"/>
      <c r="AK679"/>
      <c r="AL679"/>
      <c r="AM679"/>
      <c r="AS679"/>
      <c r="BB679" s="1"/>
      <c r="BC679" s="60"/>
    </row>
    <row r="680" spans="1:56" x14ac:dyDescent="0.35">
      <c r="E680" s="1"/>
      <c r="X680" s="31"/>
      <c r="Y680"/>
      <c r="Z680"/>
      <c r="AA680"/>
      <c r="AB680"/>
      <c r="AC680"/>
      <c r="AD680"/>
      <c r="AE680"/>
      <c r="AF680"/>
      <c r="AG680"/>
      <c r="AH680"/>
      <c r="AI680"/>
      <c r="AJ680"/>
      <c r="AK680"/>
      <c r="AL680"/>
      <c r="AM680"/>
      <c r="AS680"/>
      <c r="BB680" s="1"/>
      <c r="BC680" s="60"/>
    </row>
    <row r="681" spans="1:56" x14ac:dyDescent="0.35">
      <c r="A681" s="2"/>
      <c r="E681" s="1"/>
      <c r="X681" s="31"/>
      <c r="Y681"/>
      <c r="Z681"/>
      <c r="AA681"/>
      <c r="AB681"/>
      <c r="AC681"/>
      <c r="AD681"/>
      <c r="AE681"/>
      <c r="AF681"/>
      <c r="AG681"/>
      <c r="AH681"/>
      <c r="AI681"/>
      <c r="AJ681"/>
      <c r="AK681"/>
      <c r="AL681"/>
      <c r="AM681"/>
      <c r="AS681"/>
      <c r="BB681" s="1"/>
      <c r="BC681" s="60"/>
    </row>
    <row r="682" spans="1:56" x14ac:dyDescent="0.35">
      <c r="E682" s="1"/>
      <c r="X682" s="31"/>
      <c r="Y682"/>
      <c r="Z682"/>
      <c r="AA682"/>
      <c r="AB682"/>
      <c r="AC682"/>
      <c r="AD682"/>
      <c r="AE682"/>
      <c r="AF682"/>
      <c r="AG682"/>
      <c r="AH682"/>
      <c r="AI682"/>
      <c r="AJ682"/>
      <c r="AK682"/>
      <c r="AL682"/>
      <c r="AM682"/>
      <c r="AS682"/>
      <c r="BB682" s="1"/>
      <c r="BC682" s="60"/>
    </row>
    <row r="683" spans="1:56" x14ac:dyDescent="0.35">
      <c r="E683" s="1"/>
      <c r="X683" s="31"/>
      <c r="Y683"/>
      <c r="Z683"/>
      <c r="AA683"/>
      <c r="AB683"/>
      <c r="AC683"/>
      <c r="AD683"/>
      <c r="AE683"/>
      <c r="AF683"/>
      <c r="AG683"/>
      <c r="AH683"/>
      <c r="AI683"/>
      <c r="AJ683"/>
      <c r="AK683"/>
      <c r="AL683"/>
      <c r="AM683"/>
      <c r="AS683"/>
      <c r="BB683" s="1"/>
      <c r="BC683" s="60"/>
    </row>
    <row r="684" spans="1:56" x14ac:dyDescent="0.35">
      <c r="E684" s="1"/>
      <c r="X684" s="31"/>
      <c r="Y684"/>
      <c r="Z684"/>
      <c r="AA684"/>
      <c r="AB684"/>
      <c r="AC684"/>
      <c r="AD684"/>
      <c r="AE684"/>
      <c r="AF684"/>
      <c r="AG684"/>
      <c r="AH684"/>
      <c r="AI684"/>
      <c r="AJ684"/>
      <c r="AK684"/>
      <c r="AL684"/>
      <c r="AM684"/>
      <c r="AS684"/>
      <c r="BB684" s="1"/>
      <c r="BC684" s="60"/>
    </row>
    <row r="685" spans="1:56" x14ac:dyDescent="0.35">
      <c r="E685" s="1"/>
      <c r="X685" s="31"/>
      <c r="Y685"/>
      <c r="Z685"/>
      <c r="AA685"/>
      <c r="AB685"/>
      <c r="AC685"/>
      <c r="AD685"/>
      <c r="AE685"/>
      <c r="AF685"/>
      <c r="AG685"/>
      <c r="AH685"/>
      <c r="AI685"/>
      <c r="AJ685"/>
      <c r="AK685"/>
      <c r="AL685"/>
      <c r="AM685"/>
      <c r="AS685"/>
      <c r="BB685" s="1"/>
      <c r="BC685" s="60"/>
    </row>
    <row r="686" spans="1:56" x14ac:dyDescent="0.35">
      <c r="E686" s="1"/>
      <c r="X686" s="31"/>
      <c r="Y686"/>
      <c r="Z686"/>
      <c r="AA686"/>
      <c r="AB686"/>
      <c r="AC686"/>
      <c r="AD686"/>
      <c r="AE686"/>
      <c r="AF686"/>
      <c r="AG686"/>
      <c r="AH686"/>
      <c r="AI686"/>
      <c r="AJ686"/>
      <c r="AK686"/>
      <c r="AL686"/>
      <c r="AM686"/>
      <c r="AS686"/>
      <c r="BB686" s="1"/>
      <c r="BC686" s="60"/>
    </row>
    <row r="687" spans="1:56" x14ac:dyDescent="0.35">
      <c r="E687" s="1"/>
      <c r="X687" s="31"/>
      <c r="Y687"/>
      <c r="Z687"/>
      <c r="AA687"/>
      <c r="AB687"/>
      <c r="AC687"/>
      <c r="AD687"/>
      <c r="AE687"/>
      <c r="AF687"/>
      <c r="AG687"/>
      <c r="AH687"/>
      <c r="AI687"/>
      <c r="AJ687"/>
      <c r="AK687"/>
      <c r="AL687"/>
      <c r="AM687"/>
      <c r="AS687"/>
      <c r="BB687" s="1"/>
      <c r="BC687" s="60"/>
    </row>
    <row r="688" spans="1:56" x14ac:dyDescent="0.35">
      <c r="E688" s="1"/>
      <c r="X688" s="31"/>
      <c r="Y688"/>
      <c r="Z688"/>
      <c r="AA688"/>
      <c r="AB688"/>
      <c r="AC688"/>
      <c r="AD688"/>
      <c r="AE688"/>
      <c r="AF688"/>
      <c r="AG688"/>
      <c r="AH688"/>
      <c r="AI688"/>
      <c r="AJ688"/>
      <c r="AK688"/>
      <c r="AL688"/>
      <c r="AM688"/>
      <c r="AS688"/>
      <c r="BB688" s="1"/>
      <c r="BC688" s="60"/>
    </row>
    <row r="689" spans="5:56" x14ac:dyDescent="0.35">
      <c r="E689" s="1"/>
      <c r="X689" s="31"/>
      <c r="Y689"/>
      <c r="Z689"/>
      <c r="AA689"/>
      <c r="AB689"/>
      <c r="AC689"/>
      <c r="AD689"/>
      <c r="AE689"/>
      <c r="AF689"/>
      <c r="AG689"/>
      <c r="AH689"/>
      <c r="AI689"/>
      <c r="AJ689"/>
      <c r="AK689"/>
      <c r="AL689"/>
      <c r="AM689"/>
      <c r="AS689"/>
      <c r="BB689" s="1"/>
      <c r="BC689" s="60"/>
    </row>
    <row r="690" spans="5:56" x14ac:dyDescent="0.35">
      <c r="E690" s="1"/>
      <c r="X690" s="31"/>
      <c r="Y690"/>
      <c r="Z690"/>
      <c r="AA690"/>
      <c r="AB690"/>
      <c r="AC690"/>
      <c r="AD690"/>
      <c r="AE690"/>
      <c r="AF690"/>
      <c r="AG690"/>
      <c r="AH690"/>
      <c r="AI690"/>
      <c r="AJ690"/>
      <c r="AK690"/>
      <c r="AL690"/>
      <c r="AM690"/>
      <c r="AS690"/>
      <c r="BB690" s="1"/>
      <c r="BC690" s="60"/>
    </row>
    <row r="691" spans="5:56" x14ac:dyDescent="0.35">
      <c r="E691" s="1"/>
      <c r="X691" s="31"/>
      <c r="Y691"/>
      <c r="Z691"/>
      <c r="AA691"/>
      <c r="AB691"/>
      <c r="AC691"/>
      <c r="AD691"/>
      <c r="AE691"/>
      <c r="AF691"/>
      <c r="AG691"/>
      <c r="AH691"/>
      <c r="AI691"/>
      <c r="AJ691"/>
      <c r="AK691"/>
      <c r="AL691"/>
      <c r="AM691"/>
      <c r="AS691"/>
      <c r="BB691" s="1"/>
      <c r="BC691" s="60"/>
    </row>
    <row r="692" spans="5:56" x14ac:dyDescent="0.35">
      <c r="E692" s="1"/>
      <c r="X692" s="31"/>
      <c r="Y692"/>
      <c r="Z692"/>
      <c r="AA692"/>
      <c r="AB692"/>
      <c r="AC692"/>
      <c r="AD692"/>
      <c r="AE692"/>
      <c r="AF692"/>
      <c r="AG692"/>
      <c r="AH692"/>
      <c r="AI692"/>
      <c r="AJ692"/>
      <c r="AK692"/>
      <c r="AL692"/>
      <c r="AM692"/>
      <c r="AS692"/>
      <c r="BB692" s="1"/>
      <c r="BC692" s="60"/>
    </row>
    <row r="693" spans="5:56" x14ac:dyDescent="0.35">
      <c r="E693" s="1"/>
      <c r="X693" s="31"/>
      <c r="Y693"/>
      <c r="Z693"/>
      <c r="AA693"/>
      <c r="AB693"/>
      <c r="AC693"/>
      <c r="AD693"/>
      <c r="AE693"/>
      <c r="AF693"/>
      <c r="AG693"/>
      <c r="AH693"/>
      <c r="AI693"/>
      <c r="AJ693"/>
      <c r="AK693"/>
      <c r="AL693"/>
      <c r="AM693"/>
      <c r="AS693"/>
      <c r="BB693" s="1"/>
      <c r="BC693" s="60"/>
    </row>
    <row r="694" spans="5:56" x14ac:dyDescent="0.35">
      <c r="E694" s="1"/>
      <c r="X694" s="31"/>
      <c r="Y694"/>
      <c r="Z694"/>
      <c r="AA694"/>
      <c r="AB694"/>
      <c r="AC694"/>
      <c r="AD694"/>
      <c r="AE694"/>
      <c r="AF694"/>
      <c r="AG694"/>
      <c r="AH694"/>
      <c r="AI694"/>
      <c r="AJ694"/>
      <c r="AK694"/>
      <c r="AL694"/>
      <c r="AM694"/>
      <c r="AS694"/>
      <c r="BB694" s="1"/>
      <c r="BC694" s="60"/>
    </row>
    <row r="695" spans="5:56" x14ac:dyDescent="0.35">
      <c r="E695" s="1"/>
      <c r="X695" s="31"/>
      <c r="Y695"/>
      <c r="Z695"/>
      <c r="AA695"/>
      <c r="AB695"/>
      <c r="AC695"/>
      <c r="AD695"/>
      <c r="AE695"/>
      <c r="AF695"/>
      <c r="AG695"/>
      <c r="AH695"/>
      <c r="AI695"/>
      <c r="AJ695"/>
      <c r="AK695"/>
      <c r="AL695"/>
      <c r="AM695"/>
      <c r="AS695"/>
      <c r="BB695" s="1"/>
      <c r="BC695" s="60"/>
    </row>
    <row r="696" spans="5:56" x14ac:dyDescent="0.35">
      <c r="E696" s="1"/>
      <c r="X696" s="31"/>
      <c r="Y696"/>
      <c r="Z696"/>
      <c r="AA696"/>
      <c r="AB696"/>
      <c r="AC696"/>
      <c r="AD696"/>
      <c r="AE696"/>
      <c r="AF696"/>
      <c r="AG696"/>
      <c r="AH696"/>
      <c r="AI696"/>
      <c r="AJ696"/>
      <c r="AK696"/>
      <c r="AL696"/>
      <c r="AM696"/>
      <c r="AS696"/>
      <c r="BB696" s="1"/>
      <c r="BC696" s="60"/>
    </row>
    <row r="697" spans="5:56" x14ac:dyDescent="0.35">
      <c r="E697" s="1"/>
      <c r="X697" s="31"/>
      <c r="Y697"/>
      <c r="Z697"/>
      <c r="AA697"/>
      <c r="AB697"/>
      <c r="AC697"/>
      <c r="AD697"/>
      <c r="AE697"/>
      <c r="AF697"/>
      <c r="AG697"/>
      <c r="AH697"/>
      <c r="AI697"/>
      <c r="AJ697"/>
      <c r="AK697"/>
      <c r="AL697"/>
      <c r="AM697"/>
      <c r="AS697"/>
      <c r="BB697" s="1"/>
      <c r="BC697" s="60"/>
    </row>
    <row r="698" spans="5:56" x14ac:dyDescent="0.35">
      <c r="E698" s="1"/>
      <c r="X698" s="31"/>
      <c r="Y698"/>
      <c r="Z698"/>
      <c r="AA698"/>
      <c r="AB698"/>
      <c r="AC698"/>
      <c r="AD698"/>
      <c r="AE698"/>
      <c r="AF698"/>
      <c r="AG698"/>
      <c r="AH698"/>
      <c r="AI698"/>
      <c r="AJ698"/>
      <c r="AK698"/>
      <c r="AL698"/>
      <c r="AM698"/>
      <c r="AS698"/>
      <c r="BB698" s="1"/>
      <c r="BC698" s="60"/>
    </row>
    <row r="699" spans="5:56" x14ac:dyDescent="0.35">
      <c r="E699" s="1"/>
      <c r="X699" s="31"/>
      <c r="Y699"/>
      <c r="Z699"/>
      <c r="AA699"/>
      <c r="AB699"/>
      <c r="AC699"/>
      <c r="AD699"/>
      <c r="AE699"/>
      <c r="AF699"/>
      <c r="AG699"/>
      <c r="AH699"/>
      <c r="AI699"/>
      <c r="AJ699"/>
      <c r="AK699"/>
      <c r="AL699"/>
      <c r="AM699"/>
      <c r="AS699"/>
      <c r="BB699" s="1"/>
      <c r="BC699" s="60"/>
    </row>
    <row r="700" spans="5:56" x14ac:dyDescent="0.35">
      <c r="E700" s="1"/>
      <c r="X700" s="31"/>
      <c r="Y700"/>
      <c r="Z700"/>
      <c r="AA700"/>
      <c r="AB700"/>
      <c r="AC700"/>
      <c r="AD700"/>
      <c r="AE700"/>
      <c r="AF700"/>
      <c r="AG700"/>
      <c r="AH700"/>
      <c r="AI700"/>
      <c r="AJ700"/>
      <c r="AK700"/>
      <c r="AL700"/>
      <c r="AM700"/>
      <c r="AS700"/>
      <c r="BB700" s="1"/>
      <c r="BC700" s="60"/>
    </row>
    <row r="701" spans="5:56" x14ac:dyDescent="0.35">
      <c r="E701" s="1"/>
      <c r="X701" s="31"/>
      <c r="Y701"/>
      <c r="Z701"/>
      <c r="AA701"/>
      <c r="AB701"/>
      <c r="AC701"/>
      <c r="AD701"/>
      <c r="AE701"/>
      <c r="AF701"/>
      <c r="AG701"/>
      <c r="AH701"/>
      <c r="AI701"/>
      <c r="AJ701"/>
      <c r="AK701"/>
      <c r="AL701"/>
      <c r="AM701"/>
      <c r="AS701"/>
      <c r="BB701" s="1"/>
      <c r="BC701" s="60"/>
    </row>
    <row r="702" spans="5:56" x14ac:dyDescent="0.35">
      <c r="E702" s="1"/>
      <c r="X702" s="31"/>
      <c r="Y702"/>
      <c r="Z702"/>
      <c r="AA702"/>
      <c r="AB702"/>
      <c r="AC702"/>
      <c r="AD702"/>
      <c r="AE702"/>
      <c r="AF702"/>
      <c r="AG702"/>
      <c r="AH702"/>
      <c r="AI702"/>
      <c r="AJ702"/>
      <c r="AK702"/>
      <c r="AL702"/>
      <c r="AM702"/>
      <c r="AS702"/>
      <c r="BB702" s="1"/>
      <c r="BC702" s="60"/>
      <c r="BD702" s="62"/>
    </row>
    <row r="703" spans="5:56" x14ac:dyDescent="0.35">
      <c r="E703" s="1"/>
      <c r="X703" s="31"/>
      <c r="Y703"/>
      <c r="Z703"/>
      <c r="AA703"/>
      <c r="AB703"/>
      <c r="AC703"/>
      <c r="AD703"/>
      <c r="AE703"/>
      <c r="AF703"/>
      <c r="AG703"/>
      <c r="AH703"/>
      <c r="AI703"/>
      <c r="AJ703"/>
      <c r="AK703"/>
      <c r="AL703"/>
      <c r="AM703"/>
      <c r="AS703"/>
      <c r="BB703" s="1"/>
      <c r="BC703" s="60"/>
      <c r="BD703" s="62"/>
    </row>
    <row r="704" spans="5:56" x14ac:dyDescent="0.35">
      <c r="E704" s="1"/>
      <c r="X704" s="31"/>
      <c r="Y704"/>
      <c r="Z704"/>
      <c r="AA704"/>
      <c r="AB704"/>
      <c r="AC704"/>
      <c r="AD704"/>
      <c r="AE704"/>
      <c r="AF704"/>
      <c r="AG704"/>
      <c r="AH704"/>
      <c r="AI704"/>
      <c r="AJ704"/>
      <c r="AK704"/>
      <c r="AL704"/>
      <c r="AM704"/>
      <c r="AS704"/>
      <c r="BB704" s="1"/>
      <c r="BC704" s="60"/>
      <c r="BD704" s="62"/>
    </row>
    <row r="705" spans="5:56" x14ac:dyDescent="0.35">
      <c r="E705" s="1"/>
      <c r="X705" s="31"/>
      <c r="Y705"/>
      <c r="Z705"/>
      <c r="AA705"/>
      <c r="AB705"/>
      <c r="AC705"/>
      <c r="AD705"/>
      <c r="AE705"/>
      <c r="AF705"/>
      <c r="AG705"/>
      <c r="AH705"/>
      <c r="AI705"/>
      <c r="AJ705"/>
      <c r="AK705"/>
      <c r="AL705"/>
      <c r="AM705"/>
      <c r="AS705"/>
      <c r="BB705" s="1"/>
      <c r="BC705" s="60"/>
    </row>
    <row r="706" spans="5:56" x14ac:dyDescent="0.35">
      <c r="E706" s="1"/>
      <c r="X706" s="31"/>
      <c r="Y706"/>
      <c r="Z706"/>
      <c r="AA706"/>
      <c r="AB706"/>
      <c r="AC706"/>
      <c r="AD706"/>
      <c r="AE706"/>
      <c r="AF706"/>
      <c r="AG706"/>
      <c r="AH706"/>
      <c r="AI706"/>
      <c r="AJ706"/>
      <c r="AK706"/>
      <c r="AL706"/>
      <c r="AM706"/>
      <c r="AS706"/>
      <c r="BB706" s="1"/>
      <c r="BC706" s="60"/>
    </row>
    <row r="707" spans="5:56" x14ac:dyDescent="0.35">
      <c r="E707" s="1"/>
      <c r="X707" s="31"/>
      <c r="Y707"/>
      <c r="Z707"/>
      <c r="AA707"/>
      <c r="AB707"/>
      <c r="AC707"/>
      <c r="AD707"/>
      <c r="AE707"/>
      <c r="AF707"/>
      <c r="AG707"/>
      <c r="AH707"/>
      <c r="AI707"/>
      <c r="AJ707"/>
      <c r="AK707"/>
      <c r="AL707"/>
      <c r="AM707"/>
      <c r="AS707"/>
      <c r="BB707" s="1"/>
      <c r="BC707" s="60"/>
    </row>
    <row r="708" spans="5:56" x14ac:dyDescent="0.35">
      <c r="E708" s="1"/>
      <c r="X708" s="31"/>
      <c r="Y708"/>
      <c r="Z708"/>
      <c r="AA708"/>
      <c r="AB708"/>
      <c r="AC708"/>
      <c r="AD708"/>
      <c r="AE708"/>
      <c r="AF708"/>
      <c r="AG708"/>
      <c r="AH708"/>
      <c r="AI708"/>
      <c r="AJ708"/>
      <c r="AK708"/>
      <c r="AL708"/>
      <c r="AM708"/>
      <c r="AS708"/>
      <c r="BB708" s="1"/>
      <c r="BC708" s="60"/>
    </row>
    <row r="709" spans="5:56" x14ac:dyDescent="0.35">
      <c r="E709" s="1"/>
      <c r="X709" s="31"/>
      <c r="Y709"/>
      <c r="Z709"/>
      <c r="AA709"/>
      <c r="AB709"/>
      <c r="AC709"/>
      <c r="AD709"/>
      <c r="AE709"/>
      <c r="AF709"/>
      <c r="AG709"/>
      <c r="AH709"/>
      <c r="AI709"/>
      <c r="AJ709"/>
      <c r="AK709"/>
      <c r="AL709"/>
      <c r="AM709"/>
      <c r="AS709"/>
      <c r="BB709" s="1"/>
      <c r="BC709" s="60"/>
      <c r="BD709" s="62"/>
    </row>
    <row r="710" spans="5:56" x14ac:dyDescent="0.35">
      <c r="E710" s="1"/>
      <c r="X710" s="31"/>
      <c r="Y710"/>
      <c r="Z710"/>
      <c r="AA710"/>
      <c r="AB710"/>
      <c r="AC710"/>
      <c r="AD710"/>
      <c r="AE710"/>
      <c r="AF710"/>
      <c r="AG710"/>
      <c r="AH710"/>
      <c r="AI710"/>
      <c r="AJ710"/>
      <c r="AK710"/>
      <c r="AL710"/>
      <c r="AM710"/>
      <c r="AS710"/>
      <c r="BB710" s="1"/>
      <c r="BC710" s="60"/>
    </row>
    <row r="711" spans="5:56" x14ac:dyDescent="0.35">
      <c r="E711" s="1"/>
      <c r="X711" s="31"/>
      <c r="Y711"/>
      <c r="Z711"/>
      <c r="AA711"/>
      <c r="AB711"/>
      <c r="AC711"/>
      <c r="AD711"/>
      <c r="AE711"/>
      <c r="AF711"/>
      <c r="AG711"/>
      <c r="AH711"/>
      <c r="AI711"/>
      <c r="AJ711"/>
      <c r="AK711"/>
      <c r="AL711"/>
      <c r="AM711"/>
      <c r="AS711"/>
      <c r="BB711" s="1"/>
      <c r="BC711" s="60"/>
    </row>
    <row r="712" spans="5:56" x14ac:dyDescent="0.35">
      <c r="E712" s="1"/>
      <c r="X712" s="31"/>
      <c r="Y712"/>
      <c r="Z712"/>
      <c r="AA712"/>
      <c r="AB712"/>
      <c r="AC712"/>
      <c r="AD712"/>
      <c r="AE712"/>
      <c r="AF712"/>
      <c r="AG712"/>
      <c r="AH712"/>
      <c r="AI712"/>
      <c r="AJ712"/>
      <c r="AK712"/>
      <c r="AL712"/>
      <c r="AM712"/>
      <c r="AS712"/>
      <c r="BB712" s="1"/>
      <c r="BC712" s="60"/>
    </row>
    <row r="713" spans="5:56" x14ac:dyDescent="0.35">
      <c r="E713" s="1"/>
      <c r="X713" s="31"/>
      <c r="Y713"/>
      <c r="Z713"/>
      <c r="AA713"/>
      <c r="AB713"/>
      <c r="AC713"/>
      <c r="AD713"/>
      <c r="AE713"/>
      <c r="AF713"/>
      <c r="AG713"/>
      <c r="AH713"/>
      <c r="AI713"/>
      <c r="AJ713"/>
      <c r="AK713"/>
      <c r="AL713"/>
      <c r="AM713"/>
      <c r="AS713"/>
      <c r="BB713" s="1"/>
      <c r="BC713" s="60"/>
    </row>
    <row r="714" spans="5:56" x14ac:dyDescent="0.35">
      <c r="E714" s="1"/>
      <c r="X714" s="31"/>
      <c r="Y714"/>
      <c r="Z714"/>
      <c r="AA714"/>
      <c r="AB714"/>
      <c r="AC714"/>
      <c r="AD714"/>
      <c r="AE714"/>
      <c r="AF714"/>
      <c r="AG714"/>
      <c r="AH714"/>
      <c r="AI714"/>
      <c r="AJ714"/>
      <c r="AK714"/>
      <c r="AL714"/>
      <c r="AM714"/>
      <c r="AS714"/>
      <c r="BB714" s="1"/>
      <c r="BC714" s="60"/>
    </row>
    <row r="715" spans="5:56" x14ac:dyDescent="0.35">
      <c r="E715" s="1"/>
      <c r="X715" s="31"/>
      <c r="Y715"/>
      <c r="Z715"/>
      <c r="AA715"/>
      <c r="AB715"/>
      <c r="AC715"/>
      <c r="AD715"/>
      <c r="AE715"/>
      <c r="AF715"/>
      <c r="AG715"/>
      <c r="AH715"/>
      <c r="AI715"/>
      <c r="AJ715"/>
      <c r="AK715"/>
      <c r="AL715"/>
      <c r="AM715"/>
      <c r="AS715"/>
      <c r="BB715" s="1"/>
      <c r="BC715" s="60"/>
    </row>
    <row r="716" spans="5:56" x14ac:dyDescent="0.35">
      <c r="E716" s="1"/>
      <c r="X716" s="31"/>
      <c r="Y716"/>
      <c r="Z716"/>
      <c r="AA716"/>
      <c r="AB716"/>
      <c r="AC716"/>
      <c r="AD716"/>
      <c r="AE716"/>
      <c r="AF716"/>
      <c r="AG716"/>
      <c r="AH716"/>
      <c r="AI716"/>
      <c r="AJ716"/>
      <c r="AK716"/>
      <c r="AL716"/>
      <c r="AM716"/>
      <c r="AS716"/>
      <c r="BB716" s="1"/>
      <c r="BC716" s="60"/>
      <c r="BD716" s="62"/>
    </row>
    <row r="717" spans="5:56" x14ac:dyDescent="0.35">
      <c r="E717" s="1"/>
      <c r="X717" s="31"/>
      <c r="Y717"/>
      <c r="Z717"/>
      <c r="AA717"/>
      <c r="AB717"/>
      <c r="AC717"/>
      <c r="AD717"/>
      <c r="AE717"/>
      <c r="AF717"/>
      <c r="AG717"/>
      <c r="AH717"/>
      <c r="AI717"/>
      <c r="AJ717"/>
      <c r="AK717"/>
      <c r="AL717"/>
      <c r="AM717"/>
      <c r="AS717"/>
      <c r="BB717" s="1"/>
      <c r="BC717" s="60"/>
    </row>
    <row r="718" spans="5:56" x14ac:dyDescent="0.35">
      <c r="E718" s="1"/>
      <c r="X718" s="31"/>
      <c r="Y718"/>
      <c r="Z718"/>
      <c r="AA718"/>
      <c r="AB718"/>
      <c r="AC718"/>
      <c r="AD718"/>
      <c r="AE718"/>
      <c r="AF718"/>
      <c r="AG718"/>
      <c r="AH718"/>
      <c r="AI718"/>
      <c r="AJ718"/>
      <c r="AK718"/>
      <c r="AL718"/>
      <c r="AM718"/>
      <c r="AS718"/>
      <c r="BB718" s="1"/>
      <c r="BC718" s="60"/>
    </row>
    <row r="719" spans="5:56" x14ac:dyDescent="0.35">
      <c r="E719" s="1"/>
      <c r="X719" s="31"/>
      <c r="Y719"/>
      <c r="Z719"/>
      <c r="AA719"/>
      <c r="AB719"/>
      <c r="AC719"/>
      <c r="AD719"/>
      <c r="AE719"/>
      <c r="AF719"/>
      <c r="AG719"/>
      <c r="AH719"/>
      <c r="AI719"/>
      <c r="AJ719"/>
      <c r="AK719"/>
      <c r="AL719"/>
      <c r="AM719"/>
      <c r="AS719"/>
      <c r="BB719" s="1"/>
      <c r="BC719" s="60"/>
      <c r="BD719" s="62"/>
    </row>
    <row r="720" spans="5:56" x14ac:dyDescent="0.35">
      <c r="E720" s="1"/>
      <c r="X720" s="31"/>
      <c r="Y720"/>
      <c r="Z720"/>
      <c r="AA720"/>
      <c r="AB720"/>
      <c r="AC720"/>
      <c r="AD720"/>
      <c r="AE720"/>
      <c r="AF720"/>
      <c r="AG720"/>
      <c r="AH720"/>
      <c r="AI720"/>
      <c r="AJ720"/>
      <c r="AK720"/>
      <c r="AL720"/>
      <c r="AM720"/>
      <c r="AS720"/>
      <c r="BB720" s="1"/>
      <c r="BC720" s="60"/>
    </row>
    <row r="721" spans="5:56" x14ac:dyDescent="0.35">
      <c r="E721" s="1"/>
      <c r="X721" s="31"/>
      <c r="Y721"/>
      <c r="Z721"/>
      <c r="AA721"/>
      <c r="AB721"/>
      <c r="AC721"/>
      <c r="AD721"/>
      <c r="AE721"/>
      <c r="AF721"/>
      <c r="AG721"/>
      <c r="AH721"/>
      <c r="AI721"/>
      <c r="AJ721"/>
      <c r="AK721"/>
      <c r="AL721"/>
      <c r="AM721"/>
      <c r="AS721"/>
      <c r="BB721" s="1"/>
      <c r="BC721" s="60"/>
    </row>
    <row r="722" spans="5:56" x14ac:dyDescent="0.35">
      <c r="E722" s="1"/>
      <c r="X722" s="31"/>
      <c r="Y722"/>
      <c r="Z722"/>
      <c r="AA722"/>
      <c r="AB722"/>
      <c r="AC722"/>
      <c r="AD722"/>
      <c r="AE722"/>
      <c r="AF722"/>
      <c r="AG722"/>
      <c r="AH722"/>
      <c r="AI722"/>
      <c r="AJ722"/>
      <c r="AK722"/>
      <c r="AL722"/>
      <c r="AM722"/>
      <c r="AS722"/>
      <c r="BB722" s="1"/>
      <c r="BC722" s="60"/>
    </row>
    <row r="723" spans="5:56" x14ac:dyDescent="0.35">
      <c r="E723" s="1"/>
      <c r="X723" s="31"/>
      <c r="Y723"/>
      <c r="Z723"/>
      <c r="AA723"/>
      <c r="AB723"/>
      <c r="AC723"/>
      <c r="AD723"/>
      <c r="AE723"/>
      <c r="AF723"/>
      <c r="AG723"/>
      <c r="AH723"/>
      <c r="AI723"/>
      <c r="AJ723"/>
      <c r="AK723"/>
      <c r="AL723"/>
      <c r="AM723"/>
      <c r="AS723"/>
      <c r="BB723" s="1"/>
      <c r="BC723" s="60"/>
    </row>
    <row r="724" spans="5:56" x14ac:dyDescent="0.35">
      <c r="E724" s="1"/>
      <c r="X724" s="31"/>
      <c r="Y724"/>
      <c r="Z724"/>
      <c r="AA724"/>
      <c r="AB724"/>
      <c r="AC724"/>
      <c r="AD724"/>
      <c r="AE724"/>
      <c r="AF724"/>
      <c r="AG724"/>
      <c r="AH724"/>
      <c r="AI724"/>
      <c r="AJ724"/>
      <c r="AK724"/>
      <c r="AL724"/>
      <c r="AM724"/>
      <c r="AS724"/>
      <c r="BB724" s="1"/>
      <c r="BC724" s="60"/>
    </row>
    <row r="725" spans="5:56" x14ac:dyDescent="0.35">
      <c r="E725" s="1"/>
      <c r="X725" s="31"/>
      <c r="Y725"/>
      <c r="Z725"/>
      <c r="AA725"/>
      <c r="AB725"/>
      <c r="AC725"/>
      <c r="AD725"/>
      <c r="AE725"/>
      <c r="AF725"/>
      <c r="AG725"/>
      <c r="AH725"/>
      <c r="AI725"/>
      <c r="AJ725"/>
      <c r="AK725"/>
      <c r="AL725"/>
      <c r="AM725"/>
      <c r="AS725"/>
      <c r="BB725" s="1"/>
      <c r="BC725" s="60"/>
    </row>
    <row r="726" spans="5:56" x14ac:dyDescent="0.35">
      <c r="E726" s="1"/>
      <c r="X726" s="31"/>
      <c r="Y726"/>
      <c r="Z726"/>
      <c r="AA726"/>
      <c r="AB726"/>
      <c r="AC726"/>
      <c r="AD726"/>
      <c r="AE726"/>
      <c r="AF726"/>
      <c r="AG726"/>
      <c r="AH726"/>
      <c r="AI726"/>
      <c r="AJ726"/>
      <c r="AK726"/>
      <c r="AL726"/>
      <c r="AM726"/>
      <c r="AS726"/>
      <c r="BB726" s="1"/>
      <c r="BC726" s="60"/>
    </row>
    <row r="727" spans="5:56" x14ac:dyDescent="0.35">
      <c r="E727" s="1"/>
      <c r="X727" s="31"/>
      <c r="Y727"/>
      <c r="Z727"/>
      <c r="AA727"/>
      <c r="AB727"/>
      <c r="AC727"/>
      <c r="AD727"/>
      <c r="AE727"/>
      <c r="AF727"/>
      <c r="AG727"/>
      <c r="AH727"/>
      <c r="AI727"/>
      <c r="AJ727"/>
      <c r="AK727"/>
      <c r="AL727"/>
      <c r="AM727"/>
      <c r="AS727"/>
      <c r="BB727" s="1"/>
      <c r="BC727" s="60"/>
      <c r="BD727" s="62"/>
    </row>
    <row r="728" spans="5:56" x14ac:dyDescent="0.35">
      <c r="E728" s="1"/>
      <c r="X728" s="31"/>
      <c r="Y728"/>
      <c r="Z728"/>
      <c r="AA728"/>
      <c r="AB728"/>
      <c r="AC728"/>
      <c r="AD728"/>
      <c r="AE728"/>
      <c r="AF728"/>
      <c r="AG728"/>
      <c r="AH728"/>
      <c r="AI728"/>
      <c r="AJ728"/>
      <c r="AK728"/>
      <c r="AL728"/>
      <c r="AM728"/>
      <c r="AS728"/>
      <c r="BB728" s="1"/>
      <c r="BC728" s="60"/>
      <c r="BD728" s="62"/>
    </row>
    <row r="729" spans="5:56" x14ac:dyDescent="0.35">
      <c r="E729" s="1"/>
      <c r="X729" s="31"/>
      <c r="Y729"/>
      <c r="Z729"/>
      <c r="AA729"/>
      <c r="AB729"/>
      <c r="AC729"/>
      <c r="AD729"/>
      <c r="AE729"/>
      <c r="AF729"/>
      <c r="AG729"/>
      <c r="AH729"/>
      <c r="AI729"/>
      <c r="AJ729"/>
      <c r="AK729"/>
      <c r="AL729"/>
      <c r="AM729"/>
      <c r="AS729"/>
      <c r="BB729" s="1"/>
      <c r="BC729" s="60"/>
    </row>
    <row r="730" spans="5:56" x14ac:dyDescent="0.35">
      <c r="E730" s="1"/>
      <c r="X730" s="31"/>
      <c r="Y730"/>
      <c r="Z730"/>
      <c r="AA730"/>
      <c r="AB730"/>
      <c r="AC730"/>
      <c r="AD730"/>
      <c r="AE730"/>
      <c r="AF730"/>
      <c r="AG730"/>
      <c r="AH730"/>
      <c r="AI730"/>
      <c r="AJ730"/>
      <c r="AK730"/>
      <c r="AL730"/>
      <c r="AM730"/>
      <c r="AS730"/>
      <c r="BB730" s="1"/>
      <c r="BC730" s="60"/>
    </row>
    <row r="731" spans="5:56" x14ac:dyDescent="0.35">
      <c r="E731" s="1"/>
      <c r="X731" s="31"/>
      <c r="Y731"/>
      <c r="Z731"/>
      <c r="AA731"/>
      <c r="AB731"/>
      <c r="AC731"/>
      <c r="AD731"/>
      <c r="AE731"/>
      <c r="AF731"/>
      <c r="AG731"/>
      <c r="AH731"/>
      <c r="AI731"/>
      <c r="AJ731"/>
      <c r="AK731"/>
      <c r="AL731"/>
      <c r="AM731"/>
      <c r="AS731"/>
      <c r="BB731" s="1"/>
      <c r="BC731" s="60"/>
    </row>
    <row r="732" spans="5:56" x14ac:dyDescent="0.35">
      <c r="E732" s="1"/>
      <c r="X732" s="31"/>
      <c r="Y732"/>
      <c r="Z732"/>
      <c r="AA732"/>
      <c r="AB732"/>
      <c r="AC732"/>
      <c r="AD732"/>
      <c r="AE732"/>
      <c r="AF732"/>
      <c r="AG732"/>
      <c r="AH732"/>
      <c r="AI732"/>
      <c r="AJ732"/>
      <c r="AK732"/>
      <c r="AL732"/>
      <c r="AM732"/>
      <c r="AS732"/>
      <c r="BB732" s="1"/>
      <c r="BC732" s="60"/>
    </row>
    <row r="733" spans="5:56" x14ac:dyDescent="0.35">
      <c r="E733" s="1"/>
      <c r="X733" s="31"/>
      <c r="Y733"/>
      <c r="Z733"/>
      <c r="AA733"/>
      <c r="AB733"/>
      <c r="AC733"/>
      <c r="AD733"/>
      <c r="AE733"/>
      <c r="AF733"/>
      <c r="AG733"/>
      <c r="AH733"/>
      <c r="AI733"/>
      <c r="AJ733"/>
      <c r="AK733"/>
      <c r="AL733"/>
      <c r="AM733"/>
      <c r="AS733"/>
      <c r="BB733" s="1"/>
      <c r="BC733" s="60"/>
    </row>
    <row r="734" spans="5:56" x14ac:dyDescent="0.35">
      <c r="E734" s="1"/>
      <c r="X734" s="31"/>
      <c r="Y734"/>
      <c r="Z734"/>
      <c r="AA734"/>
      <c r="AB734"/>
      <c r="AC734"/>
      <c r="AD734"/>
      <c r="AE734"/>
      <c r="AF734"/>
      <c r="AG734"/>
      <c r="AH734"/>
      <c r="AI734"/>
      <c r="AJ734"/>
      <c r="AK734"/>
      <c r="AL734"/>
      <c r="AM734"/>
      <c r="AS734"/>
      <c r="BB734" s="1"/>
      <c r="BC734" s="60"/>
      <c r="BD734" s="62"/>
    </row>
    <row r="735" spans="5:56" x14ac:dyDescent="0.35">
      <c r="E735" s="1"/>
      <c r="X735" s="31"/>
      <c r="Y735"/>
      <c r="Z735"/>
      <c r="AA735"/>
      <c r="AB735"/>
      <c r="AC735"/>
      <c r="AD735"/>
      <c r="AE735"/>
      <c r="AF735"/>
      <c r="AG735"/>
      <c r="AH735"/>
      <c r="AI735"/>
      <c r="AJ735"/>
      <c r="AK735"/>
      <c r="AL735"/>
      <c r="AM735"/>
      <c r="AS735"/>
      <c r="BB735" s="1"/>
      <c r="BC735" s="60"/>
    </row>
    <row r="736" spans="5:56" x14ac:dyDescent="0.35">
      <c r="E736" s="1"/>
      <c r="X736" s="31"/>
      <c r="Y736"/>
      <c r="Z736"/>
      <c r="AA736"/>
      <c r="AB736"/>
      <c r="AC736"/>
      <c r="AD736"/>
      <c r="AE736"/>
      <c r="AF736"/>
      <c r="AG736"/>
      <c r="AH736"/>
      <c r="AI736"/>
      <c r="AJ736"/>
      <c r="AK736"/>
      <c r="AL736"/>
      <c r="AM736"/>
      <c r="AS736"/>
      <c r="BB736" s="1"/>
      <c r="BC736" s="60"/>
    </row>
    <row r="737" spans="1:56" x14ac:dyDescent="0.35">
      <c r="E737" s="1"/>
      <c r="X737" s="31"/>
      <c r="Y737"/>
      <c r="Z737"/>
      <c r="AA737"/>
      <c r="AB737"/>
      <c r="AC737"/>
      <c r="AD737"/>
      <c r="AE737"/>
      <c r="AF737"/>
      <c r="AG737"/>
      <c r="AH737"/>
      <c r="AI737"/>
      <c r="AJ737"/>
      <c r="AK737"/>
      <c r="AL737"/>
      <c r="AM737"/>
      <c r="AS737"/>
      <c r="BB737" s="1"/>
      <c r="BC737" s="60"/>
    </row>
    <row r="738" spans="1:56" x14ac:dyDescent="0.35">
      <c r="E738" s="1"/>
      <c r="X738" s="31"/>
      <c r="Y738"/>
      <c r="Z738"/>
      <c r="AA738"/>
      <c r="AB738"/>
      <c r="AC738"/>
      <c r="AD738"/>
      <c r="AE738"/>
      <c r="AF738"/>
      <c r="AG738"/>
      <c r="AH738"/>
      <c r="AI738"/>
      <c r="AJ738"/>
      <c r="AK738"/>
      <c r="AL738"/>
      <c r="AM738"/>
      <c r="AS738"/>
      <c r="BB738" s="1"/>
      <c r="BC738" s="60"/>
    </row>
    <row r="739" spans="1:56" x14ac:dyDescent="0.35">
      <c r="A739" s="2"/>
      <c r="E739" s="1"/>
      <c r="X739" s="31"/>
      <c r="Y739"/>
      <c r="Z739"/>
      <c r="AA739"/>
      <c r="AB739"/>
      <c r="AC739"/>
      <c r="AD739"/>
      <c r="AE739"/>
      <c r="AF739"/>
      <c r="AG739"/>
      <c r="AH739"/>
      <c r="AI739"/>
      <c r="AJ739"/>
      <c r="AK739"/>
      <c r="AL739"/>
      <c r="AM739"/>
      <c r="AS739"/>
      <c r="BB739" s="1"/>
      <c r="BC739" s="60"/>
      <c r="BD739" s="62"/>
    </row>
    <row r="740" spans="1:56" x14ac:dyDescent="0.35">
      <c r="E740" s="1"/>
      <c r="X740" s="31"/>
      <c r="Y740"/>
      <c r="Z740"/>
      <c r="AA740"/>
      <c r="AB740"/>
      <c r="AC740"/>
      <c r="AD740"/>
      <c r="AE740"/>
      <c r="AF740"/>
      <c r="AG740"/>
      <c r="AH740"/>
      <c r="AI740"/>
      <c r="AJ740"/>
      <c r="AK740"/>
      <c r="AL740"/>
      <c r="AM740"/>
      <c r="AS740"/>
      <c r="BB740" s="1"/>
      <c r="BC740" s="60"/>
    </row>
    <row r="741" spans="1:56" x14ac:dyDescent="0.35">
      <c r="E741" s="1"/>
      <c r="X741" s="31"/>
      <c r="Y741"/>
      <c r="Z741"/>
      <c r="AA741"/>
      <c r="AB741"/>
      <c r="AC741"/>
      <c r="AD741"/>
      <c r="AE741"/>
      <c r="AF741"/>
      <c r="AG741"/>
      <c r="AH741"/>
      <c r="AI741"/>
      <c r="AJ741"/>
      <c r="AK741"/>
      <c r="AL741"/>
      <c r="AM741"/>
      <c r="AS741"/>
      <c r="BB741" s="1"/>
      <c r="BC741" s="60"/>
      <c r="BD741" s="62"/>
    </row>
    <row r="742" spans="1:56" x14ac:dyDescent="0.35">
      <c r="E742" s="1"/>
      <c r="X742" s="31"/>
      <c r="Y742"/>
      <c r="Z742"/>
      <c r="AA742"/>
      <c r="AB742"/>
      <c r="AC742"/>
      <c r="AD742"/>
      <c r="AE742"/>
      <c r="AF742"/>
      <c r="AG742"/>
      <c r="AH742"/>
      <c r="AI742"/>
      <c r="AJ742"/>
      <c r="AK742"/>
      <c r="AL742"/>
      <c r="AM742"/>
      <c r="AS742"/>
      <c r="BB742" s="1"/>
      <c r="BC742" s="60"/>
      <c r="BD742" s="62"/>
    </row>
    <row r="743" spans="1:56" x14ac:dyDescent="0.35">
      <c r="E743" s="1"/>
      <c r="X743" s="31"/>
      <c r="Y743"/>
      <c r="Z743"/>
      <c r="AA743"/>
      <c r="AB743"/>
      <c r="AC743"/>
      <c r="AD743"/>
      <c r="AE743"/>
      <c r="AF743"/>
      <c r="AG743"/>
      <c r="AH743"/>
      <c r="AI743"/>
      <c r="AJ743"/>
      <c r="AK743"/>
      <c r="AL743"/>
      <c r="AM743"/>
      <c r="AS743"/>
      <c r="BB743" s="1"/>
      <c r="BC743" s="60"/>
    </row>
    <row r="744" spans="1:56" x14ac:dyDescent="0.35">
      <c r="E744" s="1"/>
      <c r="X744" s="31"/>
      <c r="Y744"/>
      <c r="Z744"/>
      <c r="AA744"/>
      <c r="AB744"/>
      <c r="AC744"/>
      <c r="AD744"/>
      <c r="AE744"/>
      <c r="AF744"/>
      <c r="AG744"/>
      <c r="AH744"/>
      <c r="AI744"/>
      <c r="AJ744"/>
      <c r="AK744"/>
      <c r="AL744"/>
      <c r="AM744"/>
      <c r="AS744"/>
      <c r="BB744" s="1"/>
      <c r="BC744" s="60"/>
    </row>
    <row r="745" spans="1:56" x14ac:dyDescent="0.35">
      <c r="E745" s="1"/>
      <c r="X745" s="31"/>
      <c r="Y745"/>
      <c r="Z745"/>
      <c r="AA745"/>
      <c r="AB745"/>
      <c r="AC745"/>
      <c r="AD745"/>
      <c r="AE745"/>
      <c r="AF745"/>
      <c r="AG745"/>
      <c r="AH745"/>
      <c r="AI745"/>
      <c r="AJ745"/>
      <c r="AK745"/>
      <c r="AL745"/>
      <c r="AM745"/>
      <c r="AS745"/>
      <c r="BB745" s="1"/>
      <c r="BC745" s="60"/>
    </row>
    <row r="746" spans="1:56" x14ac:dyDescent="0.35">
      <c r="E746" s="1"/>
      <c r="X746" s="31"/>
      <c r="Y746"/>
      <c r="Z746"/>
      <c r="AA746"/>
      <c r="AB746"/>
      <c r="AC746"/>
      <c r="AD746"/>
      <c r="AE746"/>
      <c r="AF746"/>
      <c r="AG746"/>
      <c r="AH746"/>
      <c r="AI746"/>
      <c r="AJ746"/>
      <c r="AK746"/>
      <c r="AL746"/>
      <c r="AM746"/>
      <c r="AS746"/>
      <c r="BB746" s="1"/>
      <c r="BC746" s="60"/>
    </row>
    <row r="747" spans="1:56" x14ac:dyDescent="0.35">
      <c r="E747" s="1"/>
      <c r="X747" s="31"/>
      <c r="Y747"/>
      <c r="Z747"/>
      <c r="AA747"/>
      <c r="AB747"/>
      <c r="AC747"/>
      <c r="AD747"/>
      <c r="AE747"/>
      <c r="AF747"/>
      <c r="AG747"/>
      <c r="AH747"/>
      <c r="AI747"/>
      <c r="AJ747"/>
      <c r="AK747"/>
      <c r="AL747"/>
      <c r="AM747"/>
      <c r="AS747"/>
      <c r="BB747" s="1"/>
      <c r="BC747" s="60"/>
    </row>
    <row r="748" spans="1:56" x14ac:dyDescent="0.35">
      <c r="A748" s="2"/>
      <c r="E748" s="1"/>
      <c r="X748" s="31"/>
      <c r="Y748"/>
      <c r="Z748"/>
      <c r="AA748"/>
      <c r="AB748"/>
      <c r="AC748"/>
      <c r="AD748"/>
      <c r="AE748"/>
      <c r="AF748"/>
      <c r="AG748"/>
      <c r="AH748"/>
      <c r="AI748"/>
      <c r="AJ748"/>
      <c r="AK748"/>
      <c r="AL748"/>
      <c r="AM748"/>
      <c r="AS748"/>
      <c r="BB748" s="1"/>
      <c r="BC748" s="60"/>
    </row>
    <row r="749" spans="1:56" x14ac:dyDescent="0.35">
      <c r="E749" s="1"/>
      <c r="X749" s="31"/>
      <c r="Y749"/>
      <c r="Z749"/>
      <c r="AA749"/>
      <c r="AB749"/>
      <c r="AC749"/>
      <c r="AD749"/>
      <c r="AE749"/>
      <c r="AF749"/>
      <c r="AG749"/>
      <c r="AH749"/>
      <c r="AI749"/>
      <c r="AJ749"/>
      <c r="AK749"/>
      <c r="AL749"/>
      <c r="AM749"/>
      <c r="AS749"/>
      <c r="BB749" s="1"/>
      <c r="BC749" s="60"/>
    </row>
    <row r="750" spans="1:56" x14ac:dyDescent="0.35">
      <c r="E750" s="1"/>
      <c r="X750" s="31"/>
      <c r="Y750"/>
      <c r="Z750"/>
      <c r="AA750"/>
      <c r="AB750"/>
      <c r="AC750"/>
      <c r="AD750"/>
      <c r="AE750"/>
      <c r="AF750"/>
      <c r="AG750"/>
      <c r="AH750"/>
      <c r="AI750"/>
      <c r="AJ750"/>
      <c r="AK750"/>
      <c r="AL750"/>
      <c r="AM750"/>
      <c r="AS750"/>
      <c r="BB750" s="1"/>
      <c r="BC750" s="60"/>
    </row>
    <row r="751" spans="1:56" x14ac:dyDescent="0.35">
      <c r="E751" s="1"/>
      <c r="X751" s="31"/>
      <c r="Y751"/>
      <c r="Z751"/>
      <c r="AA751"/>
      <c r="AB751"/>
      <c r="AC751"/>
      <c r="AD751"/>
      <c r="AE751"/>
      <c r="AF751"/>
      <c r="AG751"/>
      <c r="AH751"/>
      <c r="AI751"/>
      <c r="AJ751"/>
      <c r="AK751"/>
      <c r="AL751"/>
      <c r="AM751"/>
      <c r="AS751"/>
      <c r="BB751" s="1"/>
      <c r="BC751" s="60"/>
      <c r="BD751" s="62"/>
    </row>
    <row r="752" spans="1:56" x14ac:dyDescent="0.35">
      <c r="E752" s="1"/>
      <c r="X752" s="31"/>
      <c r="Y752"/>
      <c r="Z752"/>
      <c r="AA752"/>
      <c r="AB752"/>
      <c r="AC752"/>
      <c r="AD752"/>
      <c r="AE752"/>
      <c r="AF752"/>
      <c r="AG752"/>
      <c r="AH752"/>
      <c r="AI752"/>
      <c r="AJ752"/>
      <c r="AK752"/>
      <c r="AL752"/>
      <c r="AM752"/>
      <c r="AS752"/>
      <c r="BB752" s="1"/>
      <c r="BC752" s="60"/>
    </row>
    <row r="753" spans="5:56" x14ac:dyDescent="0.35">
      <c r="E753" s="1"/>
      <c r="X753" s="31"/>
      <c r="Y753"/>
      <c r="Z753"/>
      <c r="AA753"/>
      <c r="AB753"/>
      <c r="AC753"/>
      <c r="AD753"/>
      <c r="AE753"/>
      <c r="AF753"/>
      <c r="AG753"/>
      <c r="AH753"/>
      <c r="AI753"/>
      <c r="AJ753"/>
      <c r="AK753"/>
      <c r="AL753"/>
      <c r="AM753"/>
      <c r="AS753"/>
      <c r="BB753" s="1"/>
      <c r="BC753" s="60"/>
    </row>
    <row r="754" spans="5:56" x14ac:dyDescent="0.35">
      <c r="E754" s="1"/>
      <c r="X754" s="31"/>
      <c r="Y754"/>
      <c r="Z754"/>
      <c r="AA754"/>
      <c r="AB754"/>
      <c r="AC754"/>
      <c r="AD754"/>
      <c r="AE754"/>
      <c r="AF754"/>
      <c r="AG754"/>
      <c r="AH754"/>
      <c r="AI754"/>
      <c r="AJ754"/>
      <c r="AK754"/>
      <c r="AL754"/>
      <c r="AM754"/>
      <c r="AS754"/>
      <c r="BB754" s="1"/>
      <c r="BC754" s="60"/>
    </row>
    <row r="755" spans="5:56" x14ac:dyDescent="0.35">
      <c r="E755" s="1"/>
      <c r="X755" s="31"/>
      <c r="Y755"/>
      <c r="Z755"/>
      <c r="AA755"/>
      <c r="AB755"/>
      <c r="AC755"/>
      <c r="AD755"/>
      <c r="AE755"/>
      <c r="AF755"/>
      <c r="AG755"/>
      <c r="AH755"/>
      <c r="AI755"/>
      <c r="AJ755"/>
      <c r="AK755"/>
      <c r="AL755"/>
      <c r="AM755"/>
      <c r="AS755"/>
      <c r="BB755" s="1"/>
      <c r="BC755" s="60"/>
    </row>
    <row r="756" spans="5:56" x14ac:dyDescent="0.35">
      <c r="E756" s="1"/>
      <c r="X756" s="31"/>
      <c r="Y756"/>
      <c r="Z756"/>
      <c r="AA756"/>
      <c r="AB756"/>
      <c r="AC756"/>
      <c r="AD756"/>
      <c r="AE756"/>
      <c r="AF756"/>
      <c r="AG756"/>
      <c r="AH756"/>
      <c r="AI756"/>
      <c r="AJ756"/>
      <c r="AK756"/>
      <c r="AL756"/>
      <c r="AM756"/>
      <c r="AS756"/>
      <c r="BB756" s="1"/>
      <c r="BC756" s="60"/>
    </row>
    <row r="757" spans="5:56" x14ac:dyDescent="0.35">
      <c r="E757" s="1"/>
      <c r="X757" s="31"/>
      <c r="Y757"/>
      <c r="Z757"/>
      <c r="AA757"/>
      <c r="AB757"/>
      <c r="AC757"/>
      <c r="AD757"/>
      <c r="AE757"/>
      <c r="AF757"/>
      <c r="AG757"/>
      <c r="AH757"/>
      <c r="AI757"/>
      <c r="AJ757"/>
      <c r="AK757"/>
      <c r="AL757"/>
      <c r="AM757"/>
      <c r="AS757"/>
      <c r="BB757" s="1"/>
      <c r="BC757" s="60"/>
    </row>
    <row r="758" spans="5:56" x14ac:dyDescent="0.35">
      <c r="E758" s="1"/>
      <c r="X758" s="31"/>
      <c r="Y758"/>
      <c r="Z758"/>
      <c r="AA758"/>
      <c r="AB758"/>
      <c r="AC758"/>
      <c r="AD758"/>
      <c r="AE758"/>
      <c r="AF758"/>
      <c r="AG758"/>
      <c r="AH758"/>
      <c r="AI758"/>
      <c r="AJ758"/>
      <c r="AK758"/>
      <c r="AL758"/>
      <c r="AM758"/>
      <c r="AS758"/>
      <c r="BB758" s="1"/>
      <c r="BC758" s="60"/>
    </row>
    <row r="759" spans="5:56" x14ac:dyDescent="0.35">
      <c r="E759" s="1"/>
      <c r="X759" s="31"/>
      <c r="Y759"/>
      <c r="Z759"/>
      <c r="AA759"/>
      <c r="AB759"/>
      <c r="AC759"/>
      <c r="AD759"/>
      <c r="AE759"/>
      <c r="AF759"/>
      <c r="AG759"/>
      <c r="AH759"/>
      <c r="AI759"/>
      <c r="AJ759"/>
      <c r="AK759"/>
      <c r="AL759"/>
      <c r="AM759"/>
      <c r="AS759"/>
      <c r="BB759" s="1"/>
      <c r="BC759" s="60"/>
    </row>
    <row r="760" spans="5:56" x14ac:dyDescent="0.35">
      <c r="E760" s="1"/>
      <c r="X760" s="31"/>
      <c r="Y760"/>
      <c r="Z760"/>
      <c r="AA760"/>
      <c r="AB760"/>
      <c r="AC760"/>
      <c r="AD760"/>
      <c r="AE760"/>
      <c r="AF760"/>
      <c r="AG760"/>
      <c r="AH760"/>
      <c r="AI760"/>
      <c r="AJ760"/>
      <c r="AK760"/>
      <c r="AL760"/>
      <c r="AM760"/>
      <c r="AS760"/>
      <c r="BB760" s="1"/>
      <c r="BC760" s="60"/>
    </row>
    <row r="761" spans="5:56" x14ac:dyDescent="0.35">
      <c r="E761" s="1"/>
      <c r="X761" s="31"/>
      <c r="Y761"/>
      <c r="Z761"/>
      <c r="AA761"/>
      <c r="AB761"/>
      <c r="AC761"/>
      <c r="AD761"/>
      <c r="AE761"/>
      <c r="AF761"/>
      <c r="AG761"/>
      <c r="AH761"/>
      <c r="AI761"/>
      <c r="AJ761"/>
      <c r="AK761"/>
      <c r="AL761"/>
      <c r="AM761"/>
      <c r="AS761"/>
      <c r="BB761" s="1"/>
      <c r="BC761" s="60"/>
    </row>
    <row r="762" spans="5:56" x14ac:dyDescent="0.35">
      <c r="E762" s="1"/>
      <c r="X762" s="31"/>
      <c r="Y762"/>
      <c r="Z762"/>
      <c r="AA762"/>
      <c r="AB762"/>
      <c r="AC762"/>
      <c r="AD762"/>
      <c r="AE762"/>
      <c r="AF762"/>
      <c r="AG762"/>
      <c r="AH762"/>
      <c r="AI762"/>
      <c r="AJ762"/>
      <c r="AK762"/>
      <c r="AL762"/>
      <c r="AM762"/>
      <c r="AS762"/>
      <c r="BB762" s="1"/>
      <c r="BC762" s="60"/>
      <c r="BD762" s="62"/>
    </row>
    <row r="763" spans="5:56" x14ac:dyDescent="0.35">
      <c r="E763" s="1"/>
      <c r="X763" s="31"/>
      <c r="Y763"/>
      <c r="Z763"/>
      <c r="AA763"/>
      <c r="AB763"/>
      <c r="AC763"/>
      <c r="AD763"/>
      <c r="AE763"/>
      <c r="AF763"/>
      <c r="AG763"/>
      <c r="AH763"/>
      <c r="AI763"/>
      <c r="AJ763"/>
      <c r="AK763"/>
      <c r="AL763"/>
      <c r="AM763"/>
      <c r="AS763"/>
      <c r="BB763" s="1"/>
      <c r="BC763" s="60"/>
    </row>
    <row r="764" spans="5:56" x14ac:dyDescent="0.35">
      <c r="E764" s="1"/>
      <c r="X764" s="31"/>
      <c r="Y764"/>
      <c r="Z764"/>
      <c r="AA764"/>
      <c r="AB764"/>
      <c r="AC764"/>
      <c r="AD764"/>
      <c r="AE764"/>
      <c r="AF764"/>
      <c r="AG764"/>
      <c r="AH764"/>
      <c r="AI764"/>
      <c r="AJ764"/>
      <c r="AK764"/>
      <c r="AL764"/>
      <c r="AM764"/>
      <c r="AS764"/>
      <c r="BB764" s="1"/>
      <c r="BC764" s="60"/>
      <c r="BD764" s="62"/>
    </row>
    <row r="765" spans="5:56" x14ac:dyDescent="0.35">
      <c r="E765" s="1"/>
      <c r="X765" s="31"/>
      <c r="Y765"/>
      <c r="Z765"/>
      <c r="AA765"/>
      <c r="AB765"/>
      <c r="AC765"/>
      <c r="AD765"/>
      <c r="AE765"/>
      <c r="AF765"/>
      <c r="AG765"/>
      <c r="AH765"/>
      <c r="AI765"/>
      <c r="AJ765"/>
      <c r="AK765"/>
      <c r="AL765"/>
      <c r="AM765"/>
      <c r="AS765"/>
      <c r="BB765" s="1"/>
      <c r="BC765" s="60"/>
    </row>
    <row r="766" spans="5:56" x14ac:dyDescent="0.35">
      <c r="E766" s="1"/>
      <c r="X766" s="31"/>
      <c r="Y766"/>
      <c r="Z766"/>
      <c r="AA766"/>
      <c r="AB766"/>
      <c r="AC766"/>
      <c r="AD766"/>
      <c r="AE766"/>
      <c r="AF766"/>
      <c r="AG766"/>
      <c r="AH766"/>
      <c r="AI766"/>
      <c r="AJ766"/>
      <c r="AK766"/>
      <c r="AL766"/>
      <c r="AM766"/>
      <c r="AS766"/>
      <c r="BB766" s="1"/>
      <c r="BC766" s="60"/>
    </row>
    <row r="767" spans="5:56" x14ac:dyDescent="0.35">
      <c r="E767" s="1"/>
      <c r="X767" s="31"/>
      <c r="Y767"/>
      <c r="Z767"/>
      <c r="AA767"/>
      <c r="AB767"/>
      <c r="AC767"/>
      <c r="AD767"/>
      <c r="AE767"/>
      <c r="AF767"/>
      <c r="AG767"/>
      <c r="AH767"/>
      <c r="AI767"/>
      <c r="AJ767"/>
      <c r="AK767"/>
      <c r="AL767"/>
      <c r="AM767"/>
      <c r="AS767"/>
      <c r="BB767" s="1"/>
      <c r="BC767" s="60"/>
    </row>
    <row r="768" spans="5:56" x14ac:dyDescent="0.35">
      <c r="E768" s="1"/>
      <c r="X768" s="31"/>
      <c r="Y768"/>
      <c r="Z768"/>
      <c r="AA768"/>
      <c r="AB768"/>
      <c r="AC768"/>
      <c r="AD768"/>
      <c r="AE768"/>
      <c r="AF768"/>
      <c r="AG768"/>
      <c r="AH768"/>
      <c r="AI768"/>
      <c r="AJ768"/>
      <c r="AK768"/>
      <c r="AL768"/>
      <c r="AM768"/>
      <c r="AS768"/>
      <c r="BB768" s="1"/>
      <c r="BC768" s="60"/>
    </row>
    <row r="769" spans="5:56" x14ac:dyDescent="0.35">
      <c r="E769" s="1"/>
      <c r="X769" s="31"/>
      <c r="Y769"/>
      <c r="Z769"/>
      <c r="AA769"/>
      <c r="AB769"/>
      <c r="AC769"/>
      <c r="AD769"/>
      <c r="AE769"/>
      <c r="AF769"/>
      <c r="AG769"/>
      <c r="AH769"/>
      <c r="AI769"/>
      <c r="AJ769"/>
      <c r="AK769"/>
      <c r="AL769"/>
      <c r="AM769"/>
      <c r="AS769"/>
      <c r="BB769" s="1"/>
      <c r="BC769" s="60"/>
      <c r="BD769" s="62"/>
    </row>
    <row r="770" spans="5:56" x14ac:dyDescent="0.35">
      <c r="E770" s="1"/>
      <c r="X770" s="31"/>
      <c r="Y770"/>
      <c r="Z770"/>
      <c r="AA770"/>
      <c r="AB770"/>
      <c r="AC770"/>
      <c r="AD770"/>
      <c r="AE770"/>
      <c r="AF770"/>
      <c r="AG770"/>
      <c r="AH770"/>
      <c r="AI770"/>
      <c r="AJ770"/>
      <c r="AK770"/>
      <c r="AL770"/>
      <c r="AM770"/>
      <c r="AS770"/>
      <c r="BB770" s="1"/>
      <c r="BC770" s="60"/>
    </row>
    <row r="771" spans="5:56" x14ac:dyDescent="0.35">
      <c r="E771" s="1"/>
      <c r="X771" s="31"/>
      <c r="Y771"/>
      <c r="Z771"/>
      <c r="AA771"/>
      <c r="AB771"/>
      <c r="AC771"/>
      <c r="AD771"/>
      <c r="AE771"/>
      <c r="AF771"/>
      <c r="AG771"/>
      <c r="AH771"/>
      <c r="AI771"/>
      <c r="AJ771"/>
      <c r="AK771"/>
      <c r="AL771"/>
      <c r="AM771"/>
      <c r="AS771"/>
      <c r="BB771" s="1"/>
      <c r="BC771" s="60"/>
    </row>
    <row r="772" spans="5:56" x14ac:dyDescent="0.35">
      <c r="E772" s="1"/>
      <c r="X772" s="31"/>
      <c r="Y772"/>
      <c r="Z772"/>
      <c r="AA772"/>
      <c r="AB772"/>
      <c r="AC772"/>
      <c r="AD772"/>
      <c r="AE772"/>
      <c r="AF772"/>
      <c r="AG772"/>
      <c r="AH772"/>
      <c r="AI772"/>
      <c r="AJ772"/>
      <c r="AK772"/>
      <c r="AL772"/>
      <c r="AM772"/>
      <c r="AS772"/>
      <c r="BB772" s="1"/>
      <c r="BC772" s="60"/>
    </row>
    <row r="773" spans="5:56" x14ac:dyDescent="0.35">
      <c r="E773" s="1"/>
      <c r="X773" s="31"/>
      <c r="Y773"/>
      <c r="Z773"/>
      <c r="AA773"/>
      <c r="AB773"/>
      <c r="AC773"/>
      <c r="AD773"/>
      <c r="AE773"/>
      <c r="AF773"/>
      <c r="AG773"/>
      <c r="AH773"/>
      <c r="AI773"/>
      <c r="AJ773"/>
      <c r="AK773"/>
      <c r="AL773"/>
      <c r="AM773"/>
      <c r="AS773"/>
      <c r="BB773" s="1"/>
      <c r="BC773" s="60"/>
    </row>
    <row r="774" spans="5:56" x14ac:dyDescent="0.35">
      <c r="E774" s="1"/>
      <c r="X774" s="31"/>
      <c r="Y774"/>
      <c r="Z774"/>
      <c r="AA774"/>
      <c r="AB774"/>
      <c r="AC774"/>
      <c r="AD774"/>
      <c r="AE774"/>
      <c r="AF774"/>
      <c r="AG774"/>
      <c r="AH774"/>
      <c r="AI774"/>
      <c r="AJ774"/>
      <c r="AK774"/>
      <c r="AL774"/>
      <c r="AM774"/>
      <c r="AS774"/>
      <c r="BB774" s="1"/>
      <c r="BC774" s="60"/>
    </row>
    <row r="775" spans="5:56" x14ac:dyDescent="0.35">
      <c r="E775" s="1"/>
      <c r="X775" s="31"/>
      <c r="Y775"/>
      <c r="Z775"/>
      <c r="AA775"/>
      <c r="AB775"/>
      <c r="AC775"/>
      <c r="AD775"/>
      <c r="AE775"/>
      <c r="AF775"/>
      <c r="AG775"/>
      <c r="AH775"/>
      <c r="AI775"/>
      <c r="AJ775"/>
      <c r="AK775"/>
      <c r="AL775"/>
      <c r="AM775"/>
      <c r="AS775"/>
      <c r="BB775" s="1"/>
      <c r="BC775" s="60"/>
    </row>
    <row r="776" spans="5:56" x14ac:dyDescent="0.35">
      <c r="E776" s="1"/>
      <c r="X776" s="31"/>
      <c r="Y776"/>
      <c r="Z776"/>
      <c r="AA776"/>
      <c r="AB776"/>
      <c r="AC776"/>
      <c r="AD776"/>
      <c r="AE776"/>
      <c r="AF776"/>
      <c r="AG776"/>
      <c r="AH776"/>
      <c r="AI776"/>
      <c r="AJ776"/>
      <c r="AK776"/>
      <c r="AL776"/>
      <c r="AM776"/>
      <c r="AS776"/>
      <c r="BB776" s="1"/>
      <c r="BC776" s="60"/>
    </row>
    <row r="777" spans="5:56" x14ac:dyDescent="0.35">
      <c r="E777" s="1"/>
      <c r="X777" s="31"/>
      <c r="Y777"/>
      <c r="Z777"/>
      <c r="AA777"/>
      <c r="AB777"/>
      <c r="AC777"/>
      <c r="AD777"/>
      <c r="AE777"/>
      <c r="AF777"/>
      <c r="AG777"/>
      <c r="AH777"/>
      <c r="AI777"/>
      <c r="AJ777"/>
      <c r="AK777"/>
      <c r="AL777"/>
      <c r="AM777"/>
      <c r="AS777"/>
      <c r="BB777" s="1"/>
      <c r="BC777" s="60"/>
      <c r="BD777" s="62"/>
    </row>
    <row r="778" spans="5:56" x14ac:dyDescent="0.35">
      <c r="E778" s="1"/>
      <c r="X778" s="31"/>
      <c r="Y778"/>
      <c r="Z778"/>
      <c r="AA778"/>
      <c r="AB778"/>
      <c r="AC778"/>
      <c r="AD778"/>
      <c r="AE778"/>
      <c r="AF778"/>
      <c r="AG778"/>
      <c r="AH778"/>
      <c r="AI778"/>
      <c r="AJ778"/>
      <c r="AK778"/>
      <c r="AL778"/>
      <c r="AM778"/>
      <c r="AS778"/>
      <c r="BB778" s="1"/>
      <c r="BC778" s="60"/>
    </row>
    <row r="779" spans="5:56" x14ac:dyDescent="0.35">
      <c r="E779" s="1"/>
      <c r="X779" s="31"/>
      <c r="Y779"/>
      <c r="Z779"/>
      <c r="AA779"/>
      <c r="AB779"/>
      <c r="AC779"/>
      <c r="AD779"/>
      <c r="AE779"/>
      <c r="AF779"/>
      <c r="AG779"/>
      <c r="AH779"/>
      <c r="AI779"/>
      <c r="AJ779"/>
      <c r="AK779"/>
      <c r="AL779"/>
      <c r="AM779"/>
      <c r="AS779"/>
      <c r="BB779" s="1"/>
      <c r="BC779" s="60"/>
    </row>
    <row r="780" spans="5:56" x14ac:dyDescent="0.35">
      <c r="E780" s="1"/>
      <c r="X780" s="31"/>
      <c r="Y780"/>
      <c r="Z780"/>
      <c r="AA780"/>
      <c r="AB780"/>
      <c r="AC780"/>
      <c r="AD780"/>
      <c r="AE780"/>
      <c r="AF780"/>
      <c r="AG780"/>
      <c r="AH780"/>
      <c r="AI780"/>
      <c r="AJ780"/>
      <c r="AK780"/>
      <c r="AL780"/>
      <c r="AM780"/>
      <c r="AS780"/>
      <c r="BB780" s="1"/>
      <c r="BC780" s="60"/>
    </row>
    <row r="781" spans="5:56" x14ac:dyDescent="0.35">
      <c r="E781" s="1"/>
      <c r="X781" s="31"/>
      <c r="Y781"/>
      <c r="Z781"/>
      <c r="AA781"/>
      <c r="AB781"/>
      <c r="AC781"/>
      <c r="AD781"/>
      <c r="AE781"/>
      <c r="AF781"/>
      <c r="AG781"/>
      <c r="AH781"/>
      <c r="AI781"/>
      <c r="AJ781"/>
      <c r="AK781"/>
      <c r="AL781"/>
      <c r="AM781"/>
      <c r="AS781"/>
      <c r="BB781" s="1"/>
      <c r="BC781" s="60"/>
    </row>
    <row r="782" spans="5:56" x14ac:dyDescent="0.35">
      <c r="E782" s="1"/>
      <c r="X782" s="31"/>
      <c r="Y782"/>
      <c r="Z782"/>
      <c r="AA782"/>
      <c r="AB782"/>
      <c r="AC782"/>
      <c r="AD782"/>
      <c r="AE782"/>
      <c r="AF782"/>
      <c r="AG782"/>
      <c r="AH782"/>
      <c r="AI782"/>
      <c r="AJ782"/>
      <c r="AK782"/>
      <c r="AL782"/>
      <c r="AM782"/>
      <c r="AS782"/>
      <c r="BB782" s="1"/>
      <c r="BC782" s="60"/>
      <c r="BD782" s="62"/>
    </row>
    <row r="783" spans="5:56" x14ac:dyDescent="0.35">
      <c r="E783" s="1"/>
      <c r="X783" s="31"/>
      <c r="Y783"/>
      <c r="Z783"/>
      <c r="AA783"/>
      <c r="AB783"/>
      <c r="AC783"/>
      <c r="AD783"/>
      <c r="AE783"/>
      <c r="AF783"/>
      <c r="AG783"/>
      <c r="AH783"/>
      <c r="AI783"/>
      <c r="AJ783"/>
      <c r="AK783"/>
      <c r="AL783"/>
      <c r="AM783"/>
      <c r="AS783"/>
      <c r="BB783" s="1"/>
      <c r="BC783" s="60"/>
    </row>
    <row r="784" spans="5:56" x14ac:dyDescent="0.35">
      <c r="E784" s="1"/>
      <c r="X784" s="31"/>
      <c r="Y784"/>
      <c r="Z784"/>
      <c r="AA784"/>
      <c r="AB784"/>
      <c r="AC784"/>
      <c r="AD784"/>
      <c r="AE784"/>
      <c r="AF784"/>
      <c r="AG784"/>
      <c r="AH784"/>
      <c r="AI784"/>
      <c r="AJ784"/>
      <c r="AK784"/>
      <c r="AL784"/>
      <c r="AM784"/>
      <c r="AS784"/>
      <c r="BB784" s="1"/>
      <c r="BC784" s="60"/>
    </row>
    <row r="785" spans="1:56" x14ac:dyDescent="0.35">
      <c r="E785" s="1"/>
      <c r="X785" s="31"/>
      <c r="Y785"/>
      <c r="Z785"/>
      <c r="AA785"/>
      <c r="AB785"/>
      <c r="AC785"/>
      <c r="AD785"/>
      <c r="AE785"/>
      <c r="AF785"/>
      <c r="AG785"/>
      <c r="AH785"/>
      <c r="AI785"/>
      <c r="AJ785"/>
      <c r="AK785"/>
      <c r="AL785"/>
      <c r="AM785"/>
      <c r="AS785"/>
      <c r="BB785" s="1"/>
      <c r="BC785" s="60"/>
    </row>
    <row r="786" spans="1:56" x14ac:dyDescent="0.35">
      <c r="E786" s="1"/>
      <c r="X786" s="31"/>
      <c r="Y786"/>
      <c r="Z786"/>
      <c r="AA786"/>
      <c r="AB786"/>
      <c r="AC786"/>
      <c r="AD786"/>
      <c r="AE786"/>
      <c r="AF786"/>
      <c r="AG786"/>
      <c r="AH786"/>
      <c r="AI786"/>
      <c r="AJ786"/>
      <c r="AK786"/>
      <c r="AL786"/>
      <c r="AM786"/>
      <c r="AS786"/>
      <c r="BB786" s="1"/>
      <c r="BC786" s="60"/>
    </row>
    <row r="787" spans="1:56" x14ac:dyDescent="0.35">
      <c r="E787" s="1"/>
      <c r="X787" s="31"/>
      <c r="Y787"/>
      <c r="Z787"/>
      <c r="AA787"/>
      <c r="AB787"/>
      <c r="AC787"/>
      <c r="AD787"/>
      <c r="AE787"/>
      <c r="AF787"/>
      <c r="AG787"/>
      <c r="AH787"/>
      <c r="AI787"/>
      <c r="AJ787"/>
      <c r="AK787"/>
      <c r="AL787"/>
      <c r="AM787"/>
      <c r="AS787"/>
      <c r="BB787" s="1"/>
      <c r="BC787" s="60"/>
    </row>
    <row r="788" spans="1:56" x14ac:dyDescent="0.35">
      <c r="E788" s="1"/>
      <c r="X788" s="31"/>
      <c r="Y788"/>
      <c r="Z788"/>
      <c r="AA788"/>
      <c r="AB788"/>
      <c r="AC788"/>
      <c r="AD788"/>
      <c r="AE788"/>
      <c r="AF788"/>
      <c r="AG788"/>
      <c r="AH788"/>
      <c r="AI788"/>
      <c r="AJ788"/>
      <c r="AK788"/>
      <c r="AL788"/>
      <c r="AM788"/>
      <c r="AS788"/>
      <c r="BB788" s="1"/>
      <c r="BC788" s="60"/>
      <c r="BD788" s="62"/>
    </row>
    <row r="789" spans="1:56" x14ac:dyDescent="0.35">
      <c r="E789" s="1"/>
      <c r="X789" s="31"/>
      <c r="Y789"/>
      <c r="Z789"/>
      <c r="AA789"/>
      <c r="AB789"/>
      <c r="AC789"/>
      <c r="AD789"/>
      <c r="AE789"/>
      <c r="AF789"/>
      <c r="AG789"/>
      <c r="AH789"/>
      <c r="AI789"/>
      <c r="AJ789"/>
      <c r="AK789"/>
      <c r="AL789"/>
      <c r="AM789"/>
      <c r="AS789"/>
      <c r="BB789" s="1"/>
      <c r="BC789" s="60"/>
    </row>
    <row r="790" spans="1:56" x14ac:dyDescent="0.35">
      <c r="A790" s="2"/>
      <c r="E790" s="1"/>
      <c r="X790" s="31"/>
      <c r="Y790"/>
      <c r="Z790"/>
      <c r="AA790"/>
      <c r="AB790"/>
      <c r="AC790"/>
      <c r="AD790"/>
      <c r="AE790"/>
      <c r="AF790"/>
      <c r="AG790"/>
      <c r="AH790"/>
      <c r="AI790"/>
      <c r="AJ790"/>
      <c r="AK790"/>
      <c r="AL790"/>
      <c r="AM790"/>
      <c r="AS790"/>
      <c r="BB790" s="1"/>
      <c r="BC790" s="60"/>
      <c r="BD790" s="62"/>
    </row>
    <row r="791" spans="1:56" x14ac:dyDescent="0.35">
      <c r="E791" s="1"/>
      <c r="X791" s="31"/>
      <c r="Y791"/>
      <c r="Z791"/>
      <c r="AA791"/>
      <c r="AB791"/>
      <c r="AC791"/>
      <c r="AD791"/>
      <c r="AE791"/>
      <c r="AF791"/>
      <c r="AG791"/>
      <c r="AH791"/>
      <c r="AI791"/>
      <c r="AJ791"/>
      <c r="AK791"/>
      <c r="AL791"/>
      <c r="AM791"/>
      <c r="AS791"/>
      <c r="BB791" s="1"/>
      <c r="BC791" s="60"/>
    </row>
    <row r="792" spans="1:56" x14ac:dyDescent="0.35">
      <c r="A792" s="2"/>
      <c r="E792" s="1"/>
      <c r="X792" s="31"/>
      <c r="Y792"/>
      <c r="Z792"/>
      <c r="AA792"/>
      <c r="AB792"/>
      <c r="AC792"/>
      <c r="AD792"/>
      <c r="AE792"/>
      <c r="AF792"/>
      <c r="AG792"/>
      <c r="AH792"/>
      <c r="AI792"/>
      <c r="AJ792"/>
      <c r="AK792"/>
      <c r="AL792"/>
      <c r="AM792"/>
      <c r="AS792"/>
      <c r="BB792" s="1"/>
      <c r="BC792" s="60"/>
    </row>
    <row r="793" spans="1:56" x14ac:dyDescent="0.35">
      <c r="E793" s="1"/>
      <c r="X793" s="31"/>
      <c r="Y793"/>
      <c r="Z793"/>
      <c r="AA793"/>
      <c r="AB793"/>
      <c r="AC793"/>
      <c r="AD793"/>
      <c r="AE793"/>
      <c r="AF793"/>
      <c r="AG793"/>
      <c r="AH793"/>
      <c r="AI793"/>
      <c r="AJ793"/>
      <c r="AK793"/>
      <c r="AL793"/>
      <c r="AM793"/>
      <c r="AS793"/>
      <c r="BB793" s="1"/>
      <c r="BC793" s="60"/>
    </row>
    <row r="794" spans="1:56" x14ac:dyDescent="0.35">
      <c r="E794" s="1"/>
      <c r="X794" s="31"/>
      <c r="Y794"/>
      <c r="Z794"/>
      <c r="AA794"/>
      <c r="AB794"/>
      <c r="AC794"/>
      <c r="AD794"/>
      <c r="AE794"/>
      <c r="AF794"/>
      <c r="AG794"/>
      <c r="AH794"/>
      <c r="AI794"/>
      <c r="AJ794"/>
      <c r="AK794"/>
      <c r="AL794"/>
      <c r="AM794"/>
      <c r="AS794"/>
      <c r="BB794" s="1"/>
      <c r="BC794" s="60"/>
    </row>
    <row r="795" spans="1:56" x14ac:dyDescent="0.35">
      <c r="E795" s="1"/>
      <c r="X795" s="31"/>
      <c r="Y795"/>
      <c r="Z795"/>
      <c r="AA795"/>
      <c r="AB795"/>
      <c r="AC795"/>
      <c r="AD795"/>
      <c r="AE795"/>
      <c r="AF795"/>
      <c r="AG795"/>
      <c r="AH795"/>
      <c r="AI795"/>
      <c r="AJ795"/>
      <c r="AK795"/>
      <c r="AL795"/>
      <c r="AM795"/>
      <c r="AS795"/>
      <c r="BB795" s="1"/>
      <c r="BC795" s="60"/>
    </row>
    <row r="796" spans="1:56" x14ac:dyDescent="0.35">
      <c r="A796" s="2"/>
      <c r="E796" s="1"/>
      <c r="X796" s="31"/>
      <c r="Y796"/>
      <c r="Z796"/>
      <c r="AA796"/>
      <c r="AB796"/>
      <c r="AC796"/>
      <c r="AD796"/>
      <c r="AE796"/>
      <c r="AF796"/>
      <c r="AG796"/>
      <c r="AH796"/>
      <c r="AI796"/>
      <c r="AJ796"/>
      <c r="AK796"/>
      <c r="AL796"/>
      <c r="AM796"/>
      <c r="AS796"/>
      <c r="BB796" s="1"/>
      <c r="BC796" s="60"/>
    </row>
    <row r="797" spans="1:56" x14ac:dyDescent="0.35">
      <c r="E797" s="1"/>
      <c r="X797" s="31"/>
      <c r="Y797"/>
      <c r="Z797"/>
      <c r="AA797"/>
      <c r="AB797"/>
      <c r="AC797"/>
      <c r="AD797"/>
      <c r="AE797"/>
      <c r="AF797"/>
      <c r="AG797"/>
      <c r="AH797"/>
      <c r="AI797"/>
      <c r="AJ797"/>
      <c r="AK797"/>
      <c r="AL797"/>
      <c r="AM797"/>
      <c r="AS797"/>
      <c r="BB797" s="1"/>
      <c r="BC797" s="60"/>
    </row>
    <row r="798" spans="1:56" x14ac:dyDescent="0.35">
      <c r="E798" s="1"/>
      <c r="X798" s="31"/>
      <c r="Y798"/>
      <c r="Z798"/>
      <c r="AA798"/>
      <c r="AB798"/>
      <c r="AC798"/>
      <c r="AD798"/>
      <c r="AE798"/>
      <c r="AF798"/>
      <c r="AG798"/>
      <c r="AH798"/>
      <c r="AI798"/>
      <c r="AJ798"/>
      <c r="AK798"/>
      <c r="AL798"/>
      <c r="AM798"/>
      <c r="AS798"/>
      <c r="BB798" s="1"/>
      <c r="BC798" s="60"/>
      <c r="BD798" s="62"/>
    </row>
    <row r="799" spans="1:56" x14ac:dyDescent="0.35">
      <c r="E799" s="1"/>
      <c r="X799" s="31"/>
      <c r="Y799"/>
      <c r="Z799"/>
      <c r="AA799"/>
      <c r="AB799"/>
      <c r="AC799"/>
      <c r="AD799"/>
      <c r="AE799"/>
      <c r="AF799"/>
      <c r="AG799"/>
      <c r="AH799"/>
      <c r="AI799"/>
      <c r="AJ799"/>
      <c r="AK799"/>
      <c r="AL799"/>
      <c r="AM799"/>
      <c r="AS799"/>
      <c r="BB799" s="1"/>
      <c r="BC799" s="60"/>
    </row>
    <row r="800" spans="1:56" x14ac:dyDescent="0.35">
      <c r="E800" s="1"/>
      <c r="X800" s="31"/>
      <c r="Y800"/>
      <c r="Z800"/>
      <c r="AA800"/>
      <c r="AB800"/>
      <c r="AC800"/>
      <c r="AD800"/>
      <c r="AE800"/>
      <c r="AF800"/>
      <c r="AG800"/>
      <c r="AH800"/>
      <c r="AI800"/>
      <c r="AJ800"/>
      <c r="AK800"/>
      <c r="AL800"/>
      <c r="AM800"/>
      <c r="AS800"/>
      <c r="BB800" s="1"/>
      <c r="BC800" s="60"/>
      <c r="BD800" s="62"/>
    </row>
    <row r="801" spans="1:56" x14ac:dyDescent="0.35">
      <c r="E801" s="1"/>
      <c r="X801" s="31"/>
      <c r="Y801"/>
      <c r="Z801"/>
      <c r="AA801"/>
      <c r="AB801"/>
      <c r="AC801"/>
      <c r="AD801"/>
      <c r="AE801"/>
      <c r="AF801"/>
      <c r="AG801"/>
      <c r="AH801"/>
      <c r="AI801"/>
      <c r="AJ801"/>
      <c r="AK801"/>
      <c r="AL801"/>
      <c r="AM801"/>
      <c r="AS801"/>
      <c r="BB801" s="1"/>
      <c r="BC801" s="60"/>
    </row>
    <row r="802" spans="1:56" x14ac:dyDescent="0.35">
      <c r="E802" s="1"/>
      <c r="X802" s="31"/>
      <c r="Y802"/>
      <c r="Z802"/>
      <c r="AA802"/>
      <c r="AB802"/>
      <c r="AC802"/>
      <c r="AD802"/>
      <c r="AE802"/>
      <c r="AF802"/>
      <c r="AG802"/>
      <c r="AH802"/>
      <c r="AI802"/>
      <c r="AJ802"/>
      <c r="AK802"/>
      <c r="AL802"/>
      <c r="AM802"/>
      <c r="AS802"/>
      <c r="BB802" s="1"/>
      <c r="BC802" s="60"/>
    </row>
    <row r="803" spans="1:56" x14ac:dyDescent="0.35">
      <c r="A803" s="2"/>
      <c r="E803" s="1"/>
      <c r="X803" s="31"/>
      <c r="Y803"/>
      <c r="Z803"/>
      <c r="AA803"/>
      <c r="AB803"/>
      <c r="AC803"/>
      <c r="AD803"/>
      <c r="AE803"/>
      <c r="AF803"/>
      <c r="AG803"/>
      <c r="AH803"/>
      <c r="AI803"/>
      <c r="AJ803"/>
      <c r="AK803"/>
      <c r="AL803"/>
      <c r="AM803"/>
      <c r="AS803"/>
      <c r="BB803" s="1"/>
      <c r="BC803" s="60"/>
    </row>
    <row r="804" spans="1:56" x14ac:dyDescent="0.35">
      <c r="E804" s="1"/>
      <c r="X804" s="31"/>
      <c r="Y804"/>
      <c r="Z804"/>
      <c r="AA804"/>
      <c r="AB804"/>
      <c r="AC804"/>
      <c r="AD804"/>
      <c r="AE804"/>
      <c r="AF804"/>
      <c r="AG804"/>
      <c r="AH804"/>
      <c r="AI804"/>
      <c r="AJ804"/>
      <c r="AK804"/>
      <c r="AL804"/>
      <c r="AM804"/>
      <c r="AS804"/>
      <c r="BB804" s="1"/>
      <c r="BC804" s="60"/>
    </row>
    <row r="805" spans="1:56" x14ac:dyDescent="0.35">
      <c r="E805" s="1"/>
      <c r="X805" s="31"/>
      <c r="Y805"/>
      <c r="Z805"/>
      <c r="AA805"/>
      <c r="AB805"/>
      <c r="AC805"/>
      <c r="AD805"/>
      <c r="AE805"/>
      <c r="AF805"/>
      <c r="AG805"/>
      <c r="AH805"/>
      <c r="AI805"/>
      <c r="AJ805"/>
      <c r="AK805"/>
      <c r="AL805"/>
      <c r="AM805"/>
      <c r="AS805"/>
      <c r="BB805" s="1"/>
      <c r="BC805" s="60"/>
    </row>
    <row r="806" spans="1:56" x14ac:dyDescent="0.35">
      <c r="E806" s="1"/>
      <c r="X806" s="31"/>
      <c r="Y806"/>
      <c r="Z806"/>
      <c r="AA806"/>
      <c r="AB806"/>
      <c r="AC806"/>
      <c r="AD806"/>
      <c r="AE806"/>
      <c r="AF806"/>
      <c r="AG806"/>
      <c r="AH806"/>
      <c r="AI806"/>
      <c r="AJ806"/>
      <c r="AK806"/>
      <c r="AL806"/>
      <c r="AM806"/>
      <c r="AS806"/>
      <c r="BB806" s="1"/>
      <c r="BC806" s="60"/>
    </row>
    <row r="807" spans="1:56" x14ac:dyDescent="0.35">
      <c r="E807" s="1"/>
      <c r="X807" s="31"/>
      <c r="Y807"/>
      <c r="Z807"/>
      <c r="AA807"/>
      <c r="AB807"/>
      <c r="AC807"/>
      <c r="AD807"/>
      <c r="AE807"/>
      <c r="AF807"/>
      <c r="AG807"/>
      <c r="AH807"/>
      <c r="AI807"/>
      <c r="AJ807"/>
      <c r="AK807"/>
      <c r="AL807"/>
      <c r="AM807"/>
      <c r="AS807"/>
      <c r="BB807" s="1"/>
      <c r="BC807" s="60"/>
      <c r="BD807" s="62"/>
    </row>
    <row r="808" spans="1:56" x14ac:dyDescent="0.35">
      <c r="E808" s="1"/>
      <c r="X808" s="31"/>
      <c r="Y808"/>
      <c r="Z808"/>
      <c r="AA808"/>
      <c r="AB808"/>
      <c r="AC808"/>
      <c r="AD808"/>
      <c r="AE808"/>
      <c r="AF808"/>
      <c r="AG808"/>
      <c r="AH808"/>
      <c r="AI808"/>
      <c r="AJ808"/>
      <c r="AK808"/>
      <c r="AL808"/>
      <c r="AM808"/>
      <c r="AS808"/>
      <c r="BB808" s="1"/>
      <c r="BC808" s="60"/>
    </row>
    <row r="809" spans="1:56" x14ac:dyDescent="0.35">
      <c r="E809" s="1"/>
      <c r="X809" s="31"/>
      <c r="Y809"/>
      <c r="Z809"/>
      <c r="AA809"/>
      <c r="AB809"/>
      <c r="AC809"/>
      <c r="AD809"/>
      <c r="AE809"/>
      <c r="AF809"/>
      <c r="AG809"/>
      <c r="AH809"/>
      <c r="AI809"/>
      <c r="AJ809"/>
      <c r="AK809"/>
      <c r="AL809"/>
      <c r="AM809"/>
      <c r="AS809"/>
      <c r="BB809" s="1"/>
      <c r="BC809" s="60"/>
    </row>
    <row r="810" spans="1:56" x14ac:dyDescent="0.35">
      <c r="E810" s="1"/>
      <c r="X810" s="31"/>
      <c r="Y810"/>
      <c r="Z810"/>
      <c r="AA810"/>
      <c r="AB810"/>
      <c r="AC810"/>
      <c r="AD810"/>
      <c r="AE810"/>
      <c r="AF810"/>
      <c r="AG810"/>
      <c r="AH810"/>
      <c r="AI810"/>
      <c r="AJ810"/>
      <c r="AK810"/>
      <c r="AL810"/>
      <c r="AM810"/>
      <c r="AS810"/>
      <c r="BB810" s="1"/>
      <c r="BC810" s="60"/>
    </row>
    <row r="811" spans="1:56" x14ac:dyDescent="0.35">
      <c r="E811" s="1"/>
      <c r="X811" s="31"/>
      <c r="Y811"/>
      <c r="Z811"/>
      <c r="AA811"/>
      <c r="AB811"/>
      <c r="AC811"/>
      <c r="AD811"/>
      <c r="AE811"/>
      <c r="AF811"/>
      <c r="AG811"/>
      <c r="AH811"/>
      <c r="AI811"/>
      <c r="AJ811"/>
      <c r="AK811"/>
      <c r="AL811"/>
      <c r="AM811"/>
      <c r="AS811"/>
      <c r="BB811" s="1"/>
      <c r="BC811" s="60"/>
    </row>
    <row r="812" spans="1:56" x14ac:dyDescent="0.35">
      <c r="E812" s="1"/>
      <c r="X812" s="31"/>
      <c r="Y812"/>
      <c r="Z812"/>
      <c r="AA812"/>
      <c r="AB812"/>
      <c r="AC812"/>
      <c r="AD812"/>
      <c r="AE812"/>
      <c r="AF812"/>
      <c r="AG812"/>
      <c r="AH812"/>
      <c r="AI812"/>
      <c r="AJ812"/>
      <c r="AK812"/>
      <c r="AL812"/>
      <c r="AM812"/>
      <c r="AS812"/>
      <c r="BB812" s="1"/>
      <c r="BC812" s="60"/>
      <c r="BD812" s="62"/>
    </row>
    <row r="813" spans="1:56" x14ac:dyDescent="0.35">
      <c r="E813" s="1"/>
      <c r="X813" s="31"/>
      <c r="Y813"/>
      <c r="Z813"/>
      <c r="AA813"/>
      <c r="AB813"/>
      <c r="AC813"/>
      <c r="AD813"/>
      <c r="AE813"/>
      <c r="AF813"/>
      <c r="AG813"/>
      <c r="AH813"/>
      <c r="AI813"/>
      <c r="AJ813"/>
      <c r="AK813"/>
      <c r="AL813"/>
      <c r="AM813"/>
      <c r="AS813"/>
      <c r="BB813" s="1"/>
      <c r="BC813" s="60"/>
    </row>
    <row r="814" spans="1:56" x14ac:dyDescent="0.35">
      <c r="E814" s="1"/>
      <c r="X814" s="31"/>
      <c r="Y814"/>
      <c r="Z814"/>
      <c r="AA814"/>
      <c r="AB814"/>
      <c r="AC814"/>
      <c r="AD814"/>
      <c r="AE814"/>
      <c r="AF814"/>
      <c r="AG814"/>
      <c r="AH814"/>
      <c r="AI814"/>
      <c r="AJ814"/>
      <c r="AK814"/>
      <c r="AL814"/>
      <c r="AM814"/>
      <c r="AS814"/>
      <c r="BB814" s="1"/>
      <c r="BC814" s="60"/>
    </row>
    <row r="815" spans="1:56" x14ac:dyDescent="0.35">
      <c r="E815" s="1"/>
      <c r="X815" s="31"/>
      <c r="Y815"/>
      <c r="Z815"/>
      <c r="AA815"/>
      <c r="AB815"/>
      <c r="AC815"/>
      <c r="AD815"/>
      <c r="AE815"/>
      <c r="AF815"/>
      <c r="AG815"/>
      <c r="AH815"/>
      <c r="AI815"/>
      <c r="AJ815"/>
      <c r="AK815"/>
      <c r="AL815"/>
      <c r="AM815"/>
      <c r="AS815"/>
      <c r="BB815" s="1"/>
      <c r="BC815" s="60"/>
      <c r="BD815" s="62"/>
    </row>
    <row r="816" spans="1:56" x14ac:dyDescent="0.35">
      <c r="E816" s="1"/>
      <c r="X816" s="31"/>
      <c r="Y816"/>
      <c r="Z816"/>
      <c r="AA816"/>
      <c r="AB816"/>
      <c r="AC816"/>
      <c r="AD816"/>
      <c r="AE816"/>
      <c r="AF816"/>
      <c r="AG816"/>
      <c r="AH816"/>
      <c r="AI816"/>
      <c r="AJ816"/>
      <c r="AK816"/>
      <c r="AL816"/>
      <c r="AM816"/>
      <c r="AS816"/>
      <c r="BB816" s="1"/>
      <c r="BC816" s="60"/>
      <c r="BD816" s="62"/>
    </row>
    <row r="817" spans="1:56" x14ac:dyDescent="0.35">
      <c r="E817" s="1"/>
      <c r="X817" s="31"/>
      <c r="Y817"/>
      <c r="Z817"/>
      <c r="AA817"/>
      <c r="AB817"/>
      <c r="AC817"/>
      <c r="AD817"/>
      <c r="AE817"/>
      <c r="AF817"/>
      <c r="AG817"/>
      <c r="AH817"/>
      <c r="AI817"/>
      <c r="AJ817"/>
      <c r="AK817"/>
      <c r="AL817"/>
      <c r="AM817"/>
      <c r="AS817"/>
      <c r="BB817" s="1"/>
      <c r="BC817" s="60"/>
    </row>
    <row r="818" spans="1:56" x14ac:dyDescent="0.35">
      <c r="E818" s="1"/>
      <c r="X818" s="31"/>
      <c r="Y818"/>
      <c r="Z818"/>
      <c r="AA818"/>
      <c r="AB818"/>
      <c r="AC818"/>
      <c r="AD818"/>
      <c r="AE818"/>
      <c r="AF818"/>
      <c r="AG818"/>
      <c r="AH818"/>
      <c r="AI818"/>
      <c r="AJ818"/>
      <c r="AK818"/>
      <c r="AL818"/>
      <c r="AM818"/>
      <c r="AS818"/>
      <c r="BB818" s="1"/>
      <c r="BC818" s="60"/>
      <c r="BD818" s="62"/>
    </row>
    <row r="819" spans="1:56" x14ac:dyDescent="0.35">
      <c r="E819" s="1"/>
      <c r="X819" s="31"/>
      <c r="Y819"/>
      <c r="Z819"/>
      <c r="AA819"/>
      <c r="AB819"/>
      <c r="AC819"/>
      <c r="AD819"/>
      <c r="AE819"/>
      <c r="AF819"/>
      <c r="AG819"/>
      <c r="AH819"/>
      <c r="AI819"/>
      <c r="AJ819"/>
      <c r="AK819"/>
      <c r="AL819"/>
      <c r="AM819"/>
      <c r="AS819"/>
      <c r="BB819" s="1"/>
      <c r="BC819" s="60"/>
    </row>
    <row r="820" spans="1:56" x14ac:dyDescent="0.35">
      <c r="E820" s="1"/>
      <c r="X820" s="31"/>
      <c r="Y820"/>
      <c r="Z820"/>
      <c r="AA820"/>
      <c r="AB820"/>
      <c r="AC820"/>
      <c r="AD820"/>
      <c r="AE820"/>
      <c r="AF820"/>
      <c r="AG820"/>
      <c r="AH820"/>
      <c r="AI820"/>
      <c r="AJ820"/>
      <c r="AK820"/>
      <c r="AL820"/>
      <c r="AM820"/>
      <c r="AS820"/>
      <c r="BB820" s="1"/>
      <c r="BC820" s="60"/>
    </row>
    <row r="821" spans="1:56" x14ac:dyDescent="0.35">
      <c r="E821" s="1"/>
      <c r="X821" s="31"/>
      <c r="Y821"/>
      <c r="Z821"/>
      <c r="AA821"/>
      <c r="AB821"/>
      <c r="AC821"/>
      <c r="AD821"/>
      <c r="AE821"/>
      <c r="AF821"/>
      <c r="AG821"/>
      <c r="AH821"/>
      <c r="AI821"/>
      <c r="AJ821"/>
      <c r="AK821"/>
      <c r="AL821"/>
      <c r="AM821"/>
      <c r="AS821"/>
      <c r="BB821" s="1"/>
      <c r="BC821" s="60"/>
      <c r="BD821" s="62"/>
    </row>
    <row r="822" spans="1:56" x14ac:dyDescent="0.35">
      <c r="E822" s="1"/>
      <c r="X822" s="31"/>
      <c r="Y822"/>
      <c r="Z822"/>
      <c r="AA822"/>
      <c r="AB822"/>
      <c r="AC822"/>
      <c r="AD822"/>
      <c r="AE822"/>
      <c r="AF822"/>
      <c r="AG822"/>
      <c r="AH822"/>
      <c r="AI822"/>
      <c r="AJ822"/>
      <c r="AK822"/>
      <c r="AL822"/>
      <c r="AM822"/>
      <c r="AS822"/>
      <c r="BB822" s="1"/>
      <c r="BC822" s="60"/>
    </row>
    <row r="823" spans="1:56" x14ac:dyDescent="0.35">
      <c r="A823" s="2"/>
      <c r="E823" s="1"/>
      <c r="X823" s="31"/>
      <c r="Y823"/>
      <c r="Z823"/>
      <c r="AA823"/>
      <c r="AB823"/>
      <c r="AC823"/>
      <c r="AD823"/>
      <c r="AE823"/>
      <c r="AF823"/>
      <c r="AG823"/>
      <c r="AH823"/>
      <c r="AI823"/>
      <c r="AJ823"/>
      <c r="AK823"/>
      <c r="AL823"/>
      <c r="AM823"/>
      <c r="AS823"/>
      <c r="BB823" s="1"/>
      <c r="BC823" s="60"/>
    </row>
    <row r="824" spans="1:56" x14ac:dyDescent="0.35">
      <c r="E824" s="1"/>
      <c r="X824" s="31"/>
      <c r="Y824"/>
      <c r="Z824"/>
      <c r="AA824"/>
      <c r="AB824"/>
      <c r="AC824"/>
      <c r="AD824"/>
      <c r="AE824"/>
      <c r="AF824"/>
      <c r="AG824"/>
      <c r="AH824"/>
      <c r="AI824"/>
      <c r="AJ824"/>
      <c r="AK824"/>
      <c r="AL824"/>
      <c r="AM824"/>
      <c r="AS824"/>
      <c r="BB824" s="1"/>
      <c r="BC824" s="60"/>
      <c r="BD824" s="62"/>
    </row>
    <row r="825" spans="1:56" x14ac:dyDescent="0.35">
      <c r="E825" s="1"/>
      <c r="X825" s="31"/>
      <c r="Y825"/>
      <c r="Z825"/>
      <c r="AA825"/>
      <c r="AB825"/>
      <c r="AC825"/>
      <c r="AD825"/>
      <c r="AE825"/>
      <c r="AF825"/>
      <c r="AG825"/>
      <c r="AH825"/>
      <c r="AI825"/>
      <c r="AJ825"/>
      <c r="AK825"/>
      <c r="AL825"/>
      <c r="AM825"/>
      <c r="AS825"/>
      <c r="BB825" s="1"/>
      <c r="BC825" s="60"/>
    </row>
    <row r="826" spans="1:56" x14ac:dyDescent="0.35">
      <c r="E826" s="1"/>
      <c r="X826" s="31"/>
      <c r="Y826"/>
      <c r="Z826"/>
      <c r="AA826"/>
      <c r="AB826"/>
      <c r="AC826"/>
      <c r="AD826"/>
      <c r="AE826"/>
      <c r="AF826"/>
      <c r="AG826"/>
      <c r="AH826"/>
      <c r="AI826"/>
      <c r="AJ826"/>
      <c r="AK826"/>
      <c r="AL826"/>
      <c r="AM826"/>
      <c r="AS826"/>
      <c r="BB826" s="1"/>
      <c r="BC826" s="60"/>
    </row>
    <row r="827" spans="1:56" x14ac:dyDescent="0.35">
      <c r="E827" s="1"/>
      <c r="X827" s="31"/>
      <c r="Y827"/>
      <c r="Z827"/>
      <c r="AA827"/>
      <c r="AB827"/>
      <c r="AC827"/>
      <c r="AD827"/>
      <c r="AE827"/>
      <c r="AF827"/>
      <c r="AG827"/>
      <c r="AH827"/>
      <c r="AI827"/>
      <c r="AJ827"/>
      <c r="AK827"/>
      <c r="AL827"/>
      <c r="AM827"/>
      <c r="AS827"/>
      <c r="BB827" s="1"/>
      <c r="BC827" s="60"/>
      <c r="BD827" s="62"/>
    </row>
    <row r="828" spans="1:56" x14ac:dyDescent="0.35">
      <c r="E828" s="1"/>
      <c r="X828" s="31"/>
      <c r="Y828"/>
      <c r="Z828"/>
      <c r="AA828"/>
      <c r="AB828"/>
      <c r="AC828"/>
      <c r="AD828"/>
      <c r="AE828"/>
      <c r="AF828"/>
      <c r="AG828"/>
      <c r="AH828"/>
      <c r="AI828"/>
      <c r="AJ828"/>
      <c r="AK828"/>
      <c r="AL828"/>
      <c r="AM828"/>
      <c r="AS828"/>
      <c r="BB828" s="1"/>
      <c r="BC828" s="60"/>
    </row>
    <row r="829" spans="1:56" x14ac:dyDescent="0.35">
      <c r="E829" s="1"/>
      <c r="X829" s="31"/>
      <c r="Y829"/>
      <c r="Z829"/>
      <c r="AA829"/>
      <c r="AB829"/>
      <c r="AC829"/>
      <c r="AD829"/>
      <c r="AE829"/>
      <c r="AF829"/>
      <c r="AG829"/>
      <c r="AH829"/>
      <c r="AI829"/>
      <c r="AJ829"/>
      <c r="AK829"/>
      <c r="AL829"/>
      <c r="AM829"/>
      <c r="AS829"/>
      <c r="BB829" s="1"/>
      <c r="BC829" s="60"/>
      <c r="BD829" s="62"/>
    </row>
    <row r="830" spans="1:56" x14ac:dyDescent="0.35">
      <c r="E830" s="1"/>
      <c r="X830" s="31"/>
      <c r="Y830"/>
      <c r="Z830"/>
      <c r="AA830"/>
      <c r="AB830"/>
      <c r="AC830"/>
      <c r="AD830"/>
      <c r="AE830"/>
      <c r="AF830"/>
      <c r="AG830"/>
      <c r="AH830"/>
      <c r="AI830"/>
      <c r="AJ830"/>
      <c r="AK830"/>
      <c r="AL830"/>
      <c r="AM830"/>
      <c r="AS830"/>
      <c r="BB830" s="1"/>
      <c r="BC830" s="60"/>
    </row>
    <row r="831" spans="1:56" x14ac:dyDescent="0.35">
      <c r="E831" s="1"/>
      <c r="X831" s="31"/>
      <c r="Y831"/>
      <c r="Z831"/>
      <c r="AA831"/>
      <c r="AB831"/>
      <c r="AC831"/>
      <c r="AD831"/>
      <c r="AE831"/>
      <c r="AF831"/>
      <c r="AG831"/>
      <c r="AH831"/>
      <c r="AI831"/>
      <c r="AJ831"/>
      <c r="AK831"/>
      <c r="AL831"/>
      <c r="AM831"/>
      <c r="AS831"/>
      <c r="BB831" s="1"/>
      <c r="BC831" s="60"/>
      <c r="BD831" s="62"/>
    </row>
    <row r="832" spans="1:56" x14ac:dyDescent="0.35">
      <c r="E832" s="1"/>
      <c r="X832" s="31"/>
      <c r="Y832"/>
      <c r="Z832"/>
      <c r="AA832"/>
      <c r="AB832"/>
      <c r="AC832"/>
      <c r="AD832"/>
      <c r="AE832"/>
      <c r="AF832"/>
      <c r="AG832"/>
      <c r="AH832"/>
      <c r="AI832"/>
      <c r="AJ832"/>
      <c r="AK832"/>
      <c r="AL832"/>
      <c r="AM832"/>
      <c r="AS832"/>
      <c r="BB832" s="1"/>
      <c r="BC832" s="60"/>
    </row>
    <row r="833" spans="1:56" x14ac:dyDescent="0.35">
      <c r="E833" s="1"/>
      <c r="X833" s="31"/>
      <c r="Y833"/>
      <c r="Z833"/>
      <c r="AA833"/>
      <c r="AB833"/>
      <c r="AC833"/>
      <c r="AD833"/>
      <c r="AE833"/>
      <c r="AF833"/>
      <c r="AG833"/>
      <c r="AH833"/>
      <c r="AI833"/>
      <c r="AJ833"/>
      <c r="AK833"/>
      <c r="AL833"/>
      <c r="AM833"/>
      <c r="AS833"/>
      <c r="BB833" s="1"/>
      <c r="BC833" s="60"/>
    </row>
    <row r="834" spans="1:56" x14ac:dyDescent="0.35">
      <c r="E834" s="1"/>
      <c r="X834" s="31"/>
      <c r="Y834"/>
      <c r="Z834"/>
      <c r="AA834"/>
      <c r="AB834"/>
      <c r="AC834"/>
      <c r="AD834"/>
      <c r="AE834"/>
      <c r="AF834"/>
      <c r="AG834"/>
      <c r="AH834"/>
      <c r="AI834"/>
      <c r="AJ834"/>
      <c r="AK834"/>
      <c r="AL834"/>
      <c r="AM834"/>
      <c r="AS834"/>
      <c r="BB834" s="1"/>
      <c r="BC834" s="60"/>
    </row>
    <row r="835" spans="1:56" x14ac:dyDescent="0.35">
      <c r="E835" s="1"/>
      <c r="X835" s="31"/>
      <c r="Y835"/>
      <c r="Z835"/>
      <c r="AA835"/>
      <c r="AB835"/>
      <c r="AC835"/>
      <c r="AD835"/>
      <c r="AE835"/>
      <c r="AF835"/>
      <c r="AG835"/>
      <c r="AH835"/>
      <c r="AI835"/>
      <c r="AJ835"/>
      <c r="AK835"/>
      <c r="AL835"/>
      <c r="AM835"/>
      <c r="AS835"/>
      <c r="BB835" s="1"/>
      <c r="BC835" s="60"/>
    </row>
    <row r="836" spans="1:56" x14ac:dyDescent="0.35">
      <c r="E836" s="1"/>
      <c r="X836" s="31"/>
      <c r="Y836"/>
      <c r="Z836"/>
      <c r="AA836"/>
      <c r="AB836"/>
      <c r="AC836"/>
      <c r="AD836"/>
      <c r="AE836"/>
      <c r="AF836"/>
      <c r="AG836"/>
      <c r="AH836"/>
      <c r="AI836"/>
      <c r="AJ836"/>
      <c r="AK836"/>
      <c r="AL836"/>
      <c r="AM836"/>
      <c r="AS836"/>
      <c r="BB836" s="1"/>
      <c r="BC836" s="60"/>
    </row>
    <row r="837" spans="1:56" x14ac:dyDescent="0.35">
      <c r="E837" s="1"/>
      <c r="X837" s="31"/>
      <c r="Y837"/>
      <c r="Z837"/>
      <c r="AA837"/>
      <c r="AB837"/>
      <c r="AC837"/>
      <c r="AD837"/>
      <c r="AE837"/>
      <c r="AF837"/>
      <c r="AG837"/>
      <c r="AH837"/>
      <c r="AI837"/>
      <c r="AJ837"/>
      <c r="AK837"/>
      <c r="AL837"/>
      <c r="AM837"/>
      <c r="AS837"/>
      <c r="BB837" s="1"/>
      <c r="BC837" s="60"/>
      <c r="BD837" s="62"/>
    </row>
    <row r="838" spans="1:56" x14ac:dyDescent="0.35">
      <c r="E838" s="1"/>
      <c r="X838" s="31"/>
      <c r="Y838"/>
      <c r="Z838"/>
      <c r="AA838"/>
      <c r="AB838"/>
      <c r="AC838"/>
      <c r="AD838"/>
      <c r="AE838"/>
      <c r="AF838"/>
      <c r="AG838"/>
      <c r="AH838"/>
      <c r="AI838"/>
      <c r="AJ838"/>
      <c r="AK838"/>
      <c r="AL838"/>
      <c r="AM838"/>
      <c r="AS838"/>
      <c r="BB838" s="1"/>
      <c r="BC838" s="60"/>
    </row>
    <row r="839" spans="1:56" x14ac:dyDescent="0.35">
      <c r="E839" s="1"/>
      <c r="X839" s="31"/>
      <c r="Y839"/>
      <c r="Z839"/>
      <c r="AA839"/>
      <c r="AB839"/>
      <c r="AC839"/>
      <c r="AD839"/>
      <c r="AE839"/>
      <c r="AF839"/>
      <c r="AG839"/>
      <c r="AH839"/>
      <c r="AI839"/>
      <c r="AJ839"/>
      <c r="AK839"/>
      <c r="AL839"/>
      <c r="AM839"/>
      <c r="AS839"/>
      <c r="BB839" s="1"/>
      <c r="BC839" s="60"/>
    </row>
    <row r="840" spans="1:56" x14ac:dyDescent="0.35">
      <c r="E840" s="1"/>
      <c r="X840" s="31"/>
      <c r="Y840"/>
      <c r="Z840"/>
      <c r="AA840"/>
      <c r="AB840"/>
      <c r="AC840"/>
      <c r="AD840"/>
      <c r="AE840"/>
      <c r="AF840"/>
      <c r="AG840"/>
      <c r="AH840"/>
      <c r="AI840"/>
      <c r="AJ840"/>
      <c r="AK840"/>
      <c r="AL840"/>
      <c r="AM840"/>
      <c r="AS840"/>
      <c r="BB840" s="1"/>
      <c r="BC840" s="60"/>
    </row>
    <row r="841" spans="1:56" x14ac:dyDescent="0.35">
      <c r="E841" s="1"/>
      <c r="X841" s="31"/>
      <c r="Y841"/>
      <c r="Z841"/>
      <c r="AA841"/>
      <c r="AB841"/>
      <c r="AC841"/>
      <c r="AD841"/>
      <c r="AE841"/>
      <c r="AF841"/>
      <c r="AG841"/>
      <c r="AH841"/>
      <c r="AI841"/>
      <c r="AJ841"/>
      <c r="AK841"/>
      <c r="AL841"/>
      <c r="AM841"/>
      <c r="AS841"/>
      <c r="BB841" s="1"/>
      <c r="BC841" s="60"/>
      <c r="BD841" s="62"/>
    </row>
    <row r="842" spans="1:56" x14ac:dyDescent="0.35">
      <c r="E842" s="1"/>
      <c r="X842" s="31"/>
      <c r="Y842"/>
      <c r="Z842"/>
      <c r="AA842"/>
      <c r="AB842"/>
      <c r="AC842"/>
      <c r="AD842"/>
      <c r="AE842"/>
      <c r="AF842"/>
      <c r="AG842"/>
      <c r="AH842"/>
      <c r="AI842"/>
      <c r="AJ842"/>
      <c r="AK842"/>
      <c r="AL842"/>
      <c r="AM842"/>
      <c r="AS842"/>
      <c r="BB842" s="1"/>
      <c r="BC842" s="60"/>
    </row>
    <row r="843" spans="1:56" x14ac:dyDescent="0.35">
      <c r="E843" s="1"/>
      <c r="X843" s="31"/>
      <c r="Y843"/>
      <c r="Z843"/>
      <c r="AA843"/>
      <c r="AB843"/>
      <c r="AC843"/>
      <c r="AD843"/>
      <c r="AE843"/>
      <c r="AF843"/>
      <c r="AG843"/>
      <c r="AH843"/>
      <c r="AI843"/>
      <c r="AJ843"/>
      <c r="AK843"/>
      <c r="AL843"/>
      <c r="AM843"/>
      <c r="AS843"/>
      <c r="BB843" s="1"/>
      <c r="BC843" s="60"/>
    </row>
    <row r="844" spans="1:56" x14ac:dyDescent="0.35">
      <c r="E844" s="1"/>
      <c r="X844" s="31"/>
      <c r="Y844"/>
      <c r="Z844"/>
      <c r="AA844"/>
      <c r="AB844"/>
      <c r="AC844"/>
      <c r="AD844"/>
      <c r="AE844"/>
      <c r="AF844"/>
      <c r="AG844"/>
      <c r="AH844"/>
      <c r="AI844"/>
      <c r="AJ844"/>
      <c r="AK844"/>
      <c r="AL844"/>
      <c r="AM844"/>
      <c r="AS844"/>
      <c r="BB844" s="1"/>
      <c r="BC844" s="60"/>
    </row>
    <row r="845" spans="1:56" x14ac:dyDescent="0.35">
      <c r="E845" s="1"/>
      <c r="X845" s="31"/>
      <c r="Y845"/>
      <c r="Z845"/>
      <c r="AA845"/>
      <c r="AB845"/>
      <c r="AC845"/>
      <c r="AD845"/>
      <c r="AE845"/>
      <c r="AF845"/>
      <c r="AG845"/>
      <c r="AH845"/>
      <c r="AI845"/>
      <c r="AJ845"/>
      <c r="AK845"/>
      <c r="AL845"/>
      <c r="AM845"/>
      <c r="AS845"/>
      <c r="BB845" s="1"/>
      <c r="BC845" s="60"/>
    </row>
    <row r="846" spans="1:56" x14ac:dyDescent="0.35">
      <c r="E846" s="1"/>
      <c r="X846" s="31"/>
      <c r="Y846"/>
      <c r="Z846"/>
      <c r="AA846"/>
      <c r="AB846"/>
      <c r="AC846"/>
      <c r="AD846"/>
      <c r="AE846"/>
      <c r="AF846"/>
      <c r="AG846"/>
      <c r="AH846"/>
      <c r="AI846"/>
      <c r="AJ846"/>
      <c r="AK846"/>
      <c r="AL846"/>
      <c r="AM846"/>
      <c r="AS846"/>
      <c r="BB846" s="1"/>
      <c r="BC846" s="60"/>
    </row>
    <row r="847" spans="1:56" x14ac:dyDescent="0.35">
      <c r="E847" s="1"/>
      <c r="X847" s="31"/>
      <c r="Y847"/>
      <c r="Z847"/>
      <c r="AA847"/>
      <c r="AB847"/>
      <c r="AC847"/>
      <c r="AD847"/>
      <c r="AE847"/>
      <c r="AF847"/>
      <c r="AG847"/>
      <c r="AH847"/>
      <c r="AI847"/>
      <c r="AJ847"/>
      <c r="AK847"/>
      <c r="AL847"/>
      <c r="AM847"/>
      <c r="AS847"/>
      <c r="BB847" s="1"/>
      <c r="BC847" s="60"/>
    </row>
    <row r="848" spans="1:56" x14ac:dyDescent="0.35">
      <c r="A848" s="2"/>
      <c r="E848" s="1"/>
      <c r="X848" s="31"/>
      <c r="Y848"/>
      <c r="Z848"/>
      <c r="AA848"/>
      <c r="AB848"/>
      <c r="AC848"/>
      <c r="AD848"/>
      <c r="AE848"/>
      <c r="AF848"/>
      <c r="AG848"/>
      <c r="AH848"/>
      <c r="AI848"/>
      <c r="AJ848"/>
      <c r="AK848"/>
      <c r="AL848"/>
      <c r="AM848"/>
      <c r="AS848"/>
      <c r="BB848" s="1"/>
      <c r="BC848" s="60"/>
    </row>
    <row r="849" spans="1:56" x14ac:dyDescent="0.35">
      <c r="E849" s="1"/>
      <c r="X849" s="31"/>
      <c r="Y849"/>
      <c r="Z849"/>
      <c r="AA849"/>
      <c r="AB849"/>
      <c r="AC849"/>
      <c r="AD849"/>
      <c r="AE849"/>
      <c r="AF849"/>
      <c r="AG849"/>
      <c r="AH849"/>
      <c r="AI849"/>
      <c r="AJ849"/>
      <c r="AK849"/>
      <c r="AL849"/>
      <c r="AM849"/>
      <c r="AS849"/>
      <c r="BB849" s="1"/>
      <c r="BC849" s="60"/>
    </row>
    <row r="850" spans="1:56" x14ac:dyDescent="0.35">
      <c r="E850" s="1"/>
      <c r="X850" s="31"/>
      <c r="Y850"/>
      <c r="Z850"/>
      <c r="AA850"/>
      <c r="AB850"/>
      <c r="AC850"/>
      <c r="AD850"/>
      <c r="AE850"/>
      <c r="AF850"/>
      <c r="AG850"/>
      <c r="AH850"/>
      <c r="AI850"/>
      <c r="AJ850"/>
      <c r="AK850"/>
      <c r="AL850"/>
      <c r="AM850"/>
      <c r="AS850"/>
      <c r="BB850" s="1"/>
      <c r="BC850" s="60"/>
    </row>
    <row r="851" spans="1:56" x14ac:dyDescent="0.35">
      <c r="E851" s="1"/>
      <c r="X851" s="31"/>
      <c r="Y851"/>
      <c r="Z851"/>
      <c r="AA851"/>
      <c r="AB851"/>
      <c r="AC851"/>
      <c r="AD851"/>
      <c r="AE851"/>
      <c r="AF851"/>
      <c r="AG851"/>
      <c r="AH851"/>
      <c r="AI851"/>
      <c r="AJ851"/>
      <c r="AK851"/>
      <c r="AL851"/>
      <c r="AM851"/>
      <c r="AS851"/>
      <c r="BB851" s="1"/>
      <c r="BC851" s="60"/>
    </row>
    <row r="852" spans="1:56" x14ac:dyDescent="0.35">
      <c r="E852" s="1"/>
      <c r="X852" s="31"/>
      <c r="Y852"/>
      <c r="Z852"/>
      <c r="AA852"/>
      <c r="AB852"/>
      <c r="AC852"/>
      <c r="AD852"/>
      <c r="AE852"/>
      <c r="AF852"/>
      <c r="AG852"/>
      <c r="AH852"/>
      <c r="AI852"/>
      <c r="AJ852"/>
      <c r="AK852"/>
      <c r="AL852"/>
      <c r="AM852"/>
      <c r="AS852"/>
      <c r="BB852" s="1"/>
      <c r="BC852" s="60"/>
    </row>
    <row r="853" spans="1:56" x14ac:dyDescent="0.35">
      <c r="E853" s="1"/>
      <c r="X853" s="31"/>
      <c r="Y853"/>
      <c r="Z853"/>
      <c r="AA853"/>
      <c r="AB853"/>
      <c r="AC853"/>
      <c r="AD853"/>
      <c r="AE853"/>
      <c r="AF853"/>
      <c r="AG853"/>
      <c r="AH853"/>
      <c r="AI853"/>
      <c r="AJ853"/>
      <c r="AK853"/>
      <c r="AL853"/>
      <c r="AM853"/>
      <c r="AS853"/>
      <c r="BB853" s="1"/>
      <c r="BC853" s="60"/>
    </row>
    <row r="854" spans="1:56" x14ac:dyDescent="0.35">
      <c r="E854" s="1"/>
      <c r="X854" s="31"/>
      <c r="Y854"/>
      <c r="Z854"/>
      <c r="AA854"/>
      <c r="AB854"/>
      <c r="AC854"/>
      <c r="AD854"/>
      <c r="AE854"/>
      <c r="AF854"/>
      <c r="AG854"/>
      <c r="AH854"/>
      <c r="AI854"/>
      <c r="AJ854"/>
      <c r="AK854"/>
      <c r="AL854"/>
      <c r="AM854"/>
      <c r="AS854"/>
      <c r="BB854" s="1"/>
      <c r="BC854" s="60"/>
      <c r="BD854" s="62"/>
    </row>
    <row r="855" spans="1:56" x14ac:dyDescent="0.35">
      <c r="E855" s="1"/>
      <c r="X855" s="31"/>
      <c r="Y855"/>
      <c r="Z855"/>
      <c r="AA855"/>
      <c r="AB855"/>
      <c r="AC855"/>
      <c r="AD855"/>
      <c r="AE855"/>
      <c r="AF855"/>
      <c r="AG855"/>
      <c r="AH855"/>
      <c r="AI855"/>
      <c r="AJ855"/>
      <c r="AK855"/>
      <c r="AL855"/>
      <c r="AM855"/>
      <c r="AS855"/>
      <c r="BB855" s="1"/>
      <c r="BC855" s="60"/>
    </row>
    <row r="856" spans="1:56" x14ac:dyDescent="0.35">
      <c r="E856" s="1"/>
      <c r="X856" s="31"/>
      <c r="Y856"/>
      <c r="Z856"/>
      <c r="AA856"/>
      <c r="AB856"/>
      <c r="AC856"/>
      <c r="AD856"/>
      <c r="AE856"/>
      <c r="AF856"/>
      <c r="AG856"/>
      <c r="AH856"/>
      <c r="AI856"/>
      <c r="AJ856"/>
      <c r="AK856"/>
      <c r="AL856"/>
      <c r="AM856"/>
      <c r="AS856"/>
      <c r="BB856" s="1"/>
      <c r="BC856" s="60"/>
    </row>
    <row r="857" spans="1:56" x14ac:dyDescent="0.35">
      <c r="E857" s="1"/>
      <c r="X857" s="31"/>
      <c r="Y857"/>
      <c r="Z857"/>
      <c r="AA857"/>
      <c r="AB857"/>
      <c r="AC857"/>
      <c r="AD857"/>
      <c r="AE857"/>
      <c r="AF857"/>
      <c r="AG857"/>
      <c r="AH857"/>
      <c r="AI857"/>
      <c r="AJ857"/>
      <c r="AK857"/>
      <c r="AL857"/>
      <c r="AM857"/>
      <c r="AS857"/>
      <c r="BB857" s="1"/>
      <c r="BC857" s="60"/>
    </row>
    <row r="858" spans="1:56" x14ac:dyDescent="0.35">
      <c r="E858" s="1"/>
      <c r="X858" s="31"/>
      <c r="Y858"/>
      <c r="Z858"/>
      <c r="AA858"/>
      <c r="AB858"/>
      <c r="AC858"/>
      <c r="AD858"/>
      <c r="AE858"/>
      <c r="AF858"/>
      <c r="AG858"/>
      <c r="AH858"/>
      <c r="AI858"/>
      <c r="AJ858"/>
      <c r="AK858"/>
      <c r="AL858"/>
      <c r="AM858"/>
      <c r="AS858"/>
      <c r="BB858" s="1"/>
      <c r="BC858" s="60"/>
    </row>
    <row r="859" spans="1:56" x14ac:dyDescent="0.35">
      <c r="E859" s="1"/>
      <c r="X859" s="31"/>
      <c r="Y859"/>
      <c r="Z859"/>
      <c r="AA859"/>
      <c r="AB859"/>
      <c r="AC859"/>
      <c r="AD859"/>
      <c r="AE859"/>
      <c r="AF859"/>
      <c r="AG859"/>
      <c r="AH859"/>
      <c r="AI859"/>
      <c r="AJ859"/>
      <c r="AK859"/>
      <c r="AL859"/>
      <c r="AM859"/>
      <c r="AS859"/>
      <c r="BB859" s="1"/>
      <c r="BC859" s="60"/>
    </row>
    <row r="860" spans="1:56" x14ac:dyDescent="0.35">
      <c r="E860" s="1"/>
      <c r="X860" s="31"/>
      <c r="Y860"/>
      <c r="Z860"/>
      <c r="AA860"/>
      <c r="AB860"/>
      <c r="AC860"/>
      <c r="AD860"/>
      <c r="AE860"/>
      <c r="AF860"/>
      <c r="AG860"/>
      <c r="AH860"/>
      <c r="AI860"/>
      <c r="AJ860"/>
      <c r="AK860"/>
      <c r="AL860"/>
      <c r="AM860"/>
      <c r="AS860"/>
      <c r="BB860" s="1"/>
      <c r="BC860" s="60"/>
    </row>
    <row r="861" spans="1:56" x14ac:dyDescent="0.35">
      <c r="E861" s="1"/>
      <c r="X861" s="31"/>
      <c r="Y861"/>
      <c r="Z861"/>
      <c r="AA861"/>
      <c r="AB861"/>
      <c r="AC861"/>
      <c r="AD861"/>
      <c r="AE861"/>
      <c r="AF861"/>
      <c r="AG861"/>
      <c r="AH861"/>
      <c r="AI861"/>
      <c r="AJ861"/>
      <c r="AK861"/>
      <c r="AL861"/>
      <c r="AM861"/>
      <c r="AS861"/>
      <c r="BB861" s="1"/>
      <c r="BC861" s="60"/>
    </row>
    <row r="862" spans="1:56" x14ac:dyDescent="0.35">
      <c r="E862" s="1"/>
      <c r="X862" s="31"/>
      <c r="Y862"/>
      <c r="Z862"/>
      <c r="AA862"/>
      <c r="AB862"/>
      <c r="AC862"/>
      <c r="AD862"/>
      <c r="AE862"/>
      <c r="AF862"/>
      <c r="AG862"/>
      <c r="AH862"/>
      <c r="AI862"/>
      <c r="AJ862"/>
      <c r="AK862"/>
      <c r="AL862"/>
      <c r="AM862"/>
      <c r="AS862"/>
      <c r="BB862" s="1"/>
      <c r="BC862" s="60"/>
    </row>
    <row r="863" spans="1:56" x14ac:dyDescent="0.35">
      <c r="A863" s="2"/>
      <c r="E863" s="1"/>
      <c r="X863" s="31"/>
      <c r="Y863"/>
      <c r="Z863"/>
      <c r="AA863"/>
      <c r="AB863"/>
      <c r="AC863"/>
      <c r="AD863"/>
      <c r="AE863"/>
      <c r="AF863"/>
      <c r="AG863"/>
      <c r="AH863"/>
      <c r="AI863"/>
      <c r="AJ863"/>
      <c r="AK863"/>
      <c r="AL863"/>
      <c r="AM863"/>
      <c r="AS863"/>
      <c r="BB863" s="1"/>
      <c r="BC863" s="60"/>
    </row>
    <row r="864" spans="1:56" x14ac:dyDescent="0.35">
      <c r="E864" s="1"/>
      <c r="X864" s="31"/>
      <c r="Y864"/>
      <c r="Z864"/>
      <c r="AA864"/>
      <c r="AB864"/>
      <c r="AC864"/>
      <c r="AD864"/>
      <c r="AE864"/>
      <c r="AF864"/>
      <c r="AG864"/>
      <c r="AH864"/>
      <c r="AI864"/>
      <c r="AJ864"/>
      <c r="AK864"/>
      <c r="AL864"/>
      <c r="AM864"/>
      <c r="AS864"/>
      <c r="BB864" s="1"/>
      <c r="BC864" s="60"/>
    </row>
    <row r="865" spans="1:55" x14ac:dyDescent="0.35">
      <c r="E865" s="1"/>
      <c r="X865" s="31"/>
      <c r="Y865"/>
      <c r="Z865"/>
      <c r="AA865"/>
      <c r="AB865"/>
      <c r="AC865"/>
      <c r="AD865"/>
      <c r="AE865"/>
      <c r="AF865"/>
      <c r="AG865"/>
      <c r="AH865"/>
      <c r="AI865"/>
      <c r="AJ865"/>
      <c r="AK865"/>
      <c r="AL865"/>
      <c r="AM865"/>
      <c r="AS865"/>
      <c r="BB865" s="1"/>
      <c r="BC865" s="60"/>
    </row>
    <row r="866" spans="1:55" x14ac:dyDescent="0.35">
      <c r="E866" s="1"/>
      <c r="X866" s="31"/>
      <c r="Y866"/>
      <c r="Z866"/>
      <c r="AA866"/>
      <c r="AB866"/>
      <c r="AC866"/>
      <c r="AD866"/>
      <c r="AE866"/>
      <c r="AF866"/>
      <c r="AG866"/>
      <c r="AH866"/>
      <c r="AI866"/>
      <c r="AJ866"/>
      <c r="AK866"/>
      <c r="AL866"/>
      <c r="AM866"/>
      <c r="AS866"/>
      <c r="BB866" s="1"/>
      <c r="BC866" s="60"/>
    </row>
    <row r="867" spans="1:55" x14ac:dyDescent="0.35">
      <c r="E867" s="1"/>
      <c r="X867" s="31"/>
      <c r="Y867"/>
      <c r="Z867"/>
      <c r="AA867"/>
      <c r="AB867"/>
      <c r="AC867"/>
      <c r="AD867"/>
      <c r="AE867"/>
      <c r="AF867"/>
      <c r="AG867"/>
      <c r="AH867"/>
      <c r="AI867"/>
      <c r="AJ867"/>
      <c r="AK867"/>
      <c r="AL867"/>
      <c r="AM867"/>
      <c r="AS867"/>
      <c r="BB867" s="1"/>
      <c r="BC867" s="60"/>
    </row>
    <row r="868" spans="1:55" x14ac:dyDescent="0.35">
      <c r="E868" s="1"/>
      <c r="X868" s="31"/>
      <c r="Y868"/>
      <c r="Z868"/>
      <c r="AA868"/>
      <c r="AB868"/>
      <c r="AC868"/>
      <c r="AD868"/>
      <c r="AE868"/>
      <c r="AF868"/>
      <c r="AG868"/>
      <c r="AH868"/>
      <c r="AI868"/>
      <c r="AJ868"/>
      <c r="AK868"/>
      <c r="AL868"/>
      <c r="AM868"/>
      <c r="AS868"/>
      <c r="BB868" s="1"/>
      <c r="BC868" s="60"/>
    </row>
    <row r="869" spans="1:55" x14ac:dyDescent="0.35">
      <c r="E869" s="1"/>
      <c r="X869" s="31"/>
      <c r="Y869"/>
      <c r="Z869"/>
      <c r="AA869"/>
      <c r="AB869"/>
      <c r="AC869"/>
      <c r="AD869"/>
      <c r="AE869"/>
      <c r="AF869"/>
      <c r="AG869"/>
      <c r="AH869"/>
      <c r="AI869"/>
      <c r="AJ869"/>
      <c r="AK869"/>
      <c r="AL869"/>
      <c r="AM869"/>
      <c r="AS869"/>
      <c r="BB869" s="1"/>
      <c r="BC869" s="60"/>
    </row>
    <row r="870" spans="1:55" x14ac:dyDescent="0.35">
      <c r="A870" s="2"/>
      <c r="E870" s="1"/>
      <c r="X870" s="31"/>
      <c r="Y870"/>
      <c r="Z870"/>
      <c r="AA870"/>
      <c r="AB870"/>
      <c r="AC870"/>
      <c r="AD870"/>
      <c r="AE870"/>
      <c r="AF870"/>
      <c r="AG870"/>
      <c r="AH870"/>
      <c r="AI870"/>
      <c r="AJ870"/>
      <c r="AK870"/>
      <c r="AL870"/>
      <c r="AM870"/>
      <c r="AS870"/>
      <c r="BB870" s="1"/>
      <c r="BC870" s="60"/>
    </row>
    <row r="871" spans="1:55" x14ac:dyDescent="0.35">
      <c r="E871" s="1"/>
      <c r="X871" s="31"/>
      <c r="Y871"/>
      <c r="Z871"/>
      <c r="AA871"/>
      <c r="AB871"/>
      <c r="AC871"/>
      <c r="AD871"/>
      <c r="AE871"/>
      <c r="AF871"/>
      <c r="AG871"/>
      <c r="AH871"/>
      <c r="AI871"/>
      <c r="AJ871"/>
      <c r="AK871"/>
      <c r="AL871"/>
      <c r="AM871"/>
      <c r="AS871"/>
      <c r="BB871" s="1"/>
      <c r="BC871" s="60"/>
    </row>
    <row r="872" spans="1:55" x14ac:dyDescent="0.35">
      <c r="E872" s="1"/>
      <c r="X872" s="31"/>
      <c r="Y872"/>
      <c r="Z872"/>
      <c r="AA872"/>
      <c r="AB872"/>
      <c r="AC872"/>
      <c r="AD872"/>
      <c r="AE872"/>
      <c r="AF872"/>
      <c r="AG872"/>
      <c r="AH872"/>
      <c r="AI872"/>
      <c r="AJ872"/>
      <c r="AK872"/>
      <c r="AL872"/>
      <c r="AM872"/>
      <c r="AS872"/>
      <c r="BB872" s="1"/>
      <c r="BC872" s="60"/>
    </row>
    <row r="873" spans="1:55" x14ac:dyDescent="0.35">
      <c r="E873" s="1"/>
      <c r="X873" s="31"/>
      <c r="Y873"/>
      <c r="Z873"/>
      <c r="AA873"/>
      <c r="AB873"/>
      <c r="AC873"/>
      <c r="AD873"/>
      <c r="AE873"/>
      <c r="AF873"/>
      <c r="AG873"/>
      <c r="AH873"/>
      <c r="AI873"/>
      <c r="AJ873"/>
      <c r="AK873"/>
      <c r="AL873"/>
      <c r="AM873"/>
      <c r="AS873"/>
      <c r="BB873" s="1"/>
      <c r="BC873" s="60"/>
    </row>
    <row r="874" spans="1:55" x14ac:dyDescent="0.35">
      <c r="E874" s="1"/>
      <c r="X874" s="31"/>
      <c r="Y874"/>
      <c r="Z874"/>
      <c r="AA874"/>
      <c r="AB874"/>
      <c r="AC874"/>
      <c r="AD874"/>
      <c r="AE874"/>
      <c r="AF874"/>
      <c r="AG874"/>
      <c r="AH874"/>
      <c r="AI874"/>
      <c r="AJ874"/>
      <c r="AK874"/>
      <c r="AL874"/>
      <c r="AM874"/>
      <c r="AS874"/>
      <c r="BB874" s="1"/>
      <c r="BC874" s="60"/>
    </row>
    <row r="875" spans="1:55" x14ac:dyDescent="0.35">
      <c r="E875" s="1"/>
      <c r="X875" s="31"/>
      <c r="Y875"/>
      <c r="Z875"/>
      <c r="AA875"/>
      <c r="AB875"/>
      <c r="AC875"/>
      <c r="AD875"/>
      <c r="AE875"/>
      <c r="AF875"/>
      <c r="AG875"/>
      <c r="AH875"/>
      <c r="AI875"/>
      <c r="AJ875"/>
      <c r="AK875"/>
      <c r="AL875"/>
      <c r="AM875"/>
      <c r="AS875"/>
      <c r="BB875" s="1"/>
      <c r="BC875" s="60"/>
    </row>
    <row r="876" spans="1:55" x14ac:dyDescent="0.35">
      <c r="E876" s="1"/>
      <c r="X876" s="31"/>
      <c r="Y876"/>
      <c r="Z876"/>
      <c r="AA876"/>
      <c r="AB876"/>
      <c r="AC876"/>
      <c r="AD876"/>
      <c r="AE876"/>
      <c r="AF876"/>
      <c r="AG876"/>
      <c r="AH876"/>
      <c r="AI876"/>
      <c r="AJ876"/>
      <c r="AK876"/>
      <c r="AL876"/>
      <c r="AM876"/>
      <c r="AS876"/>
      <c r="BB876" s="1"/>
      <c r="BC876" s="60"/>
    </row>
    <row r="877" spans="1:55" x14ac:dyDescent="0.35">
      <c r="E877" s="1"/>
      <c r="X877" s="31"/>
      <c r="Y877"/>
      <c r="Z877"/>
      <c r="AA877"/>
      <c r="AB877"/>
      <c r="AC877"/>
      <c r="AD877"/>
      <c r="AE877"/>
      <c r="AF877"/>
      <c r="AG877"/>
      <c r="AH877"/>
      <c r="AI877"/>
      <c r="AJ877"/>
      <c r="AK877"/>
      <c r="AL877"/>
      <c r="AM877"/>
      <c r="AS877"/>
      <c r="BB877" s="1"/>
      <c r="BC877" s="60"/>
    </row>
    <row r="878" spans="1:55" x14ac:dyDescent="0.35">
      <c r="E878" s="1"/>
      <c r="X878" s="31"/>
      <c r="Y878"/>
      <c r="Z878"/>
      <c r="AA878"/>
      <c r="AB878"/>
      <c r="AC878"/>
      <c r="AD878"/>
      <c r="AE878"/>
      <c r="AF878"/>
      <c r="AG878"/>
      <c r="AH878"/>
      <c r="AI878"/>
      <c r="AJ878"/>
      <c r="AK878"/>
      <c r="AL878"/>
      <c r="AM878"/>
      <c r="AS878"/>
      <c r="BB878" s="1"/>
      <c r="BC878" s="60"/>
    </row>
    <row r="879" spans="1:55" x14ac:dyDescent="0.35">
      <c r="E879" s="1"/>
      <c r="X879" s="31"/>
      <c r="Y879"/>
      <c r="Z879"/>
      <c r="AA879"/>
      <c r="AB879"/>
      <c r="AC879"/>
      <c r="AD879"/>
      <c r="AE879"/>
      <c r="AF879"/>
      <c r="AG879"/>
      <c r="AH879"/>
      <c r="AI879"/>
      <c r="AJ879"/>
      <c r="AK879"/>
      <c r="AL879"/>
      <c r="AM879"/>
      <c r="AS879"/>
      <c r="BB879" s="1"/>
      <c r="BC879" s="60"/>
    </row>
    <row r="880" spans="1:55" x14ac:dyDescent="0.35">
      <c r="E880" s="1"/>
      <c r="X880" s="31"/>
      <c r="Y880"/>
      <c r="Z880"/>
      <c r="AA880"/>
      <c r="AB880"/>
      <c r="AC880"/>
      <c r="AD880"/>
      <c r="AE880"/>
      <c r="AF880"/>
      <c r="AG880"/>
      <c r="AH880"/>
      <c r="AI880"/>
      <c r="AJ880"/>
      <c r="AK880"/>
      <c r="AL880"/>
      <c r="AM880"/>
      <c r="AS880"/>
      <c r="BB880" s="1"/>
      <c r="BC880" s="60"/>
    </row>
    <row r="881" spans="5:56" x14ac:dyDescent="0.35">
      <c r="E881" s="1"/>
      <c r="X881" s="31"/>
      <c r="Y881"/>
      <c r="Z881"/>
      <c r="AA881"/>
      <c r="AB881"/>
      <c r="AC881"/>
      <c r="AD881"/>
      <c r="AE881"/>
      <c r="AF881"/>
      <c r="AG881"/>
      <c r="AH881"/>
      <c r="AI881"/>
      <c r="AJ881"/>
      <c r="AK881"/>
      <c r="AL881"/>
      <c r="AM881"/>
      <c r="AS881"/>
      <c r="BB881" s="1"/>
      <c r="BC881" s="60"/>
    </row>
    <row r="882" spans="5:56" x14ac:dyDescent="0.35">
      <c r="E882" s="1"/>
      <c r="X882" s="31"/>
      <c r="Y882"/>
      <c r="Z882"/>
      <c r="AA882"/>
      <c r="AB882"/>
      <c r="AC882"/>
      <c r="AD882"/>
      <c r="AE882"/>
      <c r="AF882"/>
      <c r="AG882"/>
      <c r="AH882"/>
      <c r="AI882"/>
      <c r="AJ882"/>
      <c r="AK882"/>
      <c r="AL882"/>
      <c r="AM882"/>
      <c r="AS882"/>
      <c r="BB882" s="1"/>
      <c r="BC882" s="60"/>
    </row>
    <row r="883" spans="5:56" x14ac:dyDescent="0.35">
      <c r="E883" s="1"/>
      <c r="X883" s="31"/>
      <c r="Y883"/>
      <c r="Z883"/>
      <c r="AA883"/>
      <c r="AB883"/>
      <c r="AC883"/>
      <c r="AD883"/>
      <c r="AE883"/>
      <c r="AF883"/>
      <c r="AG883"/>
      <c r="AH883"/>
      <c r="AI883"/>
      <c r="AJ883"/>
      <c r="AK883"/>
      <c r="AL883"/>
      <c r="AM883"/>
      <c r="AS883"/>
      <c r="BB883" s="1"/>
      <c r="BC883" s="60"/>
    </row>
    <row r="884" spans="5:56" x14ac:dyDescent="0.35">
      <c r="E884" s="1"/>
      <c r="X884" s="31"/>
      <c r="Y884"/>
      <c r="Z884"/>
      <c r="AA884"/>
      <c r="AB884"/>
      <c r="AC884"/>
      <c r="AD884"/>
      <c r="AE884"/>
      <c r="AF884"/>
      <c r="AG884"/>
      <c r="AH884"/>
      <c r="AI884"/>
      <c r="AJ884"/>
      <c r="AK884"/>
      <c r="AL884"/>
      <c r="AM884"/>
      <c r="AS884"/>
      <c r="BB884" s="1"/>
      <c r="BC884" s="60"/>
    </row>
    <row r="885" spans="5:56" x14ac:dyDescent="0.35">
      <c r="E885" s="1"/>
      <c r="X885" s="31"/>
      <c r="Y885"/>
      <c r="Z885"/>
      <c r="AA885"/>
      <c r="AB885"/>
      <c r="AC885"/>
      <c r="AD885"/>
      <c r="AE885"/>
      <c r="AF885"/>
      <c r="AG885"/>
      <c r="AH885"/>
      <c r="AI885"/>
      <c r="AJ885"/>
      <c r="AK885"/>
      <c r="AL885"/>
      <c r="AM885"/>
      <c r="AS885"/>
      <c r="BB885" s="1"/>
      <c r="BC885" s="60"/>
    </row>
    <row r="886" spans="5:56" x14ac:dyDescent="0.35">
      <c r="E886" s="1"/>
      <c r="X886" s="31"/>
      <c r="Y886"/>
      <c r="Z886"/>
      <c r="AA886"/>
      <c r="AB886"/>
      <c r="AC886"/>
      <c r="AD886"/>
      <c r="AE886"/>
      <c r="AF886"/>
      <c r="AG886"/>
      <c r="AH886"/>
      <c r="AI886"/>
      <c r="AJ886"/>
      <c r="AK886"/>
      <c r="AL886"/>
      <c r="AM886"/>
      <c r="AS886"/>
      <c r="BB886" s="1"/>
      <c r="BC886" s="60"/>
    </row>
    <row r="887" spans="5:56" x14ac:dyDescent="0.35">
      <c r="E887" s="1"/>
      <c r="X887" s="31"/>
      <c r="Y887"/>
      <c r="Z887"/>
      <c r="AA887"/>
      <c r="AB887"/>
      <c r="AC887"/>
      <c r="AD887"/>
      <c r="AE887"/>
      <c r="AF887"/>
      <c r="AG887"/>
      <c r="AH887"/>
      <c r="AI887"/>
      <c r="AJ887"/>
      <c r="AK887"/>
      <c r="AL887"/>
      <c r="AM887"/>
      <c r="AS887"/>
      <c r="BB887" s="1"/>
      <c r="BC887" s="60"/>
      <c r="BD887" s="62"/>
    </row>
    <row r="888" spans="5:56" x14ac:dyDescent="0.35">
      <c r="E888" s="1"/>
      <c r="X888" s="31"/>
      <c r="Y888"/>
      <c r="Z888"/>
      <c r="AA888"/>
      <c r="AB888"/>
      <c r="AC888"/>
      <c r="AD888"/>
      <c r="AE888"/>
      <c r="AF888"/>
      <c r="AG888"/>
      <c r="AH888"/>
      <c r="AI888"/>
      <c r="AJ888"/>
      <c r="AK888"/>
      <c r="AL888"/>
      <c r="AM888"/>
      <c r="AS888"/>
      <c r="BB888" s="1"/>
      <c r="BC888" s="60"/>
    </row>
    <row r="889" spans="5:56" x14ac:dyDescent="0.35">
      <c r="E889" s="1"/>
      <c r="X889" s="31"/>
      <c r="Y889"/>
      <c r="Z889"/>
      <c r="AA889"/>
      <c r="AB889"/>
      <c r="AC889"/>
      <c r="AD889"/>
      <c r="AE889"/>
      <c r="AF889"/>
      <c r="AG889"/>
      <c r="AH889"/>
      <c r="AI889"/>
      <c r="AJ889"/>
      <c r="AK889"/>
      <c r="AL889"/>
      <c r="AM889"/>
      <c r="AS889"/>
      <c r="BB889" s="1"/>
      <c r="BC889" s="60"/>
    </row>
    <row r="890" spans="5:56" x14ac:dyDescent="0.35">
      <c r="E890" s="1"/>
      <c r="X890" s="31"/>
      <c r="Y890"/>
      <c r="Z890"/>
      <c r="AA890"/>
      <c r="AB890"/>
      <c r="AC890"/>
      <c r="AD890"/>
      <c r="AE890"/>
      <c r="AF890"/>
      <c r="AG890"/>
      <c r="AH890"/>
      <c r="AI890"/>
      <c r="AJ890"/>
      <c r="AK890"/>
      <c r="AL890"/>
      <c r="AM890"/>
      <c r="AS890"/>
      <c r="BB890" s="1"/>
      <c r="BC890" s="60"/>
    </row>
    <row r="891" spans="5:56" x14ac:dyDescent="0.35">
      <c r="E891" s="1"/>
      <c r="X891" s="31"/>
      <c r="Y891"/>
      <c r="Z891"/>
      <c r="AA891"/>
      <c r="AB891"/>
      <c r="AC891"/>
      <c r="AD891"/>
      <c r="AE891"/>
      <c r="AF891"/>
      <c r="AG891"/>
      <c r="AH891"/>
      <c r="AI891"/>
      <c r="AJ891"/>
      <c r="AK891"/>
      <c r="AL891"/>
      <c r="AM891"/>
      <c r="AS891"/>
      <c r="BB891" s="1"/>
      <c r="BC891" s="60"/>
      <c r="BD891" s="62"/>
    </row>
    <row r="892" spans="5:56" x14ac:dyDescent="0.35">
      <c r="E892" s="1"/>
      <c r="X892" s="31"/>
      <c r="Y892"/>
      <c r="Z892"/>
      <c r="AA892"/>
      <c r="AB892"/>
      <c r="AC892"/>
      <c r="AD892"/>
      <c r="AE892"/>
      <c r="AF892"/>
      <c r="AG892"/>
      <c r="AH892"/>
      <c r="AI892"/>
      <c r="AJ892"/>
      <c r="AK892"/>
      <c r="AL892"/>
      <c r="AM892"/>
      <c r="AS892"/>
      <c r="BB892" s="1"/>
      <c r="BC892" s="60"/>
    </row>
    <row r="893" spans="5:56" x14ac:dyDescent="0.35">
      <c r="E893" s="1"/>
      <c r="X893" s="31"/>
      <c r="Y893"/>
      <c r="Z893"/>
      <c r="AA893"/>
      <c r="AB893"/>
      <c r="AC893"/>
      <c r="AD893"/>
      <c r="AE893"/>
      <c r="AF893"/>
      <c r="AG893"/>
      <c r="AH893"/>
      <c r="AI893"/>
      <c r="AJ893"/>
      <c r="AK893"/>
      <c r="AL893"/>
      <c r="AM893"/>
      <c r="AS893"/>
      <c r="BB893" s="1"/>
      <c r="BC893" s="60"/>
    </row>
    <row r="894" spans="5:56" x14ac:dyDescent="0.35">
      <c r="E894" s="1"/>
      <c r="X894" s="31"/>
      <c r="Y894"/>
      <c r="Z894"/>
      <c r="AA894"/>
      <c r="AB894"/>
      <c r="AC894"/>
      <c r="AD894"/>
      <c r="AE894"/>
      <c r="AF894"/>
      <c r="AG894"/>
      <c r="AH894"/>
      <c r="AI894"/>
      <c r="AJ894"/>
      <c r="AK894"/>
      <c r="AL894"/>
      <c r="AM894"/>
      <c r="AS894"/>
      <c r="BB894" s="1"/>
      <c r="BC894" s="60"/>
    </row>
    <row r="895" spans="5:56" x14ac:dyDescent="0.35">
      <c r="E895" s="1"/>
      <c r="X895" s="31"/>
      <c r="AS895"/>
      <c r="BB895" s="1"/>
      <c r="BC895" s="60"/>
    </row>
    <row r="896" spans="5:56" x14ac:dyDescent="0.35">
      <c r="E896" s="1"/>
      <c r="X896" s="31"/>
      <c r="AS896"/>
      <c r="BB896" s="1"/>
      <c r="BC896" s="60"/>
    </row>
    <row r="897" spans="5:55" x14ac:dyDescent="0.35">
      <c r="E897" s="1"/>
      <c r="X897" s="31"/>
      <c r="AS897"/>
      <c r="BB897" s="1"/>
      <c r="BC897" s="60"/>
    </row>
    <row r="898" spans="5:55" x14ac:dyDescent="0.35">
      <c r="E898" s="1"/>
      <c r="X898" s="31"/>
      <c r="AS898"/>
      <c r="BB898" s="1"/>
      <c r="BC898" s="60"/>
    </row>
    <row r="899" spans="5:55" x14ac:dyDescent="0.35">
      <c r="E899" s="1"/>
      <c r="X899" s="31"/>
      <c r="AS899"/>
      <c r="BB899" s="1"/>
      <c r="BC899" s="60"/>
    </row>
    <row r="900" spans="5:55" x14ac:dyDescent="0.35">
      <c r="E900" s="1"/>
      <c r="X900" s="31"/>
      <c r="AS900"/>
      <c r="BB900" s="1"/>
      <c r="BC900" s="60"/>
    </row>
    <row r="901" spans="5:55" x14ac:dyDescent="0.35">
      <c r="E901" s="1"/>
      <c r="X901" s="31"/>
      <c r="AS901"/>
      <c r="BB901" s="1"/>
      <c r="BC901" s="60"/>
    </row>
    <row r="902" spans="5:55" x14ac:dyDescent="0.35">
      <c r="E902" s="1"/>
      <c r="X902" s="31"/>
      <c r="AS902"/>
      <c r="BB902" s="1"/>
      <c r="BC902" s="60"/>
    </row>
    <row r="903" spans="5:55" x14ac:dyDescent="0.35">
      <c r="E903" s="1"/>
      <c r="X903" s="31"/>
      <c r="AS903"/>
      <c r="BB903" s="1"/>
      <c r="BC903" s="60"/>
    </row>
    <row r="904" spans="5:55" x14ac:dyDescent="0.35">
      <c r="E904" s="1"/>
      <c r="X904" s="31"/>
      <c r="AS904"/>
      <c r="BB904" s="1"/>
      <c r="BC904" s="60"/>
    </row>
    <row r="905" spans="5:55" x14ac:dyDescent="0.35">
      <c r="E905" s="1"/>
      <c r="X905" s="31"/>
      <c r="AS905"/>
      <c r="BB905" s="1"/>
      <c r="BC905" s="60"/>
    </row>
    <row r="906" spans="5:55" x14ac:dyDescent="0.35">
      <c r="E906" s="1"/>
      <c r="X906" s="31"/>
      <c r="AS906"/>
      <c r="BB906" s="1"/>
      <c r="BC906" s="60"/>
    </row>
    <row r="907" spans="5:55" x14ac:dyDescent="0.35">
      <c r="E907" s="1"/>
      <c r="X907" s="31"/>
      <c r="AS907"/>
      <c r="BB907" s="1"/>
      <c r="BC907" s="60"/>
    </row>
    <row r="1107" spans="1:1" x14ac:dyDescent="0.35">
      <c r="A1107" s="2"/>
    </row>
    <row r="1111" spans="1:1" x14ac:dyDescent="0.35">
      <c r="A1111" s="2"/>
    </row>
    <row r="1125" spans="1:1" x14ac:dyDescent="0.35">
      <c r="A1125" s="2"/>
    </row>
    <row r="1152" spans="1:1" x14ac:dyDescent="0.35">
      <c r="A1152" s="2"/>
    </row>
    <row r="1154" spans="1:1" x14ac:dyDescent="0.35">
      <c r="A1154" s="2"/>
    </row>
    <row r="1173" spans="1:1" x14ac:dyDescent="0.35">
      <c r="A1173" s="2"/>
    </row>
    <row r="1186" spans="1:1" x14ac:dyDescent="0.35">
      <c r="A1186" s="2"/>
    </row>
  </sheetData>
  <autoFilter ref="A6:BE907" xr:uid="{00000000-0009-0000-0000-000000000000}"/>
  <conditionalFormatting sqref="C106:C153 C372:C1048576 C3:C6 C180:C268 C272:C302">
    <cfRule type="duplicateValues" dxfId="68" priority="1935"/>
    <cfRule type="duplicateValues" dxfId="67" priority="1936"/>
  </conditionalFormatting>
  <conditionalFormatting sqref="C154:C159">
    <cfRule type="duplicateValues" dxfId="66" priority="27"/>
    <cfRule type="duplicateValues" dxfId="65" priority="28"/>
  </conditionalFormatting>
  <conditionalFormatting sqref="C160:C179">
    <cfRule type="duplicateValues" dxfId="64" priority="1696"/>
    <cfRule type="duplicateValues" dxfId="63" priority="1697"/>
  </conditionalFormatting>
  <conditionalFormatting sqref="C269:C271">
    <cfRule type="duplicateValues" dxfId="62" priority="633"/>
    <cfRule type="duplicateValues" dxfId="61" priority="634"/>
  </conditionalFormatting>
  <conditionalFormatting sqref="C303:C331">
    <cfRule type="duplicateValues" dxfId="60" priority="1479"/>
    <cfRule type="duplicateValues" dxfId="59" priority="1480"/>
  </conditionalFormatting>
  <conditionalFormatting sqref="C332:C339">
    <cfRule type="duplicateValues" dxfId="58" priority="1390"/>
    <cfRule type="duplicateValues" dxfId="57" priority="1391"/>
  </conditionalFormatting>
  <conditionalFormatting sqref="C340:C371">
    <cfRule type="duplicateValues" dxfId="56" priority="1383"/>
    <cfRule type="duplicateValues" dxfId="55" priority="1384"/>
  </conditionalFormatting>
  <conditionalFormatting sqref="D155:D160">
    <cfRule type="duplicateValues" dxfId="54" priority="12"/>
    <cfRule type="duplicateValues" dxfId="53" priority="13"/>
  </conditionalFormatting>
  <conditionalFormatting sqref="D161:D180">
    <cfRule type="duplicateValues" dxfId="52" priority="1710"/>
    <cfRule type="duplicateValues" dxfId="51" priority="1711"/>
  </conditionalFormatting>
  <conditionalFormatting sqref="D270:D272">
    <cfRule type="duplicateValues" dxfId="50" priority="637"/>
    <cfRule type="duplicateValues" dxfId="49" priority="638"/>
  </conditionalFormatting>
  <conditionalFormatting sqref="D304:D332">
    <cfRule type="duplicateValues" dxfId="48" priority="1483"/>
    <cfRule type="duplicateValues" dxfId="47" priority="1484"/>
  </conditionalFormatting>
  <conditionalFormatting sqref="D333:D340">
    <cfRule type="duplicateValues" dxfId="46" priority="1402"/>
    <cfRule type="duplicateValues" dxfId="45" priority="1403"/>
  </conditionalFormatting>
  <conditionalFormatting sqref="D341:D371">
    <cfRule type="duplicateValues" dxfId="44" priority="1387"/>
    <cfRule type="duplicateValues" dxfId="43" priority="1388"/>
  </conditionalFormatting>
  <conditionalFormatting sqref="D372:D440 D107:D154 D181:D269 D273:D303">
    <cfRule type="duplicateValues" dxfId="42" priority="1262"/>
    <cfRule type="duplicateValues" dxfId="41" priority="1263"/>
  </conditionalFormatting>
  <conditionalFormatting sqref="C7:C105">
    <cfRule type="duplicateValues" dxfId="1" priority="1937"/>
  </conditionalFormatting>
  <conditionalFormatting sqref="D7:D106">
    <cfRule type="duplicateValues" dxfId="0" priority="1947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-0.249977111117893"/>
  </sheetPr>
  <dimension ref="B1:AV23"/>
  <sheetViews>
    <sheetView zoomScale="60" zoomScaleNormal="60" workbookViewId="0">
      <selection activeCell="S7" sqref="S7"/>
    </sheetView>
  </sheetViews>
  <sheetFormatPr defaultRowHeight="14.5" x14ac:dyDescent="0.35"/>
  <cols>
    <col min="1" max="1" width="5.6328125" customWidth="1"/>
    <col min="2" max="2" width="27" customWidth="1"/>
    <col min="3" max="3" width="5.36328125" customWidth="1"/>
    <col min="4" max="12" width="7.08984375" customWidth="1"/>
    <col min="13" max="13" width="8.453125" customWidth="1"/>
    <col min="14" max="14" width="7.08984375" customWidth="1"/>
    <col min="15" max="15" width="8.36328125" customWidth="1"/>
    <col min="16" max="18" width="7.08984375" customWidth="1"/>
    <col min="19" max="29" width="6.36328125" customWidth="1"/>
  </cols>
  <sheetData>
    <row r="1" spans="2:48" ht="15" thickBot="1" x14ac:dyDescent="0.4">
      <c r="D1" s="6" t="s">
        <v>26</v>
      </c>
      <c r="E1" s="6" t="s">
        <v>27</v>
      </c>
      <c r="F1" s="6" t="s">
        <v>25</v>
      </c>
      <c r="G1" s="6" t="s">
        <v>28</v>
      </c>
      <c r="H1" s="6" t="s">
        <v>29</v>
      </c>
      <c r="I1" s="6" t="s">
        <v>30</v>
      </c>
      <c r="J1" s="6" t="s">
        <v>32</v>
      </c>
      <c r="K1" s="6" t="s">
        <v>33</v>
      </c>
      <c r="L1" s="6" t="s">
        <v>31</v>
      </c>
      <c r="M1" t="s">
        <v>39</v>
      </c>
      <c r="S1" t="s">
        <v>40</v>
      </c>
      <c r="T1" s="7">
        <v>1</v>
      </c>
      <c r="U1" s="7">
        <v>2</v>
      </c>
      <c r="V1" s="7">
        <v>3</v>
      </c>
      <c r="W1" s="7">
        <v>4</v>
      </c>
      <c r="X1" s="7">
        <v>5</v>
      </c>
      <c r="Y1" s="7">
        <v>6</v>
      </c>
      <c r="Z1" s="7">
        <v>7</v>
      </c>
      <c r="AA1" s="7">
        <v>8</v>
      </c>
      <c r="AB1" s="7">
        <v>9</v>
      </c>
    </row>
    <row r="2" spans="2:48" ht="15" thickBot="1" x14ac:dyDescent="0.4">
      <c r="B2" s="26" t="s">
        <v>56</v>
      </c>
      <c r="C2" s="9">
        <v>1</v>
      </c>
      <c r="D2" s="5">
        <v>80</v>
      </c>
      <c r="E2" s="5">
        <v>100</v>
      </c>
      <c r="F2" s="5">
        <v>50</v>
      </c>
      <c r="G2" s="5">
        <v>45</v>
      </c>
      <c r="H2" s="5">
        <v>0</v>
      </c>
      <c r="I2" s="5"/>
      <c r="M2" s="29">
        <v>0.06</v>
      </c>
      <c r="N2" s="10"/>
      <c r="O2" s="11">
        <f>MIN(D2:G2)*M2</f>
        <v>2.6999999999999997</v>
      </c>
      <c r="Q2" s="10">
        <v>1E-3</v>
      </c>
      <c r="S2" s="7">
        <v>1</v>
      </c>
      <c r="T2" s="12">
        <v>100</v>
      </c>
      <c r="U2">
        <v>0</v>
      </c>
      <c r="V2">
        <v>0</v>
      </c>
      <c r="W2">
        <v>-5</v>
      </c>
      <c r="X2">
        <v>-15</v>
      </c>
      <c r="Y2">
        <v>-50</v>
      </c>
      <c r="Z2">
        <v>-80</v>
      </c>
      <c r="AA2">
        <v>-90</v>
      </c>
      <c r="AB2">
        <v>-100</v>
      </c>
      <c r="AF2" s="34">
        <v>1</v>
      </c>
      <c r="AG2" s="34">
        <v>2</v>
      </c>
      <c r="AH2" s="34">
        <v>3</v>
      </c>
      <c r="AI2" s="34">
        <v>4</v>
      </c>
      <c r="AJ2" s="34">
        <v>5</v>
      </c>
      <c r="AK2" s="34">
        <v>6</v>
      </c>
      <c r="AL2" s="34">
        <v>7</v>
      </c>
      <c r="AM2" s="34">
        <v>8</v>
      </c>
      <c r="AN2" s="34">
        <v>9</v>
      </c>
      <c r="AO2" s="34">
        <v>10</v>
      </c>
      <c r="AP2" s="34">
        <v>11</v>
      </c>
      <c r="AQ2" s="34">
        <v>12</v>
      </c>
      <c r="AR2" s="34">
        <v>13</v>
      </c>
      <c r="AS2" s="34">
        <v>14</v>
      </c>
      <c r="AT2" s="34">
        <v>15</v>
      </c>
      <c r="AU2" s="34">
        <v>16</v>
      </c>
      <c r="AV2" s="34">
        <v>17</v>
      </c>
    </row>
    <row r="3" spans="2:48" ht="15" thickBot="1" x14ac:dyDescent="0.4">
      <c r="B3" s="26" t="s">
        <v>41</v>
      </c>
      <c r="C3" s="9">
        <v>2</v>
      </c>
      <c r="D3" s="5">
        <v>100</v>
      </c>
      <c r="E3" s="5">
        <v>70</v>
      </c>
      <c r="F3" s="5">
        <v>50</v>
      </c>
      <c r="G3" s="5">
        <v>0</v>
      </c>
      <c r="H3" s="5"/>
      <c r="I3" s="5"/>
      <c r="M3" s="29">
        <v>0.06</v>
      </c>
      <c r="N3" s="10"/>
      <c r="O3" s="11">
        <f>MIN(D3:F3)*M3</f>
        <v>3</v>
      </c>
      <c r="Q3" s="13"/>
      <c r="S3" s="7">
        <v>2</v>
      </c>
      <c r="T3">
        <v>100</v>
      </c>
      <c r="U3" s="12">
        <v>100</v>
      </c>
      <c r="V3">
        <v>0</v>
      </c>
      <c r="W3">
        <v>-5</v>
      </c>
      <c r="X3">
        <v>-15</v>
      </c>
      <c r="Y3">
        <v>-40</v>
      </c>
      <c r="Z3">
        <v>-75</v>
      </c>
      <c r="AA3">
        <v>-85</v>
      </c>
      <c r="AB3">
        <v>-100</v>
      </c>
      <c r="AE3" s="6" t="s">
        <v>26</v>
      </c>
      <c r="AF3" s="32">
        <v>80</v>
      </c>
      <c r="AG3" s="32">
        <v>100</v>
      </c>
      <c r="AH3" s="32">
        <v>45</v>
      </c>
      <c r="AI3" s="32">
        <v>0</v>
      </c>
      <c r="AJ3" s="32">
        <v>100</v>
      </c>
      <c r="AK3" s="32">
        <v>100</v>
      </c>
      <c r="AL3" s="32">
        <v>100</v>
      </c>
      <c r="AM3" s="48">
        <v>100</v>
      </c>
      <c r="AN3" s="32">
        <v>100</v>
      </c>
      <c r="AO3" s="48">
        <v>100</v>
      </c>
      <c r="AP3" s="48">
        <v>100</v>
      </c>
      <c r="AQ3" s="32">
        <v>100</v>
      </c>
      <c r="AR3" s="33">
        <v>0</v>
      </c>
      <c r="AS3" s="33">
        <v>0</v>
      </c>
      <c r="AT3" s="33">
        <v>0</v>
      </c>
      <c r="AU3" s="33">
        <v>0</v>
      </c>
      <c r="AV3" s="33">
        <v>0</v>
      </c>
    </row>
    <row r="4" spans="2:48" ht="15" thickBot="1" x14ac:dyDescent="0.4">
      <c r="B4" s="26" t="s">
        <v>57</v>
      </c>
      <c r="C4" s="9">
        <v>3</v>
      </c>
      <c r="D4" s="5">
        <v>45</v>
      </c>
      <c r="E4" s="5">
        <v>100</v>
      </c>
      <c r="F4" s="5">
        <v>0</v>
      </c>
      <c r="G4" s="5">
        <v>15</v>
      </c>
      <c r="H4" s="5"/>
      <c r="I4" s="5"/>
      <c r="M4" s="29">
        <v>0.06</v>
      </c>
      <c r="N4" s="10"/>
      <c r="O4" s="11">
        <f>MIN(G4)*M4</f>
        <v>0.89999999999999991</v>
      </c>
      <c r="Q4" s="13"/>
      <c r="S4" s="7">
        <v>3</v>
      </c>
      <c r="T4">
        <v>100</v>
      </c>
      <c r="U4">
        <v>100</v>
      </c>
      <c r="V4" s="12">
        <v>100</v>
      </c>
      <c r="W4">
        <v>-5</v>
      </c>
      <c r="X4">
        <v>-10</v>
      </c>
      <c r="Y4">
        <v>-35</v>
      </c>
      <c r="Z4">
        <v>-70</v>
      </c>
      <c r="AA4">
        <v>-80</v>
      </c>
      <c r="AB4">
        <v>-100</v>
      </c>
      <c r="AE4" s="6" t="s">
        <v>27</v>
      </c>
      <c r="AF4" s="32">
        <v>100</v>
      </c>
      <c r="AG4" s="32">
        <v>70</v>
      </c>
      <c r="AH4" s="32">
        <v>100</v>
      </c>
      <c r="AI4" s="32">
        <v>35</v>
      </c>
      <c r="AJ4" s="32">
        <v>85</v>
      </c>
      <c r="AK4" s="32">
        <v>40</v>
      </c>
      <c r="AL4" s="32">
        <v>20</v>
      </c>
      <c r="AM4" s="48">
        <v>45</v>
      </c>
      <c r="AN4" s="32">
        <v>40</v>
      </c>
      <c r="AO4" s="48">
        <v>60</v>
      </c>
      <c r="AP4" s="48">
        <v>60</v>
      </c>
      <c r="AQ4" s="32">
        <v>40</v>
      </c>
      <c r="AR4" s="33">
        <v>0</v>
      </c>
      <c r="AS4" s="33">
        <v>0</v>
      </c>
      <c r="AT4" s="33">
        <v>0</v>
      </c>
      <c r="AU4" s="33">
        <v>0</v>
      </c>
      <c r="AV4" s="33">
        <v>0</v>
      </c>
    </row>
    <row r="5" spans="2:48" ht="15" thickBot="1" x14ac:dyDescent="0.4">
      <c r="B5" s="26" t="s">
        <v>58</v>
      </c>
      <c r="C5" s="9">
        <v>4</v>
      </c>
      <c r="D5" s="5">
        <v>0</v>
      </c>
      <c r="E5" s="5">
        <v>35</v>
      </c>
      <c r="F5" s="5">
        <v>70</v>
      </c>
      <c r="G5" s="5">
        <v>100</v>
      </c>
      <c r="H5" s="5"/>
      <c r="I5" s="5"/>
      <c r="M5" s="29">
        <v>0.06</v>
      </c>
      <c r="N5" s="10"/>
      <c r="O5" s="11">
        <f>MIN(E5:L5)*M5</f>
        <v>2.1</v>
      </c>
      <c r="Q5" s="13"/>
      <c r="S5" s="7">
        <v>4</v>
      </c>
      <c r="T5">
        <v>100</v>
      </c>
      <c r="U5">
        <v>100</v>
      </c>
      <c r="V5">
        <v>100</v>
      </c>
      <c r="W5" s="12">
        <v>100</v>
      </c>
      <c r="X5">
        <v>-10</v>
      </c>
      <c r="Y5">
        <v>-30</v>
      </c>
      <c r="Z5">
        <v>-60</v>
      </c>
      <c r="AA5">
        <v>-75</v>
      </c>
      <c r="AB5">
        <v>-100</v>
      </c>
      <c r="AE5" s="6" t="s">
        <v>25</v>
      </c>
      <c r="AF5" s="32">
        <v>50</v>
      </c>
      <c r="AG5" s="32">
        <v>50</v>
      </c>
      <c r="AH5" s="32">
        <v>0</v>
      </c>
      <c r="AI5" s="32">
        <v>70</v>
      </c>
      <c r="AJ5" s="32">
        <v>75</v>
      </c>
      <c r="AK5" s="32">
        <v>30</v>
      </c>
      <c r="AL5" s="32">
        <v>5</v>
      </c>
      <c r="AM5" s="48">
        <v>20</v>
      </c>
      <c r="AN5" s="32">
        <v>0</v>
      </c>
      <c r="AO5" s="48">
        <v>30</v>
      </c>
      <c r="AP5" s="48">
        <v>30</v>
      </c>
      <c r="AQ5" s="32">
        <v>0</v>
      </c>
      <c r="AR5" s="33">
        <v>0</v>
      </c>
      <c r="AS5" s="33">
        <v>0</v>
      </c>
      <c r="AT5" s="33">
        <v>0</v>
      </c>
      <c r="AU5" s="33">
        <v>0</v>
      </c>
      <c r="AV5" s="33">
        <v>0</v>
      </c>
    </row>
    <row r="6" spans="2:48" ht="15" thickBot="1" x14ac:dyDescent="0.4">
      <c r="B6" s="26" t="s">
        <v>59</v>
      </c>
      <c r="C6" s="9">
        <v>5</v>
      </c>
      <c r="D6" s="5">
        <v>100</v>
      </c>
      <c r="E6" s="5">
        <v>85</v>
      </c>
      <c r="F6" s="5">
        <v>75</v>
      </c>
      <c r="G6" s="5">
        <v>40</v>
      </c>
      <c r="H6" s="5">
        <v>25</v>
      </c>
      <c r="I6" s="5">
        <v>0</v>
      </c>
      <c r="M6" s="29">
        <v>0.06</v>
      </c>
      <c r="N6" s="10"/>
      <c r="O6" s="11">
        <f>MIN(D6:H6)*M6</f>
        <v>1.5</v>
      </c>
      <c r="Q6" s="13"/>
      <c r="S6" s="7">
        <v>5</v>
      </c>
      <c r="T6">
        <v>100</v>
      </c>
      <c r="U6">
        <v>100</v>
      </c>
      <c r="V6">
        <v>100</v>
      </c>
      <c r="W6">
        <v>100</v>
      </c>
      <c r="X6" s="12">
        <v>100</v>
      </c>
      <c r="Y6">
        <v>-30</v>
      </c>
      <c r="Z6">
        <v>-55</v>
      </c>
      <c r="AA6">
        <v>-70</v>
      </c>
      <c r="AB6">
        <v>-90</v>
      </c>
      <c r="AE6" s="6" t="s">
        <v>28</v>
      </c>
      <c r="AF6" s="32">
        <v>45</v>
      </c>
      <c r="AG6" s="32">
        <v>0</v>
      </c>
      <c r="AH6" s="32">
        <v>15</v>
      </c>
      <c r="AI6" s="32">
        <v>100</v>
      </c>
      <c r="AJ6" s="32">
        <v>40</v>
      </c>
      <c r="AK6" s="32">
        <v>0</v>
      </c>
      <c r="AL6" s="32">
        <v>0</v>
      </c>
      <c r="AM6" s="48">
        <v>0</v>
      </c>
      <c r="AN6" s="32">
        <v>0</v>
      </c>
      <c r="AO6" s="48">
        <v>0</v>
      </c>
      <c r="AP6" s="48">
        <v>0</v>
      </c>
      <c r="AQ6" s="32">
        <v>0</v>
      </c>
      <c r="AR6" s="33">
        <v>0</v>
      </c>
      <c r="AS6" s="33">
        <v>0</v>
      </c>
      <c r="AT6" s="33">
        <v>0</v>
      </c>
      <c r="AU6" s="33">
        <v>0</v>
      </c>
      <c r="AV6" s="33">
        <v>0</v>
      </c>
    </row>
    <row r="7" spans="2:48" ht="15" thickBot="1" x14ac:dyDescent="0.4">
      <c r="B7" s="26" t="s">
        <v>60</v>
      </c>
      <c r="C7" s="9">
        <v>6</v>
      </c>
      <c r="D7" s="5">
        <v>100</v>
      </c>
      <c r="E7" s="5">
        <v>40</v>
      </c>
      <c r="F7" s="5">
        <v>30</v>
      </c>
      <c r="G7" s="5">
        <v>0</v>
      </c>
      <c r="H7" s="5"/>
      <c r="I7" s="5"/>
      <c r="M7" s="29">
        <v>0.06</v>
      </c>
      <c r="N7" s="10"/>
      <c r="O7" s="11">
        <f>MIN(D7:F7)*M7</f>
        <v>1.7999999999999998</v>
      </c>
      <c r="Q7" s="13"/>
      <c r="S7" s="7">
        <v>6</v>
      </c>
      <c r="T7">
        <v>100</v>
      </c>
      <c r="U7">
        <v>100</v>
      </c>
      <c r="V7">
        <v>100</v>
      </c>
      <c r="W7">
        <v>100</v>
      </c>
      <c r="X7">
        <v>100</v>
      </c>
      <c r="Y7" s="12">
        <v>100</v>
      </c>
      <c r="Z7">
        <v>-40</v>
      </c>
      <c r="AA7">
        <v>-60</v>
      </c>
      <c r="AB7">
        <v>-80</v>
      </c>
      <c r="AE7" s="6" t="s">
        <v>29</v>
      </c>
      <c r="AF7" s="32">
        <v>0</v>
      </c>
      <c r="AG7" s="32">
        <v>0</v>
      </c>
      <c r="AH7" s="32">
        <v>0</v>
      </c>
      <c r="AI7" s="32">
        <v>0</v>
      </c>
      <c r="AJ7" s="32">
        <v>25</v>
      </c>
      <c r="AK7" s="32">
        <v>0</v>
      </c>
      <c r="AL7" s="32">
        <v>0</v>
      </c>
      <c r="AM7" s="32">
        <v>0</v>
      </c>
      <c r="AN7" s="32">
        <v>0</v>
      </c>
      <c r="AO7" s="32">
        <v>0</v>
      </c>
      <c r="AP7" s="32">
        <v>0</v>
      </c>
      <c r="AQ7" s="32">
        <v>0</v>
      </c>
      <c r="AR7" s="33">
        <v>0</v>
      </c>
      <c r="AS7" s="33">
        <v>0</v>
      </c>
      <c r="AT7" s="33">
        <v>0</v>
      </c>
      <c r="AU7" s="33">
        <v>0</v>
      </c>
      <c r="AV7" s="33">
        <v>0</v>
      </c>
    </row>
    <row r="8" spans="2:48" ht="15" thickBot="1" x14ac:dyDescent="0.4">
      <c r="B8" s="26" t="s">
        <v>61</v>
      </c>
      <c r="C8" s="9">
        <v>7</v>
      </c>
      <c r="D8" s="5">
        <v>100</v>
      </c>
      <c r="E8" s="5">
        <v>20</v>
      </c>
      <c r="F8" s="5">
        <v>5</v>
      </c>
      <c r="G8" s="5">
        <v>0</v>
      </c>
      <c r="H8" s="5">
        <v>0</v>
      </c>
      <c r="I8" s="5"/>
      <c r="M8" s="29">
        <v>0.06</v>
      </c>
      <c r="N8" s="10"/>
      <c r="O8" s="11">
        <f>MIN(D8:F8)*M8</f>
        <v>0.3</v>
      </c>
      <c r="Q8" s="13"/>
      <c r="S8" s="7">
        <v>7</v>
      </c>
      <c r="T8">
        <v>100</v>
      </c>
      <c r="U8">
        <v>100</v>
      </c>
      <c r="V8">
        <v>100</v>
      </c>
      <c r="W8">
        <v>100</v>
      </c>
      <c r="X8">
        <v>100</v>
      </c>
      <c r="Y8">
        <v>100</v>
      </c>
      <c r="Z8" s="12">
        <v>100</v>
      </c>
      <c r="AA8">
        <v>-50</v>
      </c>
      <c r="AB8">
        <v>-70</v>
      </c>
      <c r="AE8" s="6" t="s">
        <v>30</v>
      </c>
      <c r="AF8" s="32">
        <v>0</v>
      </c>
      <c r="AG8" s="32">
        <v>0</v>
      </c>
      <c r="AH8" s="32">
        <v>0</v>
      </c>
      <c r="AI8" s="32">
        <v>0</v>
      </c>
      <c r="AJ8" s="32">
        <v>0</v>
      </c>
      <c r="AK8" s="32">
        <v>0</v>
      </c>
      <c r="AL8" s="32">
        <v>0</v>
      </c>
      <c r="AM8" s="32">
        <v>0</v>
      </c>
      <c r="AN8" s="32">
        <v>0</v>
      </c>
      <c r="AO8" s="32">
        <v>0</v>
      </c>
      <c r="AP8" s="32">
        <v>0</v>
      </c>
      <c r="AQ8" s="32">
        <v>0</v>
      </c>
      <c r="AR8" s="33">
        <v>0</v>
      </c>
      <c r="AS8" s="33">
        <v>0</v>
      </c>
      <c r="AT8" s="33">
        <v>0</v>
      </c>
      <c r="AU8" s="33">
        <v>0</v>
      </c>
      <c r="AV8" s="33">
        <v>0</v>
      </c>
    </row>
    <row r="9" spans="2:48" ht="15" thickBot="1" x14ac:dyDescent="0.4">
      <c r="B9" s="26" t="s">
        <v>62</v>
      </c>
      <c r="C9" s="9">
        <v>8</v>
      </c>
      <c r="D9">
        <v>100</v>
      </c>
      <c r="E9">
        <v>45</v>
      </c>
      <c r="F9">
        <v>20</v>
      </c>
      <c r="G9">
        <v>0</v>
      </c>
      <c r="M9" s="29">
        <v>4.8599999999999997E-2</v>
      </c>
      <c r="N9" s="10"/>
      <c r="O9" s="11">
        <f>MIN(D9:F9)*M9</f>
        <v>0.97199999999999998</v>
      </c>
      <c r="S9" s="7">
        <v>8</v>
      </c>
      <c r="T9">
        <v>100</v>
      </c>
      <c r="U9">
        <v>100</v>
      </c>
      <c r="V9">
        <v>100</v>
      </c>
      <c r="W9">
        <v>100</v>
      </c>
      <c r="X9">
        <v>100</v>
      </c>
      <c r="Y9">
        <v>100</v>
      </c>
      <c r="Z9">
        <v>100</v>
      </c>
      <c r="AA9" s="12">
        <v>100</v>
      </c>
      <c r="AB9">
        <v>-60</v>
      </c>
      <c r="AE9" s="6" t="s">
        <v>32</v>
      </c>
      <c r="AF9" s="33">
        <v>0</v>
      </c>
      <c r="AG9" s="33">
        <v>0</v>
      </c>
      <c r="AH9" s="33">
        <v>0</v>
      </c>
      <c r="AI9" s="33">
        <v>0</v>
      </c>
      <c r="AJ9" s="33">
        <v>0</v>
      </c>
      <c r="AK9" s="33">
        <v>0</v>
      </c>
      <c r="AL9" s="33">
        <v>0</v>
      </c>
      <c r="AM9" s="33">
        <v>0</v>
      </c>
      <c r="AN9" s="33">
        <v>0</v>
      </c>
      <c r="AO9" s="33">
        <v>0</v>
      </c>
      <c r="AP9" s="33">
        <v>0</v>
      </c>
      <c r="AQ9" s="33">
        <v>0</v>
      </c>
      <c r="AR9" s="33">
        <v>0</v>
      </c>
      <c r="AS9" s="33">
        <v>0</v>
      </c>
      <c r="AT9" s="33">
        <v>0</v>
      </c>
      <c r="AU9" s="33">
        <v>0</v>
      </c>
      <c r="AV9" s="33">
        <v>0</v>
      </c>
    </row>
    <row r="10" spans="2:48" ht="15" thickBot="1" x14ac:dyDescent="0.4">
      <c r="B10" s="26" t="s">
        <v>63</v>
      </c>
      <c r="C10" s="9">
        <v>9</v>
      </c>
      <c r="D10" s="5">
        <v>100</v>
      </c>
      <c r="E10" s="5">
        <v>40</v>
      </c>
      <c r="F10" s="5">
        <v>0</v>
      </c>
      <c r="M10" s="29">
        <v>4.8800000000000003E-2</v>
      </c>
      <c r="N10" s="10"/>
      <c r="O10" s="11">
        <f>MIN(D10:E10)*M10</f>
        <v>1.9520000000000002</v>
      </c>
      <c r="S10" s="7">
        <v>9</v>
      </c>
      <c r="T10">
        <v>100</v>
      </c>
      <c r="U10">
        <v>100</v>
      </c>
      <c r="V10">
        <v>100</v>
      </c>
      <c r="W10">
        <v>100</v>
      </c>
      <c r="X10">
        <v>100</v>
      </c>
      <c r="Y10">
        <v>100</v>
      </c>
      <c r="Z10">
        <v>100</v>
      </c>
      <c r="AA10">
        <v>100</v>
      </c>
      <c r="AB10" s="12">
        <v>100</v>
      </c>
      <c r="AE10" s="6" t="s">
        <v>33</v>
      </c>
      <c r="AF10" s="33">
        <v>0</v>
      </c>
      <c r="AG10" s="33">
        <v>0</v>
      </c>
      <c r="AH10" s="33">
        <v>0</v>
      </c>
      <c r="AI10" s="33">
        <v>0</v>
      </c>
      <c r="AJ10" s="33">
        <v>0</v>
      </c>
      <c r="AK10" s="33">
        <v>0</v>
      </c>
      <c r="AL10" s="33">
        <v>0</v>
      </c>
      <c r="AM10" s="33">
        <v>0</v>
      </c>
      <c r="AN10" s="33">
        <v>0</v>
      </c>
      <c r="AO10" s="33">
        <v>0</v>
      </c>
      <c r="AP10" s="33">
        <v>0</v>
      </c>
      <c r="AQ10" s="33">
        <v>0</v>
      </c>
      <c r="AR10" s="33">
        <v>0</v>
      </c>
      <c r="AS10" s="33">
        <v>0</v>
      </c>
      <c r="AT10" s="33">
        <v>0</v>
      </c>
      <c r="AU10" s="33">
        <v>0</v>
      </c>
      <c r="AV10" s="33">
        <v>0</v>
      </c>
    </row>
    <row r="11" spans="2:48" ht="15" thickBot="1" x14ac:dyDescent="0.4">
      <c r="B11" s="26" t="s">
        <v>64</v>
      </c>
      <c r="C11" s="9">
        <v>10</v>
      </c>
      <c r="D11">
        <v>100</v>
      </c>
      <c r="E11">
        <v>60</v>
      </c>
      <c r="F11">
        <v>30</v>
      </c>
      <c r="G11">
        <v>0</v>
      </c>
      <c r="M11" s="29">
        <v>4.8800000000000003E-2</v>
      </c>
      <c r="N11" s="10"/>
      <c r="O11" s="11">
        <f>MIN(D11:F11)*M11</f>
        <v>1.4640000000000002</v>
      </c>
      <c r="S11" s="7">
        <v>10</v>
      </c>
      <c r="T11">
        <v>50</v>
      </c>
      <c r="U11">
        <v>50</v>
      </c>
      <c r="V11">
        <v>50</v>
      </c>
      <c r="W11">
        <v>50</v>
      </c>
      <c r="X11">
        <v>50</v>
      </c>
      <c r="Y11">
        <v>40</v>
      </c>
      <c r="Z11">
        <v>35</v>
      </c>
      <c r="AA11">
        <v>30</v>
      </c>
      <c r="AB11">
        <v>25</v>
      </c>
      <c r="AE11" s="6">
        <v>0</v>
      </c>
      <c r="AF11" s="33">
        <v>0</v>
      </c>
      <c r="AG11" s="33">
        <v>0</v>
      </c>
      <c r="AH11" s="33">
        <v>0</v>
      </c>
      <c r="AI11" s="33">
        <v>0</v>
      </c>
      <c r="AJ11" s="33">
        <v>0</v>
      </c>
      <c r="AK11" s="33">
        <v>0</v>
      </c>
      <c r="AL11" s="33">
        <v>0</v>
      </c>
      <c r="AM11" s="33">
        <v>0</v>
      </c>
      <c r="AN11" s="33">
        <v>0</v>
      </c>
      <c r="AO11" s="33">
        <v>0</v>
      </c>
      <c r="AP11" s="33">
        <v>0</v>
      </c>
      <c r="AQ11" s="33">
        <v>0</v>
      </c>
      <c r="AR11" s="33">
        <v>0</v>
      </c>
      <c r="AS11" s="33">
        <v>0</v>
      </c>
      <c r="AT11" s="33">
        <v>0</v>
      </c>
      <c r="AU11" s="33">
        <v>0</v>
      </c>
      <c r="AV11" s="33">
        <v>0</v>
      </c>
    </row>
    <row r="12" spans="2:48" ht="15" thickBot="1" x14ac:dyDescent="0.4">
      <c r="B12" s="26" t="s">
        <v>65</v>
      </c>
      <c r="C12" s="9">
        <v>11</v>
      </c>
      <c r="D12">
        <v>100</v>
      </c>
      <c r="E12">
        <v>60</v>
      </c>
      <c r="F12">
        <v>30</v>
      </c>
      <c r="G12">
        <v>0</v>
      </c>
      <c r="M12" s="29">
        <v>4.8800000000000003E-2</v>
      </c>
      <c r="N12" s="10"/>
      <c r="O12" s="11">
        <f>MIN(D12:F12)*M12</f>
        <v>1.4640000000000002</v>
      </c>
    </row>
    <row r="13" spans="2:48" ht="15" thickBot="1" x14ac:dyDescent="0.4">
      <c r="B13" s="26" t="s">
        <v>66</v>
      </c>
      <c r="C13" s="9">
        <v>12</v>
      </c>
      <c r="D13" s="5">
        <v>100</v>
      </c>
      <c r="E13" s="5">
        <v>40</v>
      </c>
      <c r="F13" s="5">
        <v>0</v>
      </c>
      <c r="M13" s="29">
        <v>4.8800000000000003E-2</v>
      </c>
      <c r="N13" s="10"/>
      <c r="O13" s="11">
        <f>MIN(D13:E13)*M13</f>
        <v>1.9520000000000002</v>
      </c>
    </row>
    <row r="14" spans="2:48" ht="15" thickBot="1" x14ac:dyDescent="0.4">
      <c r="B14" s="27" t="s">
        <v>67</v>
      </c>
      <c r="C14" s="28">
        <v>13</v>
      </c>
      <c r="D14" s="25">
        <v>100</v>
      </c>
      <c r="E14" s="25">
        <v>60</v>
      </c>
      <c r="F14" s="25">
        <v>30</v>
      </c>
      <c r="G14" s="25">
        <v>0</v>
      </c>
      <c r="H14" s="25"/>
      <c r="I14" s="25"/>
      <c r="J14" s="25"/>
      <c r="K14" s="25"/>
      <c r="L14" s="25"/>
      <c r="M14" s="29">
        <v>4.8800000000000003E-2</v>
      </c>
      <c r="N14" s="10"/>
      <c r="O14" s="11">
        <f>MIN(D14:F14)*M14</f>
        <v>1.4640000000000002</v>
      </c>
    </row>
    <row r="15" spans="2:48" ht="15" thickBot="1" x14ac:dyDescent="0.4">
      <c r="B15" s="27" t="s">
        <v>68</v>
      </c>
      <c r="C15" s="28">
        <v>14</v>
      </c>
      <c r="D15" s="25">
        <v>100</v>
      </c>
      <c r="E15" s="25">
        <v>40</v>
      </c>
      <c r="F15" s="25">
        <v>0</v>
      </c>
      <c r="G15" s="25"/>
      <c r="H15" s="25"/>
      <c r="I15" s="25"/>
      <c r="J15" s="25"/>
      <c r="K15" s="25"/>
      <c r="L15" s="25"/>
      <c r="M15" s="29">
        <v>4.8800000000000003E-2</v>
      </c>
      <c r="N15" s="10"/>
      <c r="O15" s="11">
        <f>MIN(D15:E15)*M15</f>
        <v>1.9520000000000002</v>
      </c>
    </row>
    <row r="16" spans="2:48" ht="15" thickBot="1" x14ac:dyDescent="0.4">
      <c r="B16" s="27" t="s">
        <v>69</v>
      </c>
      <c r="C16" s="28">
        <v>15</v>
      </c>
      <c r="D16" s="25">
        <v>100</v>
      </c>
      <c r="E16" s="25">
        <v>0</v>
      </c>
      <c r="F16" s="25"/>
      <c r="G16" s="25"/>
      <c r="H16" s="25"/>
      <c r="I16" s="25"/>
      <c r="J16" s="25"/>
      <c r="K16" s="25"/>
      <c r="L16" s="25"/>
      <c r="M16" s="29">
        <v>4.8800000000000003E-2</v>
      </c>
      <c r="N16" s="10"/>
      <c r="O16" s="11">
        <f>MIN(D16)*M16</f>
        <v>4.88</v>
      </c>
    </row>
    <row r="17" spans="2:31" x14ac:dyDescent="0.35">
      <c r="B17" s="27" t="s">
        <v>70</v>
      </c>
      <c r="C17" s="28">
        <v>16</v>
      </c>
      <c r="D17" s="25">
        <v>100</v>
      </c>
      <c r="E17" s="25">
        <v>60</v>
      </c>
      <c r="F17" s="25">
        <v>30</v>
      </c>
      <c r="G17" s="25">
        <v>0</v>
      </c>
      <c r="H17" s="25"/>
      <c r="I17" s="25"/>
      <c r="J17" s="25"/>
      <c r="K17" s="25"/>
      <c r="L17" s="25"/>
      <c r="M17" s="29">
        <v>4.8800000000000003E-2</v>
      </c>
      <c r="N17" s="10"/>
      <c r="O17" s="11">
        <f>MIN(D17:F17)*M17</f>
        <v>1.4640000000000002</v>
      </c>
    </row>
    <row r="19" spans="2:31" x14ac:dyDescent="0.35">
      <c r="B19" s="8" t="s">
        <v>42</v>
      </c>
      <c r="C19" s="9">
        <v>18</v>
      </c>
      <c r="D19" t="s">
        <v>43</v>
      </c>
      <c r="M19" s="15">
        <v>0.06</v>
      </c>
      <c r="N19" s="10"/>
      <c r="O19" s="11"/>
      <c r="AE19" s="3"/>
    </row>
    <row r="20" spans="2:31" x14ac:dyDescent="0.35">
      <c r="B20" s="14" t="s">
        <v>48</v>
      </c>
      <c r="C20" s="9">
        <v>19</v>
      </c>
      <c r="D20">
        <v>100</v>
      </c>
      <c r="E20">
        <v>0</v>
      </c>
      <c r="M20" s="15">
        <v>0.04</v>
      </c>
      <c r="N20" s="10"/>
      <c r="O20" s="11"/>
      <c r="P20" t="s">
        <v>49</v>
      </c>
      <c r="Q20" t="s">
        <v>50</v>
      </c>
      <c r="AE20" s="3"/>
    </row>
    <row r="21" spans="2:31" x14ac:dyDescent="0.35">
      <c r="B21" s="8" t="s">
        <v>44</v>
      </c>
      <c r="C21" s="9">
        <v>20</v>
      </c>
      <c r="D21">
        <v>80</v>
      </c>
      <c r="E21">
        <v>100</v>
      </c>
      <c r="F21">
        <v>50</v>
      </c>
      <c r="G21">
        <v>0</v>
      </c>
      <c r="M21" s="20">
        <v>4.1000000000000002E-2</v>
      </c>
      <c r="N21" s="10"/>
      <c r="O21" s="11"/>
    </row>
    <row r="22" spans="2:31" x14ac:dyDescent="0.35">
      <c r="B22" s="14"/>
      <c r="C22" s="16"/>
      <c r="M22" s="17"/>
      <c r="O22" s="11"/>
    </row>
    <row r="23" spans="2:31" x14ac:dyDescent="0.35">
      <c r="M23" s="21">
        <f>SUM(M2:M21)</f>
        <v>0.99999999999999967</v>
      </c>
      <c r="O23" s="36">
        <f>SUM(O2:O18)</f>
        <v>29.863999999999997</v>
      </c>
    </row>
  </sheetData>
  <autoFilter ref="C1:N21" xr:uid="{00000000-0009-0000-0000-000001000000}"/>
  <conditionalFormatting sqref="M23">
    <cfRule type="cellIs" dxfId="40" priority="1" operator="lessThan">
      <formula>1</formula>
    </cfRule>
    <cfRule type="cellIs" dxfId="39" priority="2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2177"/>
  <sheetViews>
    <sheetView zoomScale="70" zoomScaleNormal="70" workbookViewId="0">
      <pane ySplit="1" topLeftCell="A2" activePane="bottomLeft" state="frozen"/>
      <selection pane="bottomLeft" activeCell="H2" sqref="H2:H6"/>
    </sheetView>
  </sheetViews>
  <sheetFormatPr defaultRowHeight="14.5" x14ac:dyDescent="0.35"/>
  <cols>
    <col min="1" max="1" width="12.6328125" customWidth="1"/>
    <col min="2" max="2" width="21.36328125" customWidth="1"/>
    <col min="3" max="3" width="12.08984375" style="1" bestFit="1" customWidth="1"/>
    <col min="4" max="4" width="12.90625" customWidth="1"/>
    <col min="5" max="5" width="43.6328125" customWidth="1"/>
    <col min="6" max="6" width="7.90625" customWidth="1"/>
    <col min="7" max="7" width="5.54296875" style="3" customWidth="1"/>
    <col min="8" max="8" width="6.90625" customWidth="1"/>
    <col min="10" max="18" width="4.36328125" customWidth="1"/>
    <col min="19" max="19" width="5.08984375" customWidth="1"/>
  </cols>
  <sheetData>
    <row r="1" spans="1:19" x14ac:dyDescent="0.35">
      <c r="A1" t="s">
        <v>36</v>
      </c>
      <c r="B1" t="s">
        <v>35</v>
      </c>
      <c r="C1" s="1" t="s">
        <v>37</v>
      </c>
      <c r="D1" t="s">
        <v>38</v>
      </c>
      <c r="E1" t="s">
        <v>34</v>
      </c>
      <c r="F1" s="24" t="s">
        <v>45</v>
      </c>
      <c r="G1" s="3" t="s">
        <v>51</v>
      </c>
      <c r="H1" t="s">
        <v>52</v>
      </c>
      <c r="I1" t="s">
        <v>55</v>
      </c>
      <c r="K1" s="7">
        <v>1</v>
      </c>
      <c r="L1" s="7">
        <v>2</v>
      </c>
      <c r="M1" s="7">
        <v>3</v>
      </c>
      <c r="N1" s="7">
        <v>4</v>
      </c>
      <c r="O1" s="7">
        <v>5</v>
      </c>
      <c r="P1" s="7">
        <v>6</v>
      </c>
      <c r="Q1" s="7">
        <v>7</v>
      </c>
      <c r="R1" s="7">
        <v>8</v>
      </c>
      <c r="S1" s="7">
        <v>9</v>
      </c>
    </row>
    <row r="2" spans="1:19" x14ac:dyDescent="0.35">
      <c r="A2">
        <v>111111</v>
      </c>
      <c r="B2" t="s">
        <v>109</v>
      </c>
      <c r="C2" s="1">
        <v>45931</v>
      </c>
      <c r="D2" t="s">
        <v>54</v>
      </c>
      <c r="E2" t="s">
        <v>104</v>
      </c>
      <c r="F2" s="31">
        <v>71.400000000000006</v>
      </c>
      <c r="G2" s="3">
        <f t="shared" ref="G2:G6" ca="1" si="0">COUNTIFS(A:A,A2)</f>
        <v>1</v>
      </c>
      <c r="H2">
        <v>-25</v>
      </c>
      <c r="J2" s="7">
        <v>1</v>
      </c>
      <c r="K2" s="12">
        <v>100</v>
      </c>
      <c r="L2">
        <v>0</v>
      </c>
      <c r="M2">
        <v>0</v>
      </c>
      <c r="N2">
        <v>-5</v>
      </c>
      <c r="O2">
        <v>-15</v>
      </c>
      <c r="P2">
        <v>-50</v>
      </c>
      <c r="Q2">
        <v>-80</v>
      </c>
      <c r="R2">
        <v>-90</v>
      </c>
      <c r="S2">
        <v>-100</v>
      </c>
    </row>
    <row r="3" spans="1:19" x14ac:dyDescent="0.35">
      <c r="A3">
        <v>133333</v>
      </c>
      <c r="B3" t="s">
        <v>110</v>
      </c>
      <c r="C3" s="1">
        <v>45931</v>
      </c>
      <c r="D3" t="s">
        <v>54</v>
      </c>
      <c r="E3" t="s">
        <v>105</v>
      </c>
      <c r="F3" s="31">
        <v>46.7</v>
      </c>
      <c r="G3" s="3">
        <f t="shared" ca="1" si="0"/>
        <v>1</v>
      </c>
      <c r="H3">
        <v>0</v>
      </c>
      <c r="J3" s="7">
        <v>2</v>
      </c>
      <c r="K3">
        <v>100</v>
      </c>
      <c r="L3" s="12">
        <v>100</v>
      </c>
      <c r="M3">
        <v>0</v>
      </c>
      <c r="N3">
        <v>-5</v>
      </c>
      <c r="O3">
        <v>-15</v>
      </c>
      <c r="P3">
        <v>-40</v>
      </c>
      <c r="Q3">
        <v>-75</v>
      </c>
      <c r="R3">
        <v>-85</v>
      </c>
      <c r="S3">
        <v>-100</v>
      </c>
    </row>
    <row r="4" spans="1:19" x14ac:dyDescent="0.35">
      <c r="A4">
        <v>155555</v>
      </c>
      <c r="B4" t="s">
        <v>111</v>
      </c>
      <c r="C4" s="1">
        <v>45839</v>
      </c>
      <c r="D4" t="s">
        <v>54</v>
      </c>
      <c r="E4" t="s">
        <v>106</v>
      </c>
      <c r="F4" s="31">
        <v>55.300000000000004</v>
      </c>
      <c r="G4" s="3">
        <f t="shared" ca="1" si="0"/>
        <v>1</v>
      </c>
      <c r="H4">
        <v>0</v>
      </c>
      <c r="J4" s="7">
        <v>3</v>
      </c>
      <c r="K4">
        <v>100</v>
      </c>
      <c r="L4">
        <v>100</v>
      </c>
      <c r="M4" s="12">
        <v>100</v>
      </c>
      <c r="N4">
        <v>-5</v>
      </c>
      <c r="O4">
        <v>-10</v>
      </c>
      <c r="P4">
        <v>-35</v>
      </c>
      <c r="Q4">
        <v>-70</v>
      </c>
      <c r="R4">
        <v>-80</v>
      </c>
      <c r="S4">
        <v>-100</v>
      </c>
    </row>
    <row r="5" spans="1:19" x14ac:dyDescent="0.35">
      <c r="A5">
        <v>211111</v>
      </c>
      <c r="B5" t="s">
        <v>112</v>
      </c>
      <c r="C5" s="1">
        <v>45748</v>
      </c>
      <c r="D5" t="s">
        <v>54</v>
      </c>
      <c r="E5" t="s">
        <v>107</v>
      </c>
      <c r="F5" s="31">
        <v>62.70000000000001</v>
      </c>
      <c r="G5" s="3">
        <f t="shared" ca="1" si="0"/>
        <v>1</v>
      </c>
      <c r="H5">
        <v>0</v>
      </c>
      <c r="J5" s="7">
        <v>4</v>
      </c>
      <c r="K5">
        <v>100</v>
      </c>
      <c r="L5">
        <v>100</v>
      </c>
      <c r="M5">
        <v>100</v>
      </c>
      <c r="N5" s="12">
        <v>100</v>
      </c>
      <c r="O5">
        <v>-10</v>
      </c>
      <c r="P5">
        <v>-30</v>
      </c>
      <c r="Q5">
        <v>-60</v>
      </c>
      <c r="R5">
        <v>-75</v>
      </c>
      <c r="S5">
        <v>-100</v>
      </c>
    </row>
    <row r="6" spans="1:19" x14ac:dyDescent="0.35">
      <c r="A6">
        <v>255555</v>
      </c>
      <c r="B6" t="s">
        <v>113</v>
      </c>
      <c r="C6" s="1">
        <v>45566</v>
      </c>
      <c r="D6" t="s">
        <v>54</v>
      </c>
      <c r="E6" t="s">
        <v>108</v>
      </c>
      <c r="F6" s="31">
        <v>53.7</v>
      </c>
      <c r="G6" s="3">
        <f t="shared" ca="1" si="0"/>
        <v>1</v>
      </c>
      <c r="H6">
        <v>0</v>
      </c>
      <c r="J6" s="7">
        <v>5</v>
      </c>
      <c r="K6">
        <v>100</v>
      </c>
      <c r="L6">
        <v>100</v>
      </c>
      <c r="M6">
        <v>100</v>
      </c>
      <c r="N6">
        <v>100</v>
      </c>
      <c r="O6" s="12">
        <v>100</v>
      </c>
      <c r="P6">
        <v>-30</v>
      </c>
      <c r="Q6">
        <v>-55</v>
      </c>
      <c r="R6">
        <v>-70</v>
      </c>
      <c r="S6">
        <v>-90</v>
      </c>
    </row>
    <row r="7" spans="1:19" x14ac:dyDescent="0.35">
      <c r="F7" s="31"/>
      <c r="J7" s="7">
        <v>6</v>
      </c>
      <c r="K7">
        <v>100</v>
      </c>
      <c r="L7">
        <v>100</v>
      </c>
      <c r="M7">
        <v>100</v>
      </c>
      <c r="N7">
        <v>100</v>
      </c>
      <c r="O7">
        <v>100</v>
      </c>
      <c r="P7" s="12">
        <v>100</v>
      </c>
      <c r="Q7">
        <v>-40</v>
      </c>
      <c r="R7">
        <v>-60</v>
      </c>
      <c r="S7">
        <v>-80</v>
      </c>
    </row>
    <row r="8" spans="1:19" x14ac:dyDescent="0.35">
      <c r="F8" s="31"/>
      <c r="J8" s="7">
        <v>7</v>
      </c>
      <c r="K8">
        <v>100</v>
      </c>
      <c r="L8">
        <v>100</v>
      </c>
      <c r="M8">
        <v>100</v>
      </c>
      <c r="N8">
        <v>100</v>
      </c>
      <c r="O8">
        <v>100</v>
      </c>
      <c r="P8">
        <v>100</v>
      </c>
      <c r="Q8" s="12">
        <v>100</v>
      </c>
      <c r="R8">
        <v>-50</v>
      </c>
      <c r="S8">
        <v>-70</v>
      </c>
    </row>
    <row r="9" spans="1:19" x14ac:dyDescent="0.35">
      <c r="F9" s="31"/>
      <c r="J9" s="7">
        <v>8</v>
      </c>
      <c r="K9">
        <v>100</v>
      </c>
      <c r="L9">
        <v>100</v>
      </c>
      <c r="M9">
        <v>100</v>
      </c>
      <c r="N9">
        <v>100</v>
      </c>
      <c r="O9">
        <v>100</v>
      </c>
      <c r="P9">
        <v>100</v>
      </c>
      <c r="Q9">
        <v>100</v>
      </c>
      <c r="R9" s="12">
        <v>100</v>
      </c>
      <c r="S9">
        <v>-60</v>
      </c>
    </row>
    <row r="10" spans="1:19" x14ac:dyDescent="0.35">
      <c r="F10" s="31"/>
      <c r="J10" s="7">
        <v>9</v>
      </c>
      <c r="K10">
        <v>100</v>
      </c>
      <c r="L10">
        <v>100</v>
      </c>
      <c r="M10">
        <v>100</v>
      </c>
      <c r="N10">
        <v>100</v>
      </c>
      <c r="O10">
        <v>100</v>
      </c>
      <c r="P10">
        <v>100</v>
      </c>
      <c r="Q10">
        <v>100</v>
      </c>
      <c r="R10">
        <v>100</v>
      </c>
      <c r="S10" s="12">
        <v>100</v>
      </c>
    </row>
    <row r="11" spans="1:19" x14ac:dyDescent="0.35">
      <c r="F11" s="31"/>
      <c r="J11" s="7">
        <v>10</v>
      </c>
      <c r="K11">
        <v>50</v>
      </c>
      <c r="L11">
        <v>50</v>
      </c>
      <c r="M11">
        <v>50</v>
      </c>
      <c r="N11">
        <v>50</v>
      </c>
      <c r="O11">
        <v>50</v>
      </c>
      <c r="P11">
        <v>40</v>
      </c>
      <c r="Q11">
        <v>35</v>
      </c>
      <c r="R11">
        <v>30</v>
      </c>
      <c r="S11">
        <v>25</v>
      </c>
    </row>
    <row r="12" spans="1:19" x14ac:dyDescent="0.35">
      <c r="F12" s="31"/>
    </row>
    <row r="13" spans="1:19" x14ac:dyDescent="0.35">
      <c r="F13" s="31"/>
    </row>
    <row r="14" spans="1:19" x14ac:dyDescent="0.35">
      <c r="F14" s="31"/>
    </row>
    <row r="15" spans="1:19" x14ac:dyDescent="0.35">
      <c r="F15" s="31"/>
    </row>
    <row r="16" spans="1:19" x14ac:dyDescent="0.35">
      <c r="F16" s="31"/>
    </row>
    <row r="17" spans="6:6" x14ac:dyDescent="0.35">
      <c r="F17" s="31"/>
    </row>
    <row r="18" spans="6:6" x14ac:dyDescent="0.35">
      <c r="F18" s="31"/>
    </row>
    <row r="19" spans="6:6" x14ac:dyDescent="0.35">
      <c r="F19" s="31"/>
    </row>
    <row r="20" spans="6:6" x14ac:dyDescent="0.35">
      <c r="F20" s="31"/>
    </row>
    <row r="21" spans="6:6" x14ac:dyDescent="0.35">
      <c r="F21" s="31"/>
    </row>
    <row r="22" spans="6:6" x14ac:dyDescent="0.35">
      <c r="F22" s="31"/>
    </row>
    <row r="23" spans="6:6" x14ac:dyDescent="0.35">
      <c r="F23" s="31"/>
    </row>
    <row r="24" spans="6:6" x14ac:dyDescent="0.35">
      <c r="F24" s="31"/>
    </row>
    <row r="25" spans="6:6" x14ac:dyDescent="0.35">
      <c r="F25" s="31"/>
    </row>
    <row r="26" spans="6:6" x14ac:dyDescent="0.35">
      <c r="F26" s="31"/>
    </row>
    <row r="27" spans="6:6" x14ac:dyDescent="0.35">
      <c r="F27" s="31"/>
    </row>
    <row r="28" spans="6:6" x14ac:dyDescent="0.35">
      <c r="F28" s="31"/>
    </row>
    <row r="29" spans="6:6" x14ac:dyDescent="0.35">
      <c r="F29" s="31"/>
    </row>
    <row r="30" spans="6:6" x14ac:dyDescent="0.35">
      <c r="F30" s="31"/>
    </row>
    <row r="31" spans="6:6" x14ac:dyDescent="0.35">
      <c r="F31" s="31"/>
    </row>
    <row r="32" spans="6:6" x14ac:dyDescent="0.35">
      <c r="F32" s="31"/>
    </row>
    <row r="33" spans="6:6" x14ac:dyDescent="0.35">
      <c r="F33" s="31"/>
    </row>
    <row r="34" spans="6:6" x14ac:dyDescent="0.35">
      <c r="F34" s="31"/>
    </row>
    <row r="35" spans="6:6" x14ac:dyDescent="0.35">
      <c r="F35" s="31"/>
    </row>
    <row r="36" spans="6:6" x14ac:dyDescent="0.35">
      <c r="F36" s="31"/>
    </row>
    <row r="37" spans="6:6" x14ac:dyDescent="0.35">
      <c r="F37" s="31"/>
    </row>
    <row r="38" spans="6:6" x14ac:dyDescent="0.35">
      <c r="F38" s="31"/>
    </row>
    <row r="39" spans="6:6" x14ac:dyDescent="0.35">
      <c r="F39" s="31"/>
    </row>
    <row r="40" spans="6:6" x14ac:dyDescent="0.35">
      <c r="F40" s="31"/>
    </row>
    <row r="41" spans="6:6" x14ac:dyDescent="0.35">
      <c r="F41" s="31"/>
    </row>
    <row r="42" spans="6:6" x14ac:dyDescent="0.35">
      <c r="F42" s="31"/>
    </row>
    <row r="43" spans="6:6" x14ac:dyDescent="0.35">
      <c r="F43" s="31"/>
    </row>
    <row r="44" spans="6:6" x14ac:dyDescent="0.35">
      <c r="F44" s="31"/>
    </row>
    <row r="45" spans="6:6" x14ac:dyDescent="0.35">
      <c r="F45" s="31"/>
    </row>
    <row r="46" spans="6:6" x14ac:dyDescent="0.35">
      <c r="F46" s="31"/>
    </row>
    <row r="47" spans="6:6" x14ac:dyDescent="0.35">
      <c r="F47" s="31"/>
    </row>
    <row r="48" spans="6:6" x14ac:dyDescent="0.35">
      <c r="F48" s="31"/>
    </row>
    <row r="49" spans="6:6" x14ac:dyDescent="0.35">
      <c r="F49" s="31"/>
    </row>
    <row r="50" spans="6:6" x14ac:dyDescent="0.35">
      <c r="F50" s="31"/>
    </row>
    <row r="51" spans="6:6" x14ac:dyDescent="0.35">
      <c r="F51" s="31"/>
    </row>
    <row r="52" spans="6:6" x14ac:dyDescent="0.35">
      <c r="F52" s="31"/>
    </row>
    <row r="53" spans="6:6" x14ac:dyDescent="0.35">
      <c r="F53" s="31"/>
    </row>
    <row r="54" spans="6:6" x14ac:dyDescent="0.35">
      <c r="F54" s="31"/>
    </row>
    <row r="55" spans="6:6" x14ac:dyDescent="0.35">
      <c r="F55" s="31"/>
    </row>
    <row r="56" spans="6:6" x14ac:dyDescent="0.35">
      <c r="F56" s="31"/>
    </row>
    <row r="57" spans="6:6" x14ac:dyDescent="0.35">
      <c r="F57" s="31"/>
    </row>
    <row r="58" spans="6:6" x14ac:dyDescent="0.35">
      <c r="F58" s="31"/>
    </row>
    <row r="59" spans="6:6" x14ac:dyDescent="0.35">
      <c r="F59" s="31"/>
    </row>
    <row r="60" spans="6:6" x14ac:dyDescent="0.35">
      <c r="F60" s="31"/>
    </row>
    <row r="61" spans="6:6" x14ac:dyDescent="0.35">
      <c r="F61" s="31"/>
    </row>
    <row r="62" spans="6:6" x14ac:dyDescent="0.35">
      <c r="F62" s="31"/>
    </row>
    <row r="63" spans="6:6" x14ac:dyDescent="0.35">
      <c r="F63" s="31"/>
    </row>
    <row r="64" spans="6:6" x14ac:dyDescent="0.35">
      <c r="F64" s="31"/>
    </row>
    <row r="65" spans="6:6" x14ac:dyDescent="0.35">
      <c r="F65" s="31"/>
    </row>
    <row r="66" spans="6:6" x14ac:dyDescent="0.35">
      <c r="F66" s="31"/>
    </row>
    <row r="67" spans="6:6" x14ac:dyDescent="0.35">
      <c r="F67" s="31"/>
    </row>
    <row r="68" spans="6:6" x14ac:dyDescent="0.35">
      <c r="F68" s="31"/>
    </row>
    <row r="69" spans="6:6" x14ac:dyDescent="0.35">
      <c r="F69" s="31"/>
    </row>
    <row r="70" spans="6:6" x14ac:dyDescent="0.35">
      <c r="F70" s="31"/>
    </row>
    <row r="71" spans="6:6" x14ac:dyDescent="0.35">
      <c r="F71" s="31"/>
    </row>
    <row r="72" spans="6:6" x14ac:dyDescent="0.35">
      <c r="F72" s="31"/>
    </row>
    <row r="73" spans="6:6" x14ac:dyDescent="0.35">
      <c r="F73" s="31"/>
    </row>
    <row r="74" spans="6:6" x14ac:dyDescent="0.35">
      <c r="F74" s="31"/>
    </row>
    <row r="75" spans="6:6" x14ac:dyDescent="0.35">
      <c r="F75" s="31"/>
    </row>
    <row r="76" spans="6:6" x14ac:dyDescent="0.35">
      <c r="F76" s="31"/>
    </row>
    <row r="77" spans="6:6" x14ac:dyDescent="0.35">
      <c r="F77" s="31"/>
    </row>
    <row r="78" spans="6:6" x14ac:dyDescent="0.35">
      <c r="F78" s="31"/>
    </row>
    <row r="79" spans="6:6" x14ac:dyDescent="0.35">
      <c r="F79" s="31"/>
    </row>
    <row r="80" spans="6:6" x14ac:dyDescent="0.35">
      <c r="F80" s="31"/>
    </row>
    <row r="81" spans="6:6" x14ac:dyDescent="0.35">
      <c r="F81" s="31"/>
    </row>
    <row r="82" spans="6:6" x14ac:dyDescent="0.35">
      <c r="F82" s="18"/>
    </row>
    <row r="83" spans="6:6" x14ac:dyDescent="0.35">
      <c r="F83" s="18"/>
    </row>
    <row r="84" spans="6:6" x14ac:dyDescent="0.35">
      <c r="F84" s="18"/>
    </row>
    <row r="85" spans="6:6" x14ac:dyDescent="0.35">
      <c r="F85" s="18"/>
    </row>
    <row r="86" spans="6:6" x14ac:dyDescent="0.35">
      <c r="F86" s="18"/>
    </row>
    <row r="87" spans="6:6" x14ac:dyDescent="0.35">
      <c r="F87" s="18"/>
    </row>
    <row r="88" spans="6:6" x14ac:dyDescent="0.35">
      <c r="F88" s="18"/>
    </row>
    <row r="89" spans="6:6" x14ac:dyDescent="0.35">
      <c r="F89" s="18"/>
    </row>
    <row r="90" spans="6:6" x14ac:dyDescent="0.35">
      <c r="F90" s="18"/>
    </row>
    <row r="91" spans="6:6" x14ac:dyDescent="0.35">
      <c r="F91" s="18"/>
    </row>
    <row r="92" spans="6:6" x14ac:dyDescent="0.35">
      <c r="F92" s="18"/>
    </row>
    <row r="93" spans="6:6" x14ac:dyDescent="0.35">
      <c r="F93" s="18"/>
    </row>
    <row r="94" spans="6:6" x14ac:dyDescent="0.35">
      <c r="F94" s="18"/>
    </row>
    <row r="95" spans="6:6" x14ac:dyDescent="0.35">
      <c r="F95" s="18"/>
    </row>
    <row r="96" spans="6:6" x14ac:dyDescent="0.35">
      <c r="F96" s="18"/>
    </row>
    <row r="97" spans="6:6" x14ac:dyDescent="0.35">
      <c r="F97" s="18"/>
    </row>
    <row r="98" spans="6:6" x14ac:dyDescent="0.35">
      <c r="F98" s="18"/>
    </row>
    <row r="99" spans="6:6" x14ac:dyDescent="0.35">
      <c r="F99" s="18"/>
    </row>
    <row r="100" spans="6:6" x14ac:dyDescent="0.35">
      <c r="F100" s="18"/>
    </row>
    <row r="101" spans="6:6" x14ac:dyDescent="0.35">
      <c r="F101" s="18"/>
    </row>
    <row r="102" spans="6:6" x14ac:dyDescent="0.35">
      <c r="F102" s="18"/>
    </row>
    <row r="103" spans="6:6" x14ac:dyDescent="0.35">
      <c r="F103" s="18"/>
    </row>
    <row r="104" spans="6:6" x14ac:dyDescent="0.35">
      <c r="F104" s="18"/>
    </row>
    <row r="105" spans="6:6" x14ac:dyDescent="0.35">
      <c r="F105" s="18"/>
    </row>
    <row r="106" spans="6:6" x14ac:dyDescent="0.35">
      <c r="F106" s="18"/>
    </row>
    <row r="107" spans="6:6" x14ac:dyDescent="0.35">
      <c r="F107" s="18"/>
    </row>
    <row r="108" spans="6:6" x14ac:dyDescent="0.35">
      <c r="F108" s="18"/>
    </row>
    <row r="109" spans="6:6" x14ac:dyDescent="0.35">
      <c r="F109" s="18"/>
    </row>
    <row r="110" spans="6:6" x14ac:dyDescent="0.35">
      <c r="F110" s="18"/>
    </row>
    <row r="111" spans="6:6" x14ac:dyDescent="0.35">
      <c r="F111" s="18"/>
    </row>
    <row r="112" spans="6:6" x14ac:dyDescent="0.35">
      <c r="F112" s="18"/>
    </row>
    <row r="113" spans="6:6" x14ac:dyDescent="0.35">
      <c r="F113" s="18"/>
    </row>
    <row r="114" spans="6:6" x14ac:dyDescent="0.35">
      <c r="F114" s="18"/>
    </row>
    <row r="115" spans="6:6" x14ac:dyDescent="0.35">
      <c r="F115" s="18"/>
    </row>
    <row r="116" spans="6:6" x14ac:dyDescent="0.35">
      <c r="F116" s="18"/>
    </row>
    <row r="117" spans="6:6" x14ac:dyDescent="0.35">
      <c r="F117" s="18"/>
    </row>
    <row r="118" spans="6:6" x14ac:dyDescent="0.35">
      <c r="F118" s="18"/>
    </row>
    <row r="119" spans="6:6" x14ac:dyDescent="0.35">
      <c r="F119" s="18"/>
    </row>
    <row r="120" spans="6:6" x14ac:dyDescent="0.35">
      <c r="F120" s="18"/>
    </row>
    <row r="121" spans="6:6" x14ac:dyDescent="0.35">
      <c r="F121" s="18"/>
    </row>
    <row r="122" spans="6:6" x14ac:dyDescent="0.35">
      <c r="F122" s="18"/>
    </row>
    <row r="123" spans="6:6" x14ac:dyDescent="0.35">
      <c r="F123" s="18"/>
    </row>
    <row r="124" spans="6:6" x14ac:dyDescent="0.35">
      <c r="F124" s="18"/>
    </row>
    <row r="125" spans="6:6" x14ac:dyDescent="0.35">
      <c r="F125" s="18"/>
    </row>
    <row r="126" spans="6:6" x14ac:dyDescent="0.35">
      <c r="F126" s="18"/>
    </row>
    <row r="127" spans="6:6" x14ac:dyDescent="0.35">
      <c r="F127" s="18"/>
    </row>
    <row r="128" spans="6:6" x14ac:dyDescent="0.35">
      <c r="F128" s="18"/>
    </row>
    <row r="129" spans="5:6" x14ac:dyDescent="0.35">
      <c r="F129" s="18"/>
    </row>
    <row r="130" spans="5:6" x14ac:dyDescent="0.35">
      <c r="E130" s="2"/>
      <c r="F130" s="18"/>
    </row>
    <row r="131" spans="5:6" x14ac:dyDescent="0.35">
      <c r="F131" s="18"/>
    </row>
    <row r="132" spans="5:6" x14ac:dyDescent="0.35">
      <c r="F132" s="18"/>
    </row>
    <row r="133" spans="5:6" x14ac:dyDescent="0.35">
      <c r="F133" s="18"/>
    </row>
    <row r="134" spans="5:6" x14ac:dyDescent="0.35">
      <c r="E134" s="2"/>
      <c r="F134" s="18"/>
    </row>
    <row r="135" spans="5:6" x14ac:dyDescent="0.35">
      <c r="F135" s="18"/>
    </row>
    <row r="136" spans="5:6" x14ac:dyDescent="0.35">
      <c r="F136" s="18"/>
    </row>
    <row r="137" spans="5:6" x14ac:dyDescent="0.35">
      <c r="F137" s="18"/>
    </row>
    <row r="138" spans="5:6" x14ac:dyDescent="0.35">
      <c r="F138" s="18"/>
    </row>
    <row r="139" spans="5:6" x14ac:dyDescent="0.35">
      <c r="F139" s="18"/>
    </row>
    <row r="140" spans="5:6" x14ac:dyDescent="0.35">
      <c r="F140" s="18"/>
    </row>
    <row r="141" spans="5:6" x14ac:dyDescent="0.35">
      <c r="E141" s="2"/>
      <c r="F141" s="18"/>
    </row>
    <row r="142" spans="5:6" x14ac:dyDescent="0.35">
      <c r="F142" s="18"/>
    </row>
    <row r="143" spans="5:6" x14ac:dyDescent="0.35">
      <c r="F143" s="18"/>
    </row>
    <row r="144" spans="5:6" x14ac:dyDescent="0.35">
      <c r="F144" s="18"/>
    </row>
    <row r="145" spans="6:6" x14ac:dyDescent="0.35">
      <c r="F145" s="18"/>
    </row>
    <row r="146" spans="6:6" x14ac:dyDescent="0.35">
      <c r="F146" s="18"/>
    </row>
    <row r="147" spans="6:6" x14ac:dyDescent="0.35">
      <c r="F147" s="18"/>
    </row>
    <row r="148" spans="6:6" x14ac:dyDescent="0.35">
      <c r="F148" s="18"/>
    </row>
    <row r="149" spans="6:6" x14ac:dyDescent="0.35">
      <c r="F149" s="18"/>
    </row>
    <row r="150" spans="6:6" x14ac:dyDescent="0.35">
      <c r="F150" s="18"/>
    </row>
    <row r="151" spans="6:6" x14ac:dyDescent="0.35">
      <c r="F151" s="18"/>
    </row>
    <row r="152" spans="6:6" x14ac:dyDescent="0.35">
      <c r="F152" s="18"/>
    </row>
    <row r="153" spans="6:6" x14ac:dyDescent="0.35">
      <c r="F153" s="18"/>
    </row>
    <row r="154" spans="6:6" x14ac:dyDescent="0.35">
      <c r="F154" s="18"/>
    </row>
    <row r="155" spans="6:6" x14ac:dyDescent="0.35">
      <c r="F155" s="18"/>
    </row>
    <row r="156" spans="6:6" x14ac:dyDescent="0.35">
      <c r="F156" s="18"/>
    </row>
    <row r="157" spans="6:6" x14ac:dyDescent="0.35">
      <c r="F157" s="18"/>
    </row>
    <row r="158" spans="6:6" x14ac:dyDescent="0.35">
      <c r="F158" s="18"/>
    </row>
    <row r="159" spans="6:6" x14ac:dyDescent="0.35">
      <c r="F159" s="18"/>
    </row>
    <row r="160" spans="6:6" x14ac:dyDescent="0.35">
      <c r="F160" s="18"/>
    </row>
    <row r="161" spans="6:6" x14ac:dyDescent="0.35">
      <c r="F161" s="18"/>
    </row>
    <row r="162" spans="6:6" x14ac:dyDescent="0.35">
      <c r="F162" s="18"/>
    </row>
    <row r="163" spans="6:6" x14ac:dyDescent="0.35">
      <c r="F163" s="18"/>
    </row>
    <row r="164" spans="6:6" x14ac:dyDescent="0.35">
      <c r="F164" s="18"/>
    </row>
    <row r="165" spans="6:6" x14ac:dyDescent="0.35">
      <c r="F165" s="18"/>
    </row>
    <row r="166" spans="6:6" x14ac:dyDescent="0.35">
      <c r="F166" s="18"/>
    </row>
    <row r="167" spans="6:6" x14ac:dyDescent="0.35">
      <c r="F167" s="18"/>
    </row>
    <row r="168" spans="6:6" x14ac:dyDescent="0.35">
      <c r="F168" s="18"/>
    </row>
    <row r="169" spans="6:6" x14ac:dyDescent="0.35">
      <c r="F169" s="18"/>
    </row>
    <row r="170" spans="6:6" x14ac:dyDescent="0.35">
      <c r="F170" s="18"/>
    </row>
    <row r="171" spans="6:6" x14ac:dyDescent="0.35">
      <c r="F171" s="18"/>
    </row>
    <row r="172" spans="6:6" x14ac:dyDescent="0.35">
      <c r="F172" s="18"/>
    </row>
    <row r="173" spans="6:6" x14ac:dyDescent="0.35">
      <c r="F173" s="18"/>
    </row>
    <row r="174" spans="6:6" x14ac:dyDescent="0.35">
      <c r="F174" s="18"/>
    </row>
    <row r="175" spans="6:6" x14ac:dyDescent="0.35">
      <c r="F175" s="18"/>
    </row>
    <row r="176" spans="6:6" x14ac:dyDescent="0.35">
      <c r="F176" s="18"/>
    </row>
    <row r="177" spans="6:6" x14ac:dyDescent="0.35">
      <c r="F177" s="18"/>
    </row>
    <row r="178" spans="6:6" x14ac:dyDescent="0.35">
      <c r="F178" s="18"/>
    </row>
    <row r="179" spans="6:6" x14ac:dyDescent="0.35">
      <c r="F179" s="18"/>
    </row>
    <row r="180" spans="6:6" x14ac:dyDescent="0.35">
      <c r="F180" s="18"/>
    </row>
    <row r="181" spans="6:6" x14ac:dyDescent="0.35">
      <c r="F181" s="18"/>
    </row>
    <row r="182" spans="6:6" x14ac:dyDescent="0.35">
      <c r="F182" s="18"/>
    </row>
    <row r="183" spans="6:6" x14ac:dyDescent="0.35">
      <c r="F183" s="18"/>
    </row>
    <row r="184" spans="6:6" x14ac:dyDescent="0.35">
      <c r="F184" s="18"/>
    </row>
    <row r="185" spans="6:6" x14ac:dyDescent="0.35">
      <c r="F185" s="18"/>
    </row>
    <row r="186" spans="6:6" x14ac:dyDescent="0.35">
      <c r="F186" s="18"/>
    </row>
    <row r="187" spans="6:6" x14ac:dyDescent="0.35">
      <c r="F187" s="18"/>
    </row>
    <row r="188" spans="6:6" x14ac:dyDescent="0.35">
      <c r="F188" s="18"/>
    </row>
    <row r="189" spans="6:6" x14ac:dyDescent="0.35">
      <c r="F189" s="18"/>
    </row>
    <row r="190" spans="6:6" x14ac:dyDescent="0.35">
      <c r="F190" s="18"/>
    </row>
    <row r="191" spans="6:6" x14ac:dyDescent="0.35">
      <c r="F191" s="18"/>
    </row>
    <row r="192" spans="6:6" x14ac:dyDescent="0.35">
      <c r="F192" s="18"/>
    </row>
    <row r="193" spans="5:6" x14ac:dyDescent="0.35">
      <c r="E193" s="2"/>
      <c r="F193" s="18"/>
    </row>
    <row r="194" spans="5:6" x14ac:dyDescent="0.35">
      <c r="F194" s="18"/>
    </row>
    <row r="195" spans="5:6" x14ac:dyDescent="0.35">
      <c r="F195" s="18"/>
    </row>
    <row r="196" spans="5:6" x14ac:dyDescent="0.35">
      <c r="F196" s="18"/>
    </row>
    <row r="197" spans="5:6" x14ac:dyDescent="0.35">
      <c r="F197" s="18"/>
    </row>
    <row r="198" spans="5:6" x14ac:dyDescent="0.35">
      <c r="F198" s="18"/>
    </row>
    <row r="199" spans="5:6" x14ac:dyDescent="0.35">
      <c r="F199" s="18"/>
    </row>
    <row r="200" spans="5:6" x14ac:dyDescent="0.35">
      <c r="F200" s="18"/>
    </row>
    <row r="201" spans="5:6" x14ac:dyDescent="0.35">
      <c r="F201" s="18"/>
    </row>
    <row r="202" spans="5:6" x14ac:dyDescent="0.35">
      <c r="F202" s="18"/>
    </row>
    <row r="203" spans="5:6" x14ac:dyDescent="0.35">
      <c r="F203" s="18"/>
    </row>
    <row r="204" spans="5:6" x14ac:dyDescent="0.35">
      <c r="F204" s="18"/>
    </row>
    <row r="205" spans="5:6" x14ac:dyDescent="0.35">
      <c r="F205" s="18"/>
    </row>
    <row r="206" spans="5:6" x14ac:dyDescent="0.35">
      <c r="F206" s="18"/>
    </row>
    <row r="207" spans="5:6" x14ac:dyDescent="0.35">
      <c r="F207" s="18"/>
    </row>
    <row r="208" spans="5:6" x14ac:dyDescent="0.35">
      <c r="F208" s="18"/>
    </row>
    <row r="209" spans="6:6" x14ac:dyDescent="0.35">
      <c r="F209" s="18"/>
    </row>
    <row r="210" spans="6:6" x14ac:dyDescent="0.35">
      <c r="F210" s="18"/>
    </row>
    <row r="211" spans="6:6" x14ac:dyDescent="0.35">
      <c r="F211" s="18"/>
    </row>
    <row r="212" spans="6:6" x14ac:dyDescent="0.35">
      <c r="F212" s="18"/>
    </row>
    <row r="213" spans="6:6" x14ac:dyDescent="0.35">
      <c r="F213" s="18"/>
    </row>
    <row r="214" spans="6:6" x14ac:dyDescent="0.35">
      <c r="F214" s="18"/>
    </row>
    <row r="215" spans="6:6" x14ac:dyDescent="0.35">
      <c r="F215" s="18"/>
    </row>
    <row r="216" spans="6:6" x14ac:dyDescent="0.35">
      <c r="F216" s="18"/>
    </row>
    <row r="217" spans="6:6" x14ac:dyDescent="0.35">
      <c r="F217" s="18"/>
    </row>
    <row r="218" spans="6:6" x14ac:dyDescent="0.35">
      <c r="F218" s="18"/>
    </row>
    <row r="219" spans="6:6" x14ac:dyDescent="0.35">
      <c r="F219" s="18"/>
    </row>
    <row r="220" spans="6:6" x14ac:dyDescent="0.35">
      <c r="F220" s="18"/>
    </row>
    <row r="221" spans="6:6" x14ac:dyDescent="0.35">
      <c r="F221" s="18"/>
    </row>
    <row r="222" spans="6:6" x14ac:dyDescent="0.35">
      <c r="F222" s="18"/>
    </row>
    <row r="223" spans="6:6" x14ac:dyDescent="0.35">
      <c r="F223" s="18"/>
    </row>
    <row r="224" spans="6:6" x14ac:dyDescent="0.35">
      <c r="F224" s="18"/>
    </row>
    <row r="225" spans="6:6" x14ac:dyDescent="0.35">
      <c r="F225" s="18"/>
    </row>
    <row r="226" spans="6:6" x14ac:dyDescent="0.35">
      <c r="F226" s="18"/>
    </row>
    <row r="227" spans="6:6" x14ac:dyDescent="0.35">
      <c r="F227" s="18"/>
    </row>
    <row r="228" spans="6:6" x14ac:dyDescent="0.35">
      <c r="F228" s="18"/>
    </row>
    <row r="229" spans="6:6" x14ac:dyDescent="0.35">
      <c r="F229" s="18"/>
    </row>
    <row r="230" spans="6:6" x14ac:dyDescent="0.35">
      <c r="F230" s="18"/>
    </row>
    <row r="231" spans="6:6" x14ac:dyDescent="0.35">
      <c r="F231" s="18"/>
    </row>
    <row r="232" spans="6:6" x14ac:dyDescent="0.35">
      <c r="F232" s="18"/>
    </row>
    <row r="233" spans="6:6" x14ac:dyDescent="0.35">
      <c r="F233" s="18"/>
    </row>
    <row r="234" spans="6:6" x14ac:dyDescent="0.35">
      <c r="F234" s="18"/>
    </row>
    <row r="235" spans="6:6" x14ac:dyDescent="0.35">
      <c r="F235" s="18"/>
    </row>
    <row r="236" spans="6:6" x14ac:dyDescent="0.35">
      <c r="F236" s="18"/>
    </row>
    <row r="237" spans="6:6" x14ac:dyDescent="0.35">
      <c r="F237" s="18"/>
    </row>
    <row r="238" spans="6:6" x14ac:dyDescent="0.35">
      <c r="F238" s="18"/>
    </row>
    <row r="239" spans="6:6" x14ac:dyDescent="0.35">
      <c r="F239" s="18"/>
    </row>
    <row r="240" spans="6:6" x14ac:dyDescent="0.35">
      <c r="F240" s="18"/>
    </row>
    <row r="241" spans="6:6" x14ac:dyDescent="0.35">
      <c r="F241" s="18"/>
    </row>
    <row r="242" spans="6:6" x14ac:dyDescent="0.35">
      <c r="F242" s="18"/>
    </row>
    <row r="243" spans="6:6" x14ac:dyDescent="0.35">
      <c r="F243" s="18"/>
    </row>
    <row r="244" spans="6:6" x14ac:dyDescent="0.35">
      <c r="F244" s="18"/>
    </row>
    <row r="245" spans="6:6" x14ac:dyDescent="0.35">
      <c r="F245" s="18"/>
    </row>
    <row r="246" spans="6:6" x14ac:dyDescent="0.35">
      <c r="F246" s="18"/>
    </row>
    <row r="247" spans="6:6" x14ac:dyDescent="0.35">
      <c r="F247" s="18"/>
    </row>
    <row r="248" spans="6:6" x14ac:dyDescent="0.35">
      <c r="F248" s="18"/>
    </row>
    <row r="249" spans="6:6" x14ac:dyDescent="0.35">
      <c r="F249" s="18"/>
    </row>
    <row r="250" spans="6:6" x14ac:dyDescent="0.35">
      <c r="F250" s="18"/>
    </row>
    <row r="251" spans="6:6" x14ac:dyDescent="0.35">
      <c r="F251" s="18"/>
    </row>
    <row r="252" spans="6:6" x14ac:dyDescent="0.35">
      <c r="F252" s="18"/>
    </row>
    <row r="253" spans="6:6" x14ac:dyDescent="0.35">
      <c r="F253" s="18"/>
    </row>
    <row r="254" spans="6:6" x14ac:dyDescent="0.35">
      <c r="F254" s="18"/>
    </row>
    <row r="255" spans="6:6" x14ac:dyDescent="0.35">
      <c r="F255" s="18"/>
    </row>
    <row r="256" spans="6:6" x14ac:dyDescent="0.35">
      <c r="F256" s="18"/>
    </row>
    <row r="257" spans="6:6" x14ac:dyDescent="0.35">
      <c r="F257" s="18"/>
    </row>
    <row r="258" spans="6:6" x14ac:dyDescent="0.35">
      <c r="F258" s="18"/>
    </row>
    <row r="259" spans="6:6" x14ac:dyDescent="0.35">
      <c r="F259" s="18"/>
    </row>
    <row r="260" spans="6:6" x14ac:dyDescent="0.35">
      <c r="F260" s="18"/>
    </row>
    <row r="261" spans="6:6" x14ac:dyDescent="0.35">
      <c r="F261" s="18"/>
    </row>
    <row r="262" spans="6:6" x14ac:dyDescent="0.35">
      <c r="F262" s="18"/>
    </row>
    <row r="263" spans="6:6" x14ac:dyDescent="0.35">
      <c r="F263" s="18"/>
    </row>
    <row r="264" spans="6:6" x14ac:dyDescent="0.35">
      <c r="F264" s="18"/>
    </row>
    <row r="265" spans="6:6" x14ac:dyDescent="0.35">
      <c r="F265" s="18"/>
    </row>
    <row r="266" spans="6:6" x14ac:dyDescent="0.35">
      <c r="F266" s="18"/>
    </row>
    <row r="267" spans="6:6" x14ac:dyDescent="0.35">
      <c r="F267" s="18"/>
    </row>
    <row r="268" spans="6:6" x14ac:dyDescent="0.35">
      <c r="F268" s="18"/>
    </row>
    <row r="269" spans="6:6" x14ac:dyDescent="0.35">
      <c r="F269" s="18"/>
    </row>
    <row r="270" spans="6:6" x14ac:dyDescent="0.35">
      <c r="F270" s="18"/>
    </row>
    <row r="271" spans="6:6" x14ac:dyDescent="0.35">
      <c r="F271" s="18"/>
    </row>
    <row r="272" spans="6:6" x14ac:dyDescent="0.35">
      <c r="F272" s="18"/>
    </row>
    <row r="273" spans="5:6" x14ac:dyDescent="0.35">
      <c r="F273" s="18"/>
    </row>
    <row r="274" spans="5:6" x14ac:dyDescent="0.35">
      <c r="F274" s="18"/>
    </row>
    <row r="275" spans="5:6" x14ac:dyDescent="0.35">
      <c r="F275" s="18"/>
    </row>
    <row r="276" spans="5:6" x14ac:dyDescent="0.35">
      <c r="F276" s="18"/>
    </row>
    <row r="277" spans="5:6" x14ac:dyDescent="0.35">
      <c r="F277" s="18"/>
    </row>
    <row r="278" spans="5:6" x14ac:dyDescent="0.35">
      <c r="F278" s="18"/>
    </row>
    <row r="279" spans="5:6" x14ac:dyDescent="0.35">
      <c r="F279" s="18"/>
    </row>
    <row r="280" spans="5:6" x14ac:dyDescent="0.35">
      <c r="F280" s="18"/>
    </row>
    <row r="281" spans="5:6" x14ac:dyDescent="0.35">
      <c r="F281" s="18"/>
    </row>
    <row r="282" spans="5:6" x14ac:dyDescent="0.35">
      <c r="F282" s="18"/>
    </row>
    <row r="283" spans="5:6" x14ac:dyDescent="0.35">
      <c r="F283" s="18"/>
    </row>
    <row r="284" spans="5:6" x14ac:dyDescent="0.35">
      <c r="F284" s="18"/>
    </row>
    <row r="285" spans="5:6" x14ac:dyDescent="0.35">
      <c r="F285" s="18"/>
    </row>
    <row r="286" spans="5:6" x14ac:dyDescent="0.35">
      <c r="F286" s="18"/>
    </row>
    <row r="287" spans="5:6" x14ac:dyDescent="0.35">
      <c r="F287" s="18"/>
    </row>
    <row r="288" spans="5:6" x14ac:dyDescent="0.35">
      <c r="E288" s="2"/>
      <c r="F288" s="18"/>
    </row>
    <row r="289" spans="5:6" x14ac:dyDescent="0.35">
      <c r="F289" s="18"/>
    </row>
    <row r="290" spans="5:6" x14ac:dyDescent="0.35">
      <c r="E290" s="2"/>
      <c r="F290" s="18"/>
    </row>
    <row r="291" spans="5:6" x14ac:dyDescent="0.35">
      <c r="E291" s="2"/>
      <c r="F291" s="18"/>
    </row>
    <row r="292" spans="5:6" x14ac:dyDescent="0.35">
      <c r="F292" s="18"/>
    </row>
    <row r="293" spans="5:6" x14ac:dyDescent="0.35">
      <c r="F293" s="18"/>
    </row>
    <row r="294" spans="5:6" x14ac:dyDescent="0.35">
      <c r="F294" s="18"/>
    </row>
    <row r="295" spans="5:6" x14ac:dyDescent="0.35">
      <c r="F295" s="18"/>
    </row>
    <row r="296" spans="5:6" x14ac:dyDescent="0.35">
      <c r="F296" s="18"/>
    </row>
    <row r="297" spans="5:6" x14ac:dyDescent="0.35">
      <c r="F297" s="18"/>
    </row>
    <row r="298" spans="5:6" x14ac:dyDescent="0.35">
      <c r="F298" s="18"/>
    </row>
    <row r="299" spans="5:6" x14ac:dyDescent="0.35">
      <c r="F299" s="18"/>
    </row>
    <row r="300" spans="5:6" x14ac:dyDescent="0.35">
      <c r="F300" s="18"/>
    </row>
    <row r="301" spans="5:6" x14ac:dyDescent="0.35">
      <c r="F301" s="18"/>
    </row>
    <row r="302" spans="5:6" x14ac:dyDescent="0.35">
      <c r="F302" s="18"/>
    </row>
    <row r="303" spans="5:6" x14ac:dyDescent="0.35">
      <c r="F303" s="18"/>
    </row>
    <row r="304" spans="5:6" x14ac:dyDescent="0.35">
      <c r="F304" s="18"/>
    </row>
    <row r="305" spans="5:6" x14ac:dyDescent="0.35">
      <c r="F305" s="18"/>
    </row>
    <row r="306" spans="5:6" x14ac:dyDescent="0.35">
      <c r="F306" s="18"/>
    </row>
    <row r="307" spans="5:6" x14ac:dyDescent="0.35">
      <c r="E307" s="2"/>
      <c r="F307" s="18"/>
    </row>
    <row r="308" spans="5:6" x14ac:dyDescent="0.35">
      <c r="F308" s="18"/>
    </row>
    <row r="309" spans="5:6" x14ac:dyDescent="0.35">
      <c r="F309" s="18"/>
    </row>
    <row r="310" spans="5:6" x14ac:dyDescent="0.35">
      <c r="F310" s="18"/>
    </row>
    <row r="311" spans="5:6" x14ac:dyDescent="0.35">
      <c r="F311" s="18"/>
    </row>
    <row r="312" spans="5:6" x14ac:dyDescent="0.35">
      <c r="F312" s="18"/>
    </row>
    <row r="313" spans="5:6" x14ac:dyDescent="0.35">
      <c r="F313" s="18"/>
    </row>
    <row r="314" spans="5:6" x14ac:dyDescent="0.35">
      <c r="F314" s="18"/>
    </row>
    <row r="315" spans="5:6" x14ac:dyDescent="0.35">
      <c r="F315" s="18"/>
    </row>
    <row r="316" spans="5:6" x14ac:dyDescent="0.35">
      <c r="F316" s="18"/>
    </row>
    <row r="317" spans="5:6" x14ac:dyDescent="0.35">
      <c r="F317" s="18"/>
    </row>
    <row r="318" spans="5:6" x14ac:dyDescent="0.35">
      <c r="F318" s="18"/>
    </row>
    <row r="319" spans="5:6" x14ac:dyDescent="0.35">
      <c r="F319" s="18"/>
    </row>
    <row r="320" spans="5:6" x14ac:dyDescent="0.35">
      <c r="F320" s="18"/>
    </row>
    <row r="321" spans="6:6" x14ac:dyDescent="0.35">
      <c r="F321" s="18"/>
    </row>
    <row r="322" spans="6:6" x14ac:dyDescent="0.35">
      <c r="F322" s="18"/>
    </row>
    <row r="323" spans="6:6" x14ac:dyDescent="0.35">
      <c r="F323" s="18"/>
    </row>
    <row r="324" spans="6:6" x14ac:dyDescent="0.35">
      <c r="F324" s="18"/>
    </row>
    <row r="325" spans="6:6" x14ac:dyDescent="0.35">
      <c r="F325" s="18"/>
    </row>
    <row r="326" spans="6:6" x14ac:dyDescent="0.35">
      <c r="F326" s="18"/>
    </row>
    <row r="327" spans="6:6" x14ac:dyDescent="0.35">
      <c r="F327" s="18"/>
    </row>
    <row r="328" spans="6:6" x14ac:dyDescent="0.35">
      <c r="F328" s="18"/>
    </row>
    <row r="329" spans="6:6" x14ac:dyDescent="0.35">
      <c r="F329" s="18"/>
    </row>
    <row r="330" spans="6:6" x14ac:dyDescent="0.35">
      <c r="F330" s="18"/>
    </row>
    <row r="331" spans="6:6" x14ac:dyDescent="0.35">
      <c r="F331" s="18"/>
    </row>
    <row r="332" spans="6:6" x14ac:dyDescent="0.35">
      <c r="F332" s="18"/>
    </row>
    <row r="333" spans="6:6" x14ac:dyDescent="0.35">
      <c r="F333" s="18"/>
    </row>
    <row r="334" spans="6:6" x14ac:dyDescent="0.35">
      <c r="F334" s="18"/>
    </row>
    <row r="335" spans="6:6" x14ac:dyDescent="0.35">
      <c r="F335" s="18"/>
    </row>
    <row r="336" spans="6:6" x14ac:dyDescent="0.35">
      <c r="F336" s="18"/>
    </row>
    <row r="337" spans="5:6" x14ac:dyDescent="0.35">
      <c r="F337" s="18"/>
    </row>
    <row r="338" spans="5:6" x14ac:dyDescent="0.35">
      <c r="F338" s="18"/>
    </row>
    <row r="339" spans="5:6" x14ac:dyDescent="0.35">
      <c r="F339" s="18"/>
    </row>
    <row r="340" spans="5:6" x14ac:dyDescent="0.35">
      <c r="E340" s="2"/>
      <c r="F340" s="18"/>
    </row>
    <row r="341" spans="5:6" x14ac:dyDescent="0.35">
      <c r="F341" s="18"/>
    </row>
    <row r="342" spans="5:6" x14ac:dyDescent="0.35">
      <c r="F342" s="18"/>
    </row>
    <row r="343" spans="5:6" x14ac:dyDescent="0.35">
      <c r="F343" s="18"/>
    </row>
    <row r="344" spans="5:6" x14ac:dyDescent="0.35">
      <c r="E344" s="2"/>
      <c r="F344" s="18"/>
    </row>
    <row r="345" spans="5:6" x14ac:dyDescent="0.35">
      <c r="F345" s="18"/>
    </row>
    <row r="346" spans="5:6" x14ac:dyDescent="0.35">
      <c r="F346" s="18"/>
    </row>
    <row r="347" spans="5:6" x14ac:dyDescent="0.35">
      <c r="F347" s="18"/>
    </row>
    <row r="348" spans="5:6" x14ac:dyDescent="0.35">
      <c r="F348" s="18"/>
    </row>
    <row r="349" spans="5:6" x14ac:dyDescent="0.35">
      <c r="F349" s="18"/>
    </row>
    <row r="350" spans="5:6" x14ac:dyDescent="0.35">
      <c r="F350" s="18"/>
    </row>
    <row r="351" spans="5:6" x14ac:dyDescent="0.35">
      <c r="F351" s="18"/>
    </row>
    <row r="352" spans="5:6" x14ac:dyDescent="0.35">
      <c r="F352" s="18"/>
    </row>
    <row r="353" spans="6:6" x14ac:dyDescent="0.35">
      <c r="F353" s="18"/>
    </row>
    <row r="354" spans="6:6" x14ac:dyDescent="0.35">
      <c r="F354" s="18"/>
    </row>
    <row r="355" spans="6:6" x14ac:dyDescent="0.35">
      <c r="F355" s="18"/>
    </row>
    <row r="356" spans="6:6" x14ac:dyDescent="0.35">
      <c r="F356" s="18"/>
    </row>
    <row r="357" spans="6:6" x14ac:dyDescent="0.35">
      <c r="F357" s="18"/>
    </row>
    <row r="358" spans="6:6" x14ac:dyDescent="0.35">
      <c r="F358" s="18"/>
    </row>
    <row r="359" spans="6:6" x14ac:dyDescent="0.35">
      <c r="F359" s="18"/>
    </row>
    <row r="360" spans="6:6" x14ac:dyDescent="0.35">
      <c r="F360" s="18"/>
    </row>
    <row r="361" spans="6:6" x14ac:dyDescent="0.35">
      <c r="F361" s="18"/>
    </row>
    <row r="362" spans="6:6" x14ac:dyDescent="0.35">
      <c r="F362" s="18"/>
    </row>
    <row r="363" spans="6:6" x14ac:dyDescent="0.35">
      <c r="F363" s="18"/>
    </row>
    <row r="364" spans="6:6" x14ac:dyDescent="0.35">
      <c r="F364" s="18"/>
    </row>
    <row r="365" spans="6:6" x14ac:dyDescent="0.35">
      <c r="F365" s="18"/>
    </row>
    <row r="366" spans="6:6" x14ac:dyDescent="0.35">
      <c r="F366" s="18"/>
    </row>
    <row r="367" spans="6:6" x14ac:dyDescent="0.35">
      <c r="F367" s="18"/>
    </row>
    <row r="368" spans="6:6" x14ac:dyDescent="0.35">
      <c r="F368" s="18"/>
    </row>
    <row r="369" spans="6:6" x14ac:dyDescent="0.35">
      <c r="F369" s="18"/>
    </row>
    <row r="370" spans="6:6" x14ac:dyDescent="0.35">
      <c r="F370" s="18"/>
    </row>
    <row r="371" spans="6:6" x14ac:dyDescent="0.35">
      <c r="F371" s="18"/>
    </row>
    <row r="372" spans="6:6" x14ac:dyDescent="0.35">
      <c r="F372" s="18"/>
    </row>
    <row r="373" spans="6:6" x14ac:dyDescent="0.35">
      <c r="F373" s="18"/>
    </row>
    <row r="374" spans="6:6" x14ac:dyDescent="0.35">
      <c r="F374" s="18"/>
    </row>
    <row r="375" spans="6:6" x14ac:dyDescent="0.35">
      <c r="F375" s="18"/>
    </row>
    <row r="376" spans="6:6" x14ac:dyDescent="0.35">
      <c r="F376" s="18"/>
    </row>
    <row r="377" spans="6:6" x14ac:dyDescent="0.35">
      <c r="F377" s="18"/>
    </row>
    <row r="378" spans="6:6" x14ac:dyDescent="0.35">
      <c r="F378" s="18"/>
    </row>
    <row r="379" spans="6:6" x14ac:dyDescent="0.35">
      <c r="F379" s="18"/>
    </row>
    <row r="380" spans="6:6" x14ac:dyDescent="0.35">
      <c r="F380" s="18"/>
    </row>
    <row r="381" spans="6:6" x14ac:dyDescent="0.35">
      <c r="F381" s="18"/>
    </row>
    <row r="382" spans="6:6" x14ac:dyDescent="0.35">
      <c r="F382" s="18"/>
    </row>
    <row r="383" spans="6:6" x14ac:dyDescent="0.35">
      <c r="F383" s="18"/>
    </row>
    <row r="384" spans="6:6" x14ac:dyDescent="0.35">
      <c r="F384" s="18"/>
    </row>
    <row r="385" spans="5:6" x14ac:dyDescent="0.35">
      <c r="F385" s="18"/>
    </row>
    <row r="386" spans="5:6" x14ac:dyDescent="0.35">
      <c r="F386" s="18"/>
    </row>
    <row r="387" spans="5:6" x14ac:dyDescent="0.35">
      <c r="F387" s="18"/>
    </row>
    <row r="388" spans="5:6" x14ac:dyDescent="0.35">
      <c r="F388" s="18"/>
    </row>
    <row r="389" spans="5:6" x14ac:dyDescent="0.35">
      <c r="F389" s="18"/>
    </row>
    <row r="390" spans="5:6" x14ac:dyDescent="0.35">
      <c r="F390" s="18"/>
    </row>
    <row r="391" spans="5:6" x14ac:dyDescent="0.35">
      <c r="F391" s="18"/>
    </row>
    <row r="392" spans="5:6" x14ac:dyDescent="0.35">
      <c r="F392" s="18"/>
    </row>
    <row r="393" spans="5:6" x14ac:dyDescent="0.35">
      <c r="F393" s="18"/>
    </row>
    <row r="394" spans="5:6" x14ac:dyDescent="0.35">
      <c r="E394" s="2"/>
      <c r="F394" s="18"/>
    </row>
    <row r="395" spans="5:6" x14ac:dyDescent="0.35">
      <c r="F395" s="18"/>
    </row>
    <row r="396" spans="5:6" x14ac:dyDescent="0.35">
      <c r="F396" s="18"/>
    </row>
    <row r="397" spans="5:6" x14ac:dyDescent="0.35">
      <c r="F397" s="18"/>
    </row>
    <row r="398" spans="5:6" x14ac:dyDescent="0.35">
      <c r="F398" s="18"/>
    </row>
    <row r="399" spans="5:6" x14ac:dyDescent="0.35">
      <c r="F399" s="18"/>
    </row>
    <row r="400" spans="5:6" x14ac:dyDescent="0.35">
      <c r="F400" s="18"/>
    </row>
    <row r="401" spans="6:6" x14ac:dyDescent="0.35">
      <c r="F401" s="18"/>
    </row>
    <row r="402" spans="6:6" x14ac:dyDescent="0.35">
      <c r="F402" s="18"/>
    </row>
    <row r="403" spans="6:6" x14ac:dyDescent="0.35">
      <c r="F403" s="18"/>
    </row>
    <row r="404" spans="6:6" x14ac:dyDescent="0.35">
      <c r="F404" s="18"/>
    </row>
    <row r="405" spans="6:6" x14ac:dyDescent="0.35">
      <c r="F405" s="18"/>
    </row>
    <row r="406" spans="6:6" x14ac:dyDescent="0.35">
      <c r="F406" s="18"/>
    </row>
    <row r="407" spans="6:6" x14ac:dyDescent="0.35">
      <c r="F407" s="18"/>
    </row>
    <row r="408" spans="6:6" x14ac:dyDescent="0.35">
      <c r="F408" s="18"/>
    </row>
    <row r="409" spans="6:6" x14ac:dyDescent="0.35">
      <c r="F409" s="18"/>
    </row>
    <row r="410" spans="6:6" x14ac:dyDescent="0.35">
      <c r="F410" s="18"/>
    </row>
    <row r="411" spans="6:6" x14ac:dyDescent="0.35">
      <c r="F411" s="18"/>
    </row>
    <row r="412" spans="6:6" x14ac:dyDescent="0.35">
      <c r="F412" s="18"/>
    </row>
    <row r="413" spans="6:6" x14ac:dyDescent="0.35">
      <c r="F413" s="18"/>
    </row>
    <row r="414" spans="6:6" x14ac:dyDescent="0.35">
      <c r="F414" s="18"/>
    </row>
    <row r="415" spans="6:6" x14ac:dyDescent="0.35">
      <c r="F415" s="18"/>
    </row>
    <row r="416" spans="6:6" x14ac:dyDescent="0.35">
      <c r="F416" s="18"/>
    </row>
    <row r="417" spans="5:6" x14ac:dyDescent="0.35">
      <c r="F417" s="18"/>
    </row>
    <row r="418" spans="5:6" x14ac:dyDescent="0.35">
      <c r="F418" s="18"/>
    </row>
    <row r="419" spans="5:6" x14ac:dyDescent="0.35">
      <c r="F419" s="18"/>
    </row>
    <row r="420" spans="5:6" x14ac:dyDescent="0.35">
      <c r="F420" s="18"/>
    </row>
    <row r="421" spans="5:6" x14ac:dyDescent="0.35">
      <c r="F421" s="18"/>
    </row>
    <row r="422" spans="5:6" x14ac:dyDescent="0.35">
      <c r="F422" s="18"/>
    </row>
    <row r="423" spans="5:6" x14ac:dyDescent="0.35">
      <c r="F423" s="18"/>
    </row>
    <row r="424" spans="5:6" x14ac:dyDescent="0.35">
      <c r="F424" s="18"/>
    </row>
    <row r="425" spans="5:6" x14ac:dyDescent="0.35">
      <c r="F425" s="18"/>
    </row>
    <row r="426" spans="5:6" x14ac:dyDescent="0.35">
      <c r="E426" s="2"/>
      <c r="F426" s="18"/>
    </row>
    <row r="427" spans="5:6" x14ac:dyDescent="0.35">
      <c r="F427" s="18"/>
    </row>
    <row r="428" spans="5:6" x14ac:dyDescent="0.35">
      <c r="F428" s="18"/>
    </row>
    <row r="429" spans="5:6" x14ac:dyDescent="0.35">
      <c r="F429" s="18"/>
    </row>
    <row r="430" spans="5:6" x14ac:dyDescent="0.35">
      <c r="F430" s="18"/>
    </row>
    <row r="431" spans="5:6" x14ac:dyDescent="0.35">
      <c r="F431" s="18"/>
    </row>
    <row r="432" spans="5:6" x14ac:dyDescent="0.35">
      <c r="F432" s="18"/>
    </row>
    <row r="433" spans="5:6" x14ac:dyDescent="0.35">
      <c r="F433" s="18"/>
    </row>
    <row r="434" spans="5:6" x14ac:dyDescent="0.35">
      <c r="F434" s="18"/>
    </row>
    <row r="435" spans="5:6" x14ac:dyDescent="0.35">
      <c r="F435" s="18"/>
    </row>
    <row r="436" spans="5:6" x14ac:dyDescent="0.35">
      <c r="F436" s="18"/>
    </row>
    <row r="437" spans="5:6" x14ac:dyDescent="0.35">
      <c r="F437" s="18"/>
    </row>
    <row r="438" spans="5:6" x14ac:dyDescent="0.35">
      <c r="F438" s="18"/>
    </row>
    <row r="439" spans="5:6" x14ac:dyDescent="0.35">
      <c r="F439" s="18"/>
    </row>
    <row r="440" spans="5:6" x14ac:dyDescent="0.35">
      <c r="E440" s="2"/>
      <c r="F440" s="18"/>
    </row>
    <row r="441" spans="5:6" x14ac:dyDescent="0.35">
      <c r="F441" s="18"/>
    </row>
    <row r="442" spans="5:6" x14ac:dyDescent="0.35">
      <c r="F442" s="18"/>
    </row>
    <row r="443" spans="5:6" x14ac:dyDescent="0.35">
      <c r="F443" s="18"/>
    </row>
    <row r="444" spans="5:6" x14ac:dyDescent="0.35">
      <c r="F444" s="18"/>
    </row>
    <row r="445" spans="5:6" x14ac:dyDescent="0.35">
      <c r="F445" s="18"/>
    </row>
    <row r="446" spans="5:6" x14ac:dyDescent="0.35">
      <c r="F446" s="18"/>
    </row>
    <row r="447" spans="5:6" x14ac:dyDescent="0.35">
      <c r="F447" s="18"/>
    </row>
    <row r="448" spans="5:6" x14ac:dyDescent="0.35">
      <c r="F448" s="18"/>
    </row>
    <row r="449" spans="6:6" x14ac:dyDescent="0.35">
      <c r="F449" s="18"/>
    </row>
    <row r="450" spans="6:6" x14ac:dyDescent="0.35">
      <c r="F450" s="18"/>
    </row>
    <row r="451" spans="6:6" x14ac:dyDescent="0.35">
      <c r="F451" s="18"/>
    </row>
    <row r="452" spans="6:6" x14ac:dyDescent="0.35">
      <c r="F452" s="18"/>
    </row>
    <row r="453" spans="6:6" x14ac:dyDescent="0.35">
      <c r="F453" s="18"/>
    </row>
    <row r="454" spans="6:6" x14ac:dyDescent="0.35">
      <c r="F454" s="18"/>
    </row>
    <row r="455" spans="6:6" x14ac:dyDescent="0.35">
      <c r="F455" s="18"/>
    </row>
    <row r="456" spans="6:6" x14ac:dyDescent="0.35">
      <c r="F456" s="18"/>
    </row>
    <row r="457" spans="6:6" x14ac:dyDescent="0.35">
      <c r="F457" s="18"/>
    </row>
    <row r="458" spans="6:6" x14ac:dyDescent="0.35">
      <c r="F458" s="18"/>
    </row>
    <row r="459" spans="6:6" x14ac:dyDescent="0.35">
      <c r="F459" s="18"/>
    </row>
    <row r="460" spans="6:6" x14ac:dyDescent="0.35">
      <c r="F460" s="18"/>
    </row>
    <row r="461" spans="6:6" x14ac:dyDescent="0.35">
      <c r="F461" s="18"/>
    </row>
    <row r="462" spans="6:6" x14ac:dyDescent="0.35">
      <c r="F462" s="18"/>
    </row>
    <row r="463" spans="6:6" x14ac:dyDescent="0.35">
      <c r="F463" s="18"/>
    </row>
    <row r="464" spans="6:6" x14ac:dyDescent="0.35">
      <c r="F464" s="18"/>
    </row>
    <row r="465" spans="5:6" x14ac:dyDescent="0.35">
      <c r="F465" s="18"/>
    </row>
    <row r="466" spans="5:6" x14ac:dyDescent="0.35">
      <c r="E466" s="2"/>
      <c r="F466" s="18"/>
    </row>
    <row r="467" spans="5:6" x14ac:dyDescent="0.35">
      <c r="F467" s="18"/>
    </row>
    <row r="468" spans="5:6" x14ac:dyDescent="0.35">
      <c r="F468" s="18"/>
    </row>
    <row r="469" spans="5:6" x14ac:dyDescent="0.35">
      <c r="F469" s="18"/>
    </row>
    <row r="470" spans="5:6" x14ac:dyDescent="0.35">
      <c r="F470" s="18"/>
    </row>
    <row r="471" spans="5:6" x14ac:dyDescent="0.35">
      <c r="F471" s="18"/>
    </row>
    <row r="472" spans="5:6" x14ac:dyDescent="0.35">
      <c r="F472" s="18"/>
    </row>
    <row r="473" spans="5:6" x14ac:dyDescent="0.35">
      <c r="F473" s="18"/>
    </row>
    <row r="474" spans="5:6" x14ac:dyDescent="0.35">
      <c r="F474" s="18"/>
    </row>
    <row r="475" spans="5:6" x14ac:dyDescent="0.35">
      <c r="F475" s="18"/>
    </row>
    <row r="476" spans="5:6" x14ac:dyDescent="0.35">
      <c r="F476" s="18"/>
    </row>
    <row r="477" spans="5:6" x14ac:dyDescent="0.35">
      <c r="F477" s="18"/>
    </row>
    <row r="478" spans="5:6" x14ac:dyDescent="0.35">
      <c r="F478" s="18"/>
    </row>
    <row r="479" spans="5:6" x14ac:dyDescent="0.35">
      <c r="F479" s="18"/>
    </row>
    <row r="480" spans="5:6" x14ac:dyDescent="0.35">
      <c r="F480" s="18"/>
    </row>
    <row r="481" spans="6:6" x14ac:dyDescent="0.35">
      <c r="F481" s="18"/>
    </row>
    <row r="482" spans="6:6" x14ac:dyDescent="0.35">
      <c r="F482" s="18"/>
    </row>
    <row r="483" spans="6:6" x14ac:dyDescent="0.35">
      <c r="F483" s="18"/>
    </row>
    <row r="484" spans="6:6" x14ac:dyDescent="0.35">
      <c r="F484" s="18"/>
    </row>
    <row r="485" spans="6:6" x14ac:dyDescent="0.35">
      <c r="F485" s="18"/>
    </row>
    <row r="486" spans="6:6" x14ac:dyDescent="0.35">
      <c r="F486" s="18"/>
    </row>
    <row r="487" spans="6:6" x14ac:dyDescent="0.35">
      <c r="F487" s="18"/>
    </row>
    <row r="488" spans="6:6" x14ac:dyDescent="0.35">
      <c r="F488" s="18"/>
    </row>
    <row r="489" spans="6:6" x14ac:dyDescent="0.35">
      <c r="F489" s="18"/>
    </row>
    <row r="490" spans="6:6" x14ac:dyDescent="0.35">
      <c r="F490" s="18"/>
    </row>
    <row r="491" spans="6:6" x14ac:dyDescent="0.35">
      <c r="F491" s="18"/>
    </row>
    <row r="492" spans="6:6" x14ac:dyDescent="0.35">
      <c r="F492" s="18"/>
    </row>
    <row r="493" spans="6:6" x14ac:dyDescent="0.35">
      <c r="F493" s="18"/>
    </row>
    <row r="494" spans="6:6" x14ac:dyDescent="0.35">
      <c r="F494" s="18"/>
    </row>
    <row r="495" spans="6:6" x14ac:dyDescent="0.35">
      <c r="F495" s="18"/>
    </row>
    <row r="496" spans="6:6" x14ac:dyDescent="0.35">
      <c r="F496" s="18"/>
    </row>
    <row r="497" spans="5:6" x14ac:dyDescent="0.35">
      <c r="F497" s="18"/>
    </row>
    <row r="498" spans="5:6" x14ac:dyDescent="0.35">
      <c r="F498" s="18"/>
    </row>
    <row r="499" spans="5:6" x14ac:dyDescent="0.35">
      <c r="F499" s="18"/>
    </row>
    <row r="500" spans="5:6" x14ac:dyDescent="0.35">
      <c r="F500" s="18"/>
    </row>
    <row r="501" spans="5:6" x14ac:dyDescent="0.35">
      <c r="F501" s="18"/>
    </row>
    <row r="502" spans="5:6" x14ac:dyDescent="0.35">
      <c r="F502" s="18"/>
    </row>
    <row r="503" spans="5:6" x14ac:dyDescent="0.35">
      <c r="F503" s="18"/>
    </row>
    <row r="504" spans="5:6" x14ac:dyDescent="0.35">
      <c r="F504" s="18"/>
    </row>
    <row r="505" spans="5:6" x14ac:dyDescent="0.35">
      <c r="F505" s="18"/>
    </row>
    <row r="506" spans="5:6" x14ac:dyDescent="0.35">
      <c r="F506" s="18"/>
    </row>
    <row r="507" spans="5:6" x14ac:dyDescent="0.35">
      <c r="F507" s="18"/>
    </row>
    <row r="508" spans="5:6" x14ac:dyDescent="0.35">
      <c r="F508" s="18"/>
    </row>
    <row r="509" spans="5:6" x14ac:dyDescent="0.35">
      <c r="E509" s="2"/>
      <c r="F509" s="18"/>
    </row>
    <row r="510" spans="5:6" x14ac:dyDescent="0.35">
      <c r="F510" s="18"/>
    </row>
    <row r="511" spans="5:6" x14ac:dyDescent="0.35">
      <c r="F511" s="18"/>
    </row>
    <row r="512" spans="5:6" x14ac:dyDescent="0.35">
      <c r="F512" s="18"/>
    </row>
    <row r="513" spans="6:6" x14ac:dyDescent="0.35">
      <c r="F513" s="18"/>
    </row>
    <row r="514" spans="6:6" x14ac:dyDescent="0.35">
      <c r="F514" s="18"/>
    </row>
    <row r="515" spans="6:6" x14ac:dyDescent="0.35">
      <c r="F515" s="18"/>
    </row>
    <row r="516" spans="6:6" x14ac:dyDescent="0.35">
      <c r="F516" s="18"/>
    </row>
    <row r="517" spans="6:6" x14ac:dyDescent="0.35">
      <c r="F517" s="18"/>
    </row>
    <row r="518" spans="6:6" x14ac:dyDescent="0.35">
      <c r="F518" s="18"/>
    </row>
    <row r="519" spans="6:6" x14ac:dyDescent="0.35">
      <c r="F519" s="18"/>
    </row>
    <row r="520" spans="6:6" x14ac:dyDescent="0.35">
      <c r="F520" s="18"/>
    </row>
    <row r="521" spans="6:6" x14ac:dyDescent="0.35">
      <c r="F521" s="18"/>
    </row>
    <row r="522" spans="6:6" x14ac:dyDescent="0.35">
      <c r="F522" s="18"/>
    </row>
    <row r="523" spans="6:6" x14ac:dyDescent="0.35">
      <c r="F523" s="18"/>
    </row>
    <row r="524" spans="6:6" x14ac:dyDescent="0.35">
      <c r="F524" s="18"/>
    </row>
    <row r="525" spans="6:6" x14ac:dyDescent="0.35">
      <c r="F525" s="18"/>
    </row>
    <row r="526" spans="6:6" x14ac:dyDescent="0.35">
      <c r="F526" s="18"/>
    </row>
    <row r="527" spans="6:6" x14ac:dyDescent="0.35">
      <c r="F527" s="18"/>
    </row>
    <row r="528" spans="6:6" x14ac:dyDescent="0.35">
      <c r="F528" s="18"/>
    </row>
    <row r="529" spans="6:6" x14ac:dyDescent="0.35">
      <c r="F529" s="18"/>
    </row>
    <row r="530" spans="6:6" x14ac:dyDescent="0.35">
      <c r="F530" s="18"/>
    </row>
    <row r="531" spans="6:6" x14ac:dyDescent="0.35">
      <c r="F531" s="18"/>
    </row>
    <row r="532" spans="6:6" x14ac:dyDescent="0.35">
      <c r="F532" s="18"/>
    </row>
    <row r="533" spans="6:6" x14ac:dyDescent="0.35">
      <c r="F533" s="18"/>
    </row>
    <row r="534" spans="6:6" x14ac:dyDescent="0.35">
      <c r="F534" s="18"/>
    </row>
    <row r="535" spans="6:6" x14ac:dyDescent="0.35">
      <c r="F535" s="18"/>
    </row>
    <row r="536" spans="6:6" x14ac:dyDescent="0.35">
      <c r="F536" s="18"/>
    </row>
    <row r="537" spans="6:6" x14ac:dyDescent="0.35">
      <c r="F537" s="18"/>
    </row>
    <row r="538" spans="6:6" x14ac:dyDescent="0.35">
      <c r="F538" s="18"/>
    </row>
    <row r="539" spans="6:6" x14ac:dyDescent="0.35">
      <c r="F539" s="18"/>
    </row>
    <row r="540" spans="6:6" x14ac:dyDescent="0.35">
      <c r="F540" s="18"/>
    </row>
    <row r="541" spans="6:6" x14ac:dyDescent="0.35">
      <c r="F541" s="18"/>
    </row>
    <row r="542" spans="6:6" x14ac:dyDescent="0.35">
      <c r="F542" s="18"/>
    </row>
    <row r="543" spans="6:6" x14ac:dyDescent="0.35">
      <c r="F543" s="18"/>
    </row>
    <row r="544" spans="6:6" x14ac:dyDescent="0.35">
      <c r="F544" s="18"/>
    </row>
    <row r="545" spans="6:6" x14ac:dyDescent="0.35">
      <c r="F545" s="18"/>
    </row>
    <row r="546" spans="6:6" x14ac:dyDescent="0.35">
      <c r="F546" s="18"/>
    </row>
    <row r="547" spans="6:6" x14ac:dyDescent="0.35">
      <c r="F547" s="18"/>
    </row>
    <row r="548" spans="6:6" x14ac:dyDescent="0.35">
      <c r="F548" s="18"/>
    </row>
    <row r="549" spans="6:6" x14ac:dyDescent="0.35">
      <c r="F549" s="18"/>
    </row>
    <row r="550" spans="6:6" x14ac:dyDescent="0.35">
      <c r="F550" s="18"/>
    </row>
    <row r="551" spans="6:6" x14ac:dyDescent="0.35">
      <c r="F551" s="18"/>
    </row>
    <row r="552" spans="6:6" x14ac:dyDescent="0.35">
      <c r="F552" s="18"/>
    </row>
    <row r="553" spans="6:6" x14ac:dyDescent="0.35">
      <c r="F553" s="18"/>
    </row>
    <row r="554" spans="6:6" x14ac:dyDescent="0.35">
      <c r="F554" s="18"/>
    </row>
    <row r="555" spans="6:6" x14ac:dyDescent="0.35">
      <c r="F555" s="18"/>
    </row>
    <row r="556" spans="6:6" x14ac:dyDescent="0.35">
      <c r="F556" s="18"/>
    </row>
    <row r="557" spans="6:6" x14ac:dyDescent="0.35">
      <c r="F557" s="18"/>
    </row>
    <row r="558" spans="6:6" x14ac:dyDescent="0.35">
      <c r="F558" s="18"/>
    </row>
    <row r="559" spans="6:6" x14ac:dyDescent="0.35">
      <c r="F559" s="18"/>
    </row>
    <row r="560" spans="6:6" x14ac:dyDescent="0.35">
      <c r="F560" s="18"/>
    </row>
    <row r="561" spans="6:6" x14ac:dyDescent="0.35">
      <c r="F561" s="18"/>
    </row>
    <row r="562" spans="6:6" x14ac:dyDescent="0.35">
      <c r="F562" s="18"/>
    </row>
    <row r="563" spans="6:6" x14ac:dyDescent="0.35">
      <c r="F563" s="18"/>
    </row>
    <row r="564" spans="6:6" x14ac:dyDescent="0.35">
      <c r="F564" s="18"/>
    </row>
    <row r="565" spans="6:6" x14ac:dyDescent="0.35">
      <c r="F565" s="18"/>
    </row>
    <row r="566" spans="6:6" x14ac:dyDescent="0.35">
      <c r="F566" s="18"/>
    </row>
    <row r="567" spans="6:6" x14ac:dyDescent="0.35">
      <c r="F567" s="18"/>
    </row>
    <row r="568" spans="6:6" x14ac:dyDescent="0.35">
      <c r="F568" s="18"/>
    </row>
    <row r="569" spans="6:6" x14ac:dyDescent="0.35">
      <c r="F569" s="18"/>
    </row>
    <row r="570" spans="6:6" x14ac:dyDescent="0.35">
      <c r="F570" s="18"/>
    </row>
    <row r="571" spans="6:6" x14ac:dyDescent="0.35">
      <c r="F571" s="18"/>
    </row>
    <row r="572" spans="6:6" x14ac:dyDescent="0.35">
      <c r="F572" s="18"/>
    </row>
    <row r="573" spans="6:6" x14ac:dyDescent="0.35">
      <c r="F573" s="18"/>
    </row>
    <row r="574" spans="6:6" x14ac:dyDescent="0.35">
      <c r="F574" s="18"/>
    </row>
    <row r="575" spans="6:6" x14ac:dyDescent="0.35">
      <c r="F575" s="18"/>
    </row>
    <row r="576" spans="6:6" x14ac:dyDescent="0.35">
      <c r="F576" s="18"/>
    </row>
    <row r="577" spans="6:6" x14ac:dyDescent="0.35">
      <c r="F577" s="18"/>
    </row>
    <row r="578" spans="6:6" x14ac:dyDescent="0.35">
      <c r="F578" s="18"/>
    </row>
    <row r="579" spans="6:6" x14ac:dyDescent="0.35">
      <c r="F579" s="18"/>
    </row>
    <row r="580" spans="6:6" x14ac:dyDescent="0.35">
      <c r="F580" s="18"/>
    </row>
    <row r="581" spans="6:6" x14ac:dyDescent="0.35">
      <c r="F581" s="18"/>
    </row>
    <row r="582" spans="6:6" x14ac:dyDescent="0.35">
      <c r="F582" s="18"/>
    </row>
    <row r="583" spans="6:6" x14ac:dyDescent="0.35">
      <c r="F583" s="18"/>
    </row>
    <row r="584" spans="6:6" x14ac:dyDescent="0.35">
      <c r="F584" s="18"/>
    </row>
    <row r="585" spans="6:6" x14ac:dyDescent="0.35">
      <c r="F585" s="18"/>
    </row>
    <row r="586" spans="6:6" x14ac:dyDescent="0.35">
      <c r="F586" s="18"/>
    </row>
    <row r="587" spans="6:6" x14ac:dyDescent="0.35">
      <c r="F587" s="18"/>
    </row>
    <row r="588" spans="6:6" x14ac:dyDescent="0.35">
      <c r="F588" s="18"/>
    </row>
    <row r="589" spans="6:6" x14ac:dyDescent="0.35">
      <c r="F589" s="18"/>
    </row>
    <row r="590" spans="6:6" x14ac:dyDescent="0.35">
      <c r="F590" s="18"/>
    </row>
    <row r="591" spans="6:6" x14ac:dyDescent="0.35">
      <c r="F591" s="18"/>
    </row>
    <row r="592" spans="6:6" x14ac:dyDescent="0.35">
      <c r="F592" s="18"/>
    </row>
    <row r="593" spans="6:6" x14ac:dyDescent="0.35">
      <c r="F593" s="18"/>
    </row>
    <row r="594" spans="6:6" x14ac:dyDescent="0.35">
      <c r="F594" s="18"/>
    </row>
    <row r="595" spans="6:6" x14ac:dyDescent="0.35">
      <c r="F595" s="18"/>
    </row>
    <row r="596" spans="6:6" x14ac:dyDescent="0.35">
      <c r="F596" s="18"/>
    </row>
    <row r="597" spans="6:6" x14ac:dyDescent="0.35">
      <c r="F597" s="18"/>
    </row>
    <row r="598" spans="6:6" x14ac:dyDescent="0.35">
      <c r="F598" s="18"/>
    </row>
    <row r="599" spans="6:6" x14ac:dyDescent="0.35">
      <c r="F599" s="18"/>
    </row>
    <row r="600" spans="6:6" x14ac:dyDescent="0.35">
      <c r="F600" s="18"/>
    </row>
    <row r="601" spans="6:6" x14ac:dyDescent="0.35">
      <c r="F601" s="18"/>
    </row>
    <row r="602" spans="6:6" x14ac:dyDescent="0.35">
      <c r="F602" s="18"/>
    </row>
    <row r="603" spans="6:6" x14ac:dyDescent="0.35">
      <c r="F603" s="18"/>
    </row>
    <row r="604" spans="6:6" x14ac:dyDescent="0.35">
      <c r="F604" s="18"/>
    </row>
    <row r="605" spans="6:6" x14ac:dyDescent="0.35">
      <c r="F605" s="18"/>
    </row>
    <row r="606" spans="6:6" x14ac:dyDescent="0.35">
      <c r="F606" s="18"/>
    </row>
    <row r="607" spans="6:6" x14ac:dyDescent="0.35">
      <c r="F607" s="18"/>
    </row>
    <row r="608" spans="6:6" x14ac:dyDescent="0.35">
      <c r="F608" s="18"/>
    </row>
    <row r="609" spans="6:6" x14ac:dyDescent="0.35">
      <c r="F609" s="18"/>
    </row>
    <row r="610" spans="6:6" x14ac:dyDescent="0.35">
      <c r="F610" s="18"/>
    </row>
    <row r="611" spans="6:6" x14ac:dyDescent="0.35">
      <c r="F611" s="18"/>
    </row>
    <row r="612" spans="6:6" x14ac:dyDescent="0.35">
      <c r="F612" s="18"/>
    </row>
    <row r="613" spans="6:6" x14ac:dyDescent="0.35">
      <c r="F613" s="18"/>
    </row>
    <row r="614" spans="6:6" x14ac:dyDescent="0.35">
      <c r="F614" s="18"/>
    </row>
    <row r="615" spans="6:6" x14ac:dyDescent="0.35">
      <c r="F615" s="18"/>
    </row>
    <row r="616" spans="6:6" x14ac:dyDescent="0.35">
      <c r="F616" s="18"/>
    </row>
    <row r="617" spans="6:6" x14ac:dyDescent="0.35">
      <c r="F617" s="18"/>
    </row>
    <row r="618" spans="6:6" x14ac:dyDescent="0.35">
      <c r="F618" s="18"/>
    </row>
    <row r="619" spans="6:6" x14ac:dyDescent="0.35">
      <c r="F619" s="18"/>
    </row>
    <row r="620" spans="6:6" x14ac:dyDescent="0.35">
      <c r="F620" s="18"/>
    </row>
    <row r="621" spans="6:6" x14ac:dyDescent="0.35">
      <c r="F621" s="18"/>
    </row>
    <row r="622" spans="6:6" x14ac:dyDescent="0.35">
      <c r="F622" s="18"/>
    </row>
    <row r="623" spans="6:6" x14ac:dyDescent="0.35">
      <c r="F623" s="18"/>
    </row>
    <row r="624" spans="6:6" x14ac:dyDescent="0.35">
      <c r="F624" s="18"/>
    </row>
    <row r="625" spans="6:6" x14ac:dyDescent="0.35">
      <c r="F625" s="18"/>
    </row>
    <row r="626" spans="6:6" x14ac:dyDescent="0.35">
      <c r="F626" s="18"/>
    </row>
    <row r="627" spans="6:6" x14ac:dyDescent="0.35">
      <c r="F627" s="18"/>
    </row>
    <row r="628" spans="6:6" x14ac:dyDescent="0.35">
      <c r="F628" s="18"/>
    </row>
    <row r="629" spans="6:6" x14ac:dyDescent="0.35">
      <c r="F629" s="18"/>
    </row>
    <row r="630" spans="6:6" x14ac:dyDescent="0.35">
      <c r="F630" s="18"/>
    </row>
    <row r="631" spans="6:6" x14ac:dyDescent="0.35">
      <c r="F631" s="18"/>
    </row>
    <row r="632" spans="6:6" x14ac:dyDescent="0.35">
      <c r="F632" s="18"/>
    </row>
    <row r="633" spans="6:6" x14ac:dyDescent="0.35">
      <c r="F633" s="18"/>
    </row>
    <row r="634" spans="6:6" x14ac:dyDescent="0.35">
      <c r="F634" s="18"/>
    </row>
    <row r="635" spans="6:6" x14ac:dyDescent="0.35">
      <c r="F635" s="18"/>
    </row>
    <row r="636" spans="6:6" x14ac:dyDescent="0.35">
      <c r="F636" s="18"/>
    </row>
    <row r="637" spans="6:6" x14ac:dyDescent="0.35">
      <c r="F637" s="18"/>
    </row>
    <row r="638" spans="6:6" x14ac:dyDescent="0.35">
      <c r="F638" s="18"/>
    </row>
    <row r="639" spans="6:6" x14ac:dyDescent="0.35">
      <c r="F639" s="18"/>
    </row>
    <row r="640" spans="6:6" x14ac:dyDescent="0.35">
      <c r="F640" s="18"/>
    </row>
    <row r="641" spans="6:6" x14ac:dyDescent="0.35">
      <c r="F641" s="18"/>
    </row>
    <row r="642" spans="6:6" x14ac:dyDescent="0.35">
      <c r="F642" s="18"/>
    </row>
    <row r="643" spans="6:6" x14ac:dyDescent="0.35">
      <c r="F643" s="18"/>
    </row>
    <row r="644" spans="6:6" x14ac:dyDescent="0.35">
      <c r="F644" s="18"/>
    </row>
    <row r="645" spans="6:6" x14ac:dyDescent="0.35">
      <c r="F645" s="18"/>
    </row>
    <row r="646" spans="6:6" x14ac:dyDescent="0.35">
      <c r="F646" s="18"/>
    </row>
    <row r="647" spans="6:6" x14ac:dyDescent="0.35">
      <c r="F647" s="18"/>
    </row>
    <row r="648" spans="6:6" x14ac:dyDescent="0.35">
      <c r="F648" s="18"/>
    </row>
    <row r="649" spans="6:6" x14ac:dyDescent="0.35">
      <c r="F649" s="18"/>
    </row>
    <row r="650" spans="6:6" x14ac:dyDescent="0.35">
      <c r="F650" s="18"/>
    </row>
    <row r="651" spans="6:6" x14ac:dyDescent="0.35">
      <c r="F651" s="18"/>
    </row>
    <row r="652" spans="6:6" x14ac:dyDescent="0.35">
      <c r="F652" s="18"/>
    </row>
    <row r="653" spans="6:6" x14ac:dyDescent="0.35">
      <c r="F653" s="18"/>
    </row>
    <row r="654" spans="6:6" x14ac:dyDescent="0.35">
      <c r="F654" s="18"/>
    </row>
    <row r="655" spans="6:6" x14ac:dyDescent="0.35">
      <c r="F655" s="18"/>
    </row>
    <row r="656" spans="6:6" x14ac:dyDescent="0.35">
      <c r="F656" s="18"/>
    </row>
    <row r="657" spans="6:6" x14ac:dyDescent="0.35">
      <c r="F657" s="18"/>
    </row>
    <row r="658" spans="6:6" x14ac:dyDescent="0.35">
      <c r="F658" s="18"/>
    </row>
    <row r="659" spans="6:6" x14ac:dyDescent="0.35">
      <c r="F659" s="18"/>
    </row>
    <row r="660" spans="6:6" x14ac:dyDescent="0.35">
      <c r="F660" s="18"/>
    </row>
    <row r="661" spans="6:6" x14ac:dyDescent="0.35">
      <c r="F661" s="18"/>
    </row>
    <row r="662" spans="6:6" x14ac:dyDescent="0.35">
      <c r="F662" s="18"/>
    </row>
    <row r="663" spans="6:6" x14ac:dyDescent="0.35">
      <c r="F663" s="18"/>
    </row>
    <row r="664" spans="6:6" x14ac:dyDescent="0.35">
      <c r="F664" s="18"/>
    </row>
    <row r="665" spans="6:6" x14ac:dyDescent="0.35">
      <c r="F665" s="18"/>
    </row>
    <row r="666" spans="6:6" x14ac:dyDescent="0.35">
      <c r="F666" s="18"/>
    </row>
    <row r="667" spans="6:6" x14ac:dyDescent="0.35">
      <c r="F667" s="18"/>
    </row>
    <row r="668" spans="6:6" x14ac:dyDescent="0.35">
      <c r="F668" s="18"/>
    </row>
    <row r="669" spans="6:6" x14ac:dyDescent="0.35">
      <c r="F669" s="18"/>
    </row>
    <row r="670" spans="6:6" x14ac:dyDescent="0.35">
      <c r="F670" s="18"/>
    </row>
    <row r="671" spans="6:6" x14ac:dyDescent="0.35">
      <c r="F671" s="18"/>
    </row>
    <row r="672" spans="6:6" x14ac:dyDescent="0.35">
      <c r="F672" s="18"/>
    </row>
    <row r="673" spans="5:6" x14ac:dyDescent="0.35">
      <c r="F673" s="18"/>
    </row>
    <row r="674" spans="5:6" x14ac:dyDescent="0.35">
      <c r="F674" s="18"/>
    </row>
    <row r="675" spans="5:6" x14ac:dyDescent="0.35">
      <c r="F675" s="18"/>
    </row>
    <row r="676" spans="5:6" x14ac:dyDescent="0.35">
      <c r="F676" s="18"/>
    </row>
    <row r="677" spans="5:6" x14ac:dyDescent="0.35">
      <c r="E677" s="2"/>
      <c r="F677" s="18"/>
    </row>
    <row r="678" spans="5:6" x14ac:dyDescent="0.35">
      <c r="F678" s="18"/>
    </row>
    <row r="679" spans="5:6" x14ac:dyDescent="0.35">
      <c r="F679" s="18"/>
    </row>
    <row r="680" spans="5:6" x14ac:dyDescent="0.35">
      <c r="F680" s="18"/>
    </row>
    <row r="681" spans="5:6" x14ac:dyDescent="0.35">
      <c r="F681" s="18"/>
    </row>
    <row r="682" spans="5:6" x14ac:dyDescent="0.35">
      <c r="F682" s="18"/>
    </row>
    <row r="683" spans="5:6" x14ac:dyDescent="0.35">
      <c r="F683" s="18"/>
    </row>
    <row r="684" spans="5:6" x14ac:dyDescent="0.35">
      <c r="F684" s="18"/>
    </row>
    <row r="685" spans="5:6" x14ac:dyDescent="0.35">
      <c r="F685" s="18"/>
    </row>
    <row r="686" spans="5:6" x14ac:dyDescent="0.35">
      <c r="F686" s="18"/>
    </row>
    <row r="687" spans="5:6" x14ac:dyDescent="0.35">
      <c r="F687" s="18"/>
    </row>
    <row r="688" spans="5:6" x14ac:dyDescent="0.35">
      <c r="F688" s="18"/>
    </row>
    <row r="689" spans="6:6" x14ac:dyDescent="0.35">
      <c r="F689" s="18"/>
    </row>
    <row r="690" spans="6:6" x14ac:dyDescent="0.35">
      <c r="F690" s="18"/>
    </row>
    <row r="691" spans="6:6" x14ac:dyDescent="0.35">
      <c r="F691" s="5"/>
    </row>
    <row r="692" spans="6:6" x14ac:dyDescent="0.35">
      <c r="F692" s="5"/>
    </row>
    <row r="693" spans="6:6" x14ac:dyDescent="0.35">
      <c r="F693" s="5"/>
    </row>
    <row r="694" spans="6:6" x14ac:dyDescent="0.35">
      <c r="F694" s="5"/>
    </row>
    <row r="695" spans="6:6" x14ac:dyDescent="0.35">
      <c r="F695" s="5"/>
    </row>
    <row r="696" spans="6:6" x14ac:dyDescent="0.35">
      <c r="F696" s="5"/>
    </row>
    <row r="697" spans="6:6" x14ac:dyDescent="0.35">
      <c r="F697" s="5"/>
    </row>
    <row r="698" spans="6:6" x14ac:dyDescent="0.35">
      <c r="F698" s="5"/>
    </row>
    <row r="699" spans="6:6" x14ac:dyDescent="0.35">
      <c r="F699" s="5"/>
    </row>
    <row r="700" spans="6:6" x14ac:dyDescent="0.35">
      <c r="F700" s="5"/>
    </row>
    <row r="701" spans="6:6" x14ac:dyDescent="0.35">
      <c r="F701" s="5"/>
    </row>
    <row r="702" spans="6:6" x14ac:dyDescent="0.35">
      <c r="F702" s="5"/>
    </row>
    <row r="703" spans="6:6" x14ac:dyDescent="0.35">
      <c r="F703" s="5"/>
    </row>
    <row r="704" spans="6:6" x14ac:dyDescent="0.35">
      <c r="F704" s="5"/>
    </row>
    <row r="705" spans="6:6" x14ac:dyDescent="0.35">
      <c r="F705" s="5"/>
    </row>
    <row r="706" spans="6:6" x14ac:dyDescent="0.35">
      <c r="F706" s="5"/>
    </row>
    <row r="707" spans="6:6" x14ac:dyDescent="0.35">
      <c r="F707" s="5"/>
    </row>
    <row r="708" spans="6:6" x14ac:dyDescent="0.35">
      <c r="F708" s="5"/>
    </row>
    <row r="709" spans="6:6" x14ac:dyDescent="0.35">
      <c r="F709" s="5"/>
    </row>
    <row r="710" spans="6:6" x14ac:dyDescent="0.35">
      <c r="F710" s="5"/>
    </row>
    <row r="711" spans="6:6" x14ac:dyDescent="0.35">
      <c r="F711" s="5"/>
    </row>
    <row r="712" spans="6:6" x14ac:dyDescent="0.35">
      <c r="F712" s="5"/>
    </row>
    <row r="713" spans="6:6" x14ac:dyDescent="0.35">
      <c r="F713" s="5"/>
    </row>
    <row r="714" spans="6:6" x14ac:dyDescent="0.35">
      <c r="F714" s="5"/>
    </row>
    <row r="715" spans="6:6" x14ac:dyDescent="0.35">
      <c r="F715" s="5"/>
    </row>
    <row r="716" spans="6:6" x14ac:dyDescent="0.35">
      <c r="F716" s="5"/>
    </row>
    <row r="717" spans="6:6" x14ac:dyDescent="0.35">
      <c r="F717" s="5"/>
    </row>
    <row r="718" spans="6:6" x14ac:dyDescent="0.35">
      <c r="F718" s="5"/>
    </row>
    <row r="719" spans="6:6" x14ac:dyDescent="0.35">
      <c r="F719" s="5"/>
    </row>
    <row r="720" spans="6:6" x14ac:dyDescent="0.35">
      <c r="F720" s="5"/>
    </row>
    <row r="721" spans="5:6" x14ac:dyDescent="0.35">
      <c r="F721" s="5"/>
    </row>
    <row r="722" spans="5:6" x14ac:dyDescent="0.35">
      <c r="F722" s="5"/>
    </row>
    <row r="723" spans="5:6" x14ac:dyDescent="0.35">
      <c r="F723" s="5"/>
    </row>
    <row r="724" spans="5:6" x14ac:dyDescent="0.35">
      <c r="F724" s="5"/>
    </row>
    <row r="725" spans="5:6" x14ac:dyDescent="0.35">
      <c r="F725" s="5"/>
    </row>
    <row r="726" spans="5:6" x14ac:dyDescent="0.35">
      <c r="F726" s="5"/>
    </row>
    <row r="727" spans="5:6" x14ac:dyDescent="0.35">
      <c r="F727" s="5"/>
    </row>
    <row r="728" spans="5:6" x14ac:dyDescent="0.35">
      <c r="F728" s="5"/>
    </row>
    <row r="729" spans="5:6" x14ac:dyDescent="0.35">
      <c r="F729" s="5"/>
    </row>
    <row r="730" spans="5:6" x14ac:dyDescent="0.35">
      <c r="F730" s="5"/>
    </row>
    <row r="731" spans="5:6" x14ac:dyDescent="0.35">
      <c r="F731" s="5"/>
    </row>
    <row r="732" spans="5:6" x14ac:dyDescent="0.35">
      <c r="F732" s="5"/>
    </row>
    <row r="733" spans="5:6" x14ac:dyDescent="0.35">
      <c r="F733" s="5"/>
    </row>
    <row r="734" spans="5:6" x14ac:dyDescent="0.35">
      <c r="F734" s="5"/>
    </row>
    <row r="735" spans="5:6" x14ac:dyDescent="0.35">
      <c r="E735" s="2"/>
      <c r="F735" s="5"/>
    </row>
    <row r="736" spans="5:6" x14ac:dyDescent="0.35">
      <c r="F736" s="5"/>
    </row>
    <row r="737" spans="5:6" x14ac:dyDescent="0.35">
      <c r="F737" s="5"/>
    </row>
    <row r="738" spans="5:6" x14ac:dyDescent="0.35">
      <c r="F738" s="5"/>
    </row>
    <row r="739" spans="5:6" x14ac:dyDescent="0.35">
      <c r="F739" s="5"/>
    </row>
    <row r="740" spans="5:6" x14ac:dyDescent="0.35">
      <c r="F740" s="5"/>
    </row>
    <row r="741" spans="5:6" x14ac:dyDescent="0.35">
      <c r="F741" s="5"/>
    </row>
    <row r="742" spans="5:6" x14ac:dyDescent="0.35">
      <c r="F742" s="5"/>
    </row>
    <row r="743" spans="5:6" x14ac:dyDescent="0.35">
      <c r="F743" s="5"/>
    </row>
    <row r="744" spans="5:6" x14ac:dyDescent="0.35">
      <c r="E744" s="2"/>
      <c r="F744" s="5"/>
    </row>
    <row r="745" spans="5:6" x14ac:dyDescent="0.35">
      <c r="F745" s="5"/>
    </row>
    <row r="746" spans="5:6" x14ac:dyDescent="0.35">
      <c r="F746" s="5"/>
    </row>
    <row r="747" spans="5:6" x14ac:dyDescent="0.35">
      <c r="F747" s="5"/>
    </row>
    <row r="748" spans="5:6" x14ac:dyDescent="0.35">
      <c r="F748" s="5"/>
    </row>
    <row r="749" spans="5:6" x14ac:dyDescent="0.35">
      <c r="F749" s="5"/>
    </row>
    <row r="750" spans="5:6" x14ac:dyDescent="0.35">
      <c r="F750" s="5"/>
    </row>
    <row r="751" spans="5:6" x14ac:dyDescent="0.35">
      <c r="F751" s="5"/>
    </row>
    <row r="752" spans="5:6" x14ac:dyDescent="0.35">
      <c r="F752" s="5"/>
    </row>
    <row r="753" spans="6:8" x14ac:dyDescent="0.35">
      <c r="F753" s="5"/>
    </row>
    <row r="754" spans="6:8" x14ac:dyDescent="0.35">
      <c r="F754" s="5"/>
    </row>
    <row r="755" spans="6:8" x14ac:dyDescent="0.35">
      <c r="F755" s="5"/>
    </row>
    <row r="756" spans="6:8" x14ac:dyDescent="0.35">
      <c r="F756" s="5"/>
    </row>
    <row r="757" spans="6:8" x14ac:dyDescent="0.35">
      <c r="F757" s="5"/>
    </row>
    <row r="758" spans="6:8" x14ac:dyDescent="0.35">
      <c r="F758" s="5"/>
    </row>
    <row r="759" spans="6:8" x14ac:dyDescent="0.35">
      <c r="F759" s="5"/>
    </row>
    <row r="760" spans="6:8" x14ac:dyDescent="0.35">
      <c r="F760" s="5"/>
      <c r="H760" s="5"/>
    </row>
    <row r="761" spans="6:8" x14ac:dyDescent="0.35">
      <c r="F761" s="5"/>
      <c r="H761" s="5"/>
    </row>
    <row r="762" spans="6:8" x14ac:dyDescent="0.35">
      <c r="F762" s="5"/>
      <c r="H762" s="5"/>
    </row>
    <row r="763" spans="6:8" x14ac:dyDescent="0.35">
      <c r="F763" s="5"/>
      <c r="H763" s="5"/>
    </row>
    <row r="764" spans="6:8" x14ac:dyDescent="0.35">
      <c r="F764" s="5"/>
      <c r="H764" s="5"/>
    </row>
    <row r="765" spans="6:8" x14ac:dyDescent="0.35">
      <c r="F765" s="5"/>
      <c r="H765" s="5"/>
    </row>
    <row r="766" spans="6:8" x14ac:dyDescent="0.35">
      <c r="F766" s="5"/>
      <c r="H766" s="5"/>
    </row>
    <row r="767" spans="6:8" x14ac:dyDescent="0.35">
      <c r="F767" s="5"/>
      <c r="H767" s="5"/>
    </row>
    <row r="768" spans="6:8" x14ac:dyDescent="0.35">
      <c r="F768" s="5"/>
      <c r="H768" s="5"/>
    </row>
    <row r="769" spans="6:8" x14ac:dyDescent="0.35">
      <c r="F769" s="5"/>
      <c r="H769" s="5"/>
    </row>
    <row r="770" spans="6:8" x14ac:dyDescent="0.35">
      <c r="F770" s="5"/>
      <c r="H770" s="5"/>
    </row>
    <row r="771" spans="6:8" x14ac:dyDescent="0.35">
      <c r="F771" s="5"/>
      <c r="H771" s="5"/>
    </row>
    <row r="772" spans="6:8" x14ac:dyDescent="0.35">
      <c r="F772" s="5"/>
      <c r="H772" s="5"/>
    </row>
    <row r="773" spans="6:8" x14ac:dyDescent="0.35">
      <c r="F773" s="5"/>
      <c r="H773" s="5"/>
    </row>
    <row r="774" spans="6:8" x14ac:dyDescent="0.35">
      <c r="F774" s="5"/>
      <c r="H774" s="5"/>
    </row>
    <row r="775" spans="6:8" x14ac:dyDescent="0.35">
      <c r="F775" s="5"/>
      <c r="H775" s="5"/>
    </row>
    <row r="776" spans="6:8" x14ac:dyDescent="0.35">
      <c r="F776" s="5"/>
      <c r="H776" s="5"/>
    </row>
    <row r="777" spans="6:8" x14ac:dyDescent="0.35">
      <c r="F777" s="5"/>
      <c r="H777" s="5"/>
    </row>
    <row r="778" spans="6:8" x14ac:dyDescent="0.35">
      <c r="F778" s="5"/>
      <c r="H778" s="5"/>
    </row>
    <row r="779" spans="6:8" x14ac:dyDescent="0.35">
      <c r="F779" s="5"/>
      <c r="H779" s="5"/>
    </row>
    <row r="780" spans="6:8" x14ac:dyDescent="0.35">
      <c r="F780" s="5"/>
      <c r="H780" s="5"/>
    </row>
    <row r="781" spans="6:8" x14ac:dyDescent="0.35">
      <c r="F781" s="5"/>
      <c r="H781" s="5"/>
    </row>
    <row r="782" spans="6:8" x14ac:dyDescent="0.35">
      <c r="F782" s="5"/>
      <c r="H782" s="5"/>
    </row>
    <row r="783" spans="6:8" x14ac:dyDescent="0.35">
      <c r="F783" s="5"/>
      <c r="H783" s="5"/>
    </row>
    <row r="784" spans="6:8" x14ac:dyDescent="0.35">
      <c r="F784" s="5"/>
      <c r="H784" s="5"/>
    </row>
    <row r="785" spans="5:8" x14ac:dyDescent="0.35">
      <c r="F785" s="5"/>
      <c r="H785" s="5"/>
    </row>
    <row r="786" spans="5:8" x14ac:dyDescent="0.35">
      <c r="E786" s="2"/>
      <c r="F786" s="5"/>
      <c r="H786" s="5"/>
    </row>
    <row r="787" spans="5:8" x14ac:dyDescent="0.35">
      <c r="F787" s="5"/>
      <c r="H787" s="5"/>
    </row>
    <row r="788" spans="5:8" x14ac:dyDescent="0.35">
      <c r="E788" s="2"/>
      <c r="F788" s="5"/>
      <c r="H788" s="5"/>
    </row>
    <row r="789" spans="5:8" x14ac:dyDescent="0.35">
      <c r="F789" s="5"/>
      <c r="H789" s="5"/>
    </row>
    <row r="790" spans="5:8" x14ac:dyDescent="0.35">
      <c r="F790" s="5"/>
      <c r="H790" s="5"/>
    </row>
    <row r="791" spans="5:8" x14ac:dyDescent="0.35">
      <c r="F791" s="5"/>
      <c r="H791" s="5"/>
    </row>
    <row r="792" spans="5:8" x14ac:dyDescent="0.35">
      <c r="E792" s="2"/>
      <c r="F792" s="5"/>
      <c r="H792" s="5"/>
    </row>
    <row r="793" spans="5:8" x14ac:dyDescent="0.35">
      <c r="F793" s="5"/>
      <c r="H793" s="5"/>
    </row>
    <row r="794" spans="5:8" x14ac:dyDescent="0.35">
      <c r="F794" s="5"/>
      <c r="H794" s="5"/>
    </row>
    <row r="795" spans="5:8" x14ac:dyDescent="0.35">
      <c r="F795" s="5"/>
      <c r="H795" s="5"/>
    </row>
    <row r="796" spans="5:8" x14ac:dyDescent="0.35">
      <c r="F796" s="5"/>
      <c r="H796" s="5"/>
    </row>
    <row r="797" spans="5:8" x14ac:dyDescent="0.35">
      <c r="F797" s="5"/>
      <c r="H797" s="5"/>
    </row>
    <row r="798" spans="5:8" x14ac:dyDescent="0.35">
      <c r="F798" s="5"/>
      <c r="H798" s="5"/>
    </row>
    <row r="799" spans="5:8" x14ac:dyDescent="0.35">
      <c r="E799" s="2"/>
      <c r="F799" s="5"/>
      <c r="H799" s="5"/>
    </row>
    <row r="800" spans="5:8" x14ac:dyDescent="0.35">
      <c r="F800" s="5"/>
      <c r="H800" s="5"/>
    </row>
    <row r="801" spans="6:8" x14ac:dyDescent="0.35">
      <c r="F801" s="5"/>
      <c r="H801" s="5"/>
    </row>
    <row r="802" spans="6:8" x14ac:dyDescent="0.35">
      <c r="F802" s="5"/>
      <c r="H802" s="5"/>
    </row>
    <row r="803" spans="6:8" x14ac:dyDescent="0.35">
      <c r="F803" s="5"/>
      <c r="H803" s="5"/>
    </row>
    <row r="804" spans="6:8" x14ac:dyDescent="0.35">
      <c r="F804" s="5"/>
      <c r="H804" s="5"/>
    </row>
    <row r="805" spans="6:8" x14ac:dyDescent="0.35">
      <c r="F805" s="5"/>
      <c r="H805" s="5"/>
    </row>
    <row r="806" spans="6:8" x14ac:dyDescent="0.35">
      <c r="F806" s="5"/>
      <c r="H806" s="5"/>
    </row>
    <row r="807" spans="6:8" x14ac:dyDescent="0.35">
      <c r="F807" s="5"/>
      <c r="H807" s="5"/>
    </row>
    <row r="808" spans="6:8" x14ac:dyDescent="0.35">
      <c r="F808" s="5"/>
      <c r="H808" s="5"/>
    </row>
    <row r="809" spans="6:8" x14ac:dyDescent="0.35">
      <c r="F809" s="5"/>
      <c r="H809" s="5"/>
    </row>
    <row r="810" spans="6:8" x14ac:dyDescent="0.35">
      <c r="F810" s="5"/>
      <c r="H810" s="5"/>
    </row>
    <row r="811" spans="6:8" x14ac:dyDescent="0.35">
      <c r="F811" s="5"/>
      <c r="H811" s="5"/>
    </row>
    <row r="812" spans="6:8" x14ac:dyDescent="0.35">
      <c r="F812" s="5"/>
      <c r="H812" s="5"/>
    </row>
    <row r="813" spans="6:8" x14ac:dyDescent="0.35">
      <c r="F813" s="5"/>
      <c r="H813" s="5"/>
    </row>
    <row r="814" spans="6:8" x14ac:dyDescent="0.35">
      <c r="F814" s="5"/>
      <c r="H814" s="5"/>
    </row>
    <row r="815" spans="6:8" x14ac:dyDescent="0.35">
      <c r="F815" s="5"/>
      <c r="H815" s="5"/>
    </row>
    <row r="816" spans="6:8" x14ac:dyDescent="0.35">
      <c r="F816" s="5"/>
      <c r="H816" s="5"/>
    </row>
    <row r="817" spans="5:8" x14ac:dyDescent="0.35">
      <c r="F817" s="5"/>
      <c r="H817" s="5"/>
    </row>
    <row r="818" spans="5:8" x14ac:dyDescent="0.35">
      <c r="F818" s="5"/>
      <c r="H818" s="5"/>
    </row>
    <row r="819" spans="5:8" x14ac:dyDescent="0.35">
      <c r="E819" s="2"/>
      <c r="F819" s="5"/>
      <c r="H819" s="5"/>
    </row>
    <row r="820" spans="5:8" x14ac:dyDescent="0.35">
      <c r="F820" s="5"/>
      <c r="H820" s="5"/>
    </row>
    <row r="821" spans="5:8" x14ac:dyDescent="0.35">
      <c r="F821" s="5"/>
      <c r="H821" s="5"/>
    </row>
    <row r="822" spans="5:8" x14ac:dyDescent="0.35">
      <c r="F822" s="5"/>
      <c r="H822" s="5"/>
    </row>
    <row r="823" spans="5:8" x14ac:dyDescent="0.35">
      <c r="F823" s="5"/>
      <c r="H823" s="5"/>
    </row>
    <row r="824" spans="5:8" x14ac:dyDescent="0.35">
      <c r="F824" s="5"/>
      <c r="H824" s="5"/>
    </row>
    <row r="825" spans="5:8" x14ac:dyDescent="0.35">
      <c r="F825" s="5"/>
      <c r="H825" s="5"/>
    </row>
    <row r="826" spans="5:8" x14ac:dyDescent="0.35">
      <c r="F826" s="5"/>
      <c r="H826" s="5"/>
    </row>
    <row r="827" spans="5:8" x14ac:dyDescent="0.35">
      <c r="F827" s="5"/>
      <c r="H827" s="5"/>
    </row>
    <row r="828" spans="5:8" x14ac:dyDescent="0.35">
      <c r="F828" s="5"/>
      <c r="H828" s="5"/>
    </row>
    <row r="829" spans="5:8" x14ac:dyDescent="0.35">
      <c r="F829" s="5"/>
      <c r="H829" s="5"/>
    </row>
    <row r="830" spans="5:8" x14ac:dyDescent="0.35">
      <c r="F830" s="5"/>
      <c r="H830" s="5"/>
    </row>
    <row r="831" spans="5:8" x14ac:dyDescent="0.35">
      <c r="F831" s="5"/>
      <c r="H831" s="5"/>
    </row>
    <row r="832" spans="5:8" x14ac:dyDescent="0.35">
      <c r="F832" s="5"/>
      <c r="H832" s="5"/>
    </row>
    <row r="833" spans="5:8" x14ac:dyDescent="0.35">
      <c r="F833" s="5"/>
      <c r="H833" s="5"/>
    </row>
    <row r="834" spans="5:8" x14ac:dyDescent="0.35">
      <c r="F834" s="5"/>
      <c r="H834" s="5"/>
    </row>
    <row r="835" spans="5:8" x14ac:dyDescent="0.35">
      <c r="F835" s="5"/>
      <c r="H835" s="5"/>
    </row>
    <row r="836" spans="5:8" x14ac:dyDescent="0.35">
      <c r="F836" s="5"/>
      <c r="H836" s="5"/>
    </row>
    <row r="837" spans="5:8" x14ac:dyDescent="0.35">
      <c r="F837" s="5"/>
      <c r="H837" s="5"/>
    </row>
    <row r="838" spans="5:8" x14ac:dyDescent="0.35">
      <c r="F838" s="5"/>
      <c r="H838" s="5"/>
    </row>
    <row r="839" spans="5:8" x14ac:dyDescent="0.35">
      <c r="F839" s="5"/>
      <c r="H839" s="5"/>
    </row>
    <row r="840" spans="5:8" x14ac:dyDescent="0.35">
      <c r="F840" s="5"/>
      <c r="H840" s="5"/>
    </row>
    <row r="841" spans="5:8" x14ac:dyDescent="0.35">
      <c r="F841" s="5"/>
      <c r="H841" s="5"/>
    </row>
    <row r="842" spans="5:8" x14ac:dyDescent="0.35">
      <c r="F842" s="5"/>
      <c r="H842" s="5"/>
    </row>
    <row r="843" spans="5:8" x14ac:dyDescent="0.35">
      <c r="F843" s="5"/>
      <c r="H843" s="5"/>
    </row>
    <row r="844" spans="5:8" x14ac:dyDescent="0.35">
      <c r="E844" s="2"/>
      <c r="F844" s="5"/>
      <c r="H844" s="5"/>
    </row>
    <row r="845" spans="5:8" x14ac:dyDescent="0.35">
      <c r="F845" s="5"/>
      <c r="H845" s="5"/>
    </row>
    <row r="846" spans="5:8" x14ac:dyDescent="0.35">
      <c r="F846" s="5"/>
      <c r="H846" s="5"/>
    </row>
    <row r="847" spans="5:8" x14ac:dyDescent="0.35">
      <c r="F847" s="5"/>
      <c r="H847" s="5"/>
    </row>
    <row r="848" spans="5:8" x14ac:dyDescent="0.35">
      <c r="F848" s="5"/>
      <c r="H848" s="5"/>
    </row>
    <row r="849" spans="5:8" x14ac:dyDescent="0.35">
      <c r="F849" s="5"/>
      <c r="H849" s="5"/>
    </row>
    <row r="850" spans="5:8" x14ac:dyDescent="0.35">
      <c r="F850" s="5"/>
      <c r="H850" s="5"/>
    </row>
    <row r="851" spans="5:8" x14ac:dyDescent="0.35">
      <c r="F851" s="5"/>
      <c r="H851" s="5"/>
    </row>
    <row r="852" spans="5:8" x14ac:dyDescent="0.35">
      <c r="F852" s="5"/>
      <c r="H852" s="5"/>
    </row>
    <row r="853" spans="5:8" x14ac:dyDescent="0.35">
      <c r="F853" s="5"/>
      <c r="H853" s="5"/>
    </row>
    <row r="854" spans="5:8" x14ac:dyDescent="0.35">
      <c r="F854" s="5"/>
      <c r="H854" s="5"/>
    </row>
    <row r="855" spans="5:8" x14ac:dyDescent="0.35">
      <c r="F855" s="5"/>
      <c r="H855" s="5"/>
    </row>
    <row r="856" spans="5:8" x14ac:dyDescent="0.35">
      <c r="F856" s="5"/>
      <c r="H856" s="5"/>
    </row>
    <row r="857" spans="5:8" x14ac:dyDescent="0.35">
      <c r="F857" s="5"/>
      <c r="H857" s="5"/>
    </row>
    <row r="858" spans="5:8" x14ac:dyDescent="0.35">
      <c r="F858" s="5"/>
      <c r="H858" s="5"/>
    </row>
    <row r="859" spans="5:8" x14ac:dyDescent="0.35">
      <c r="E859" s="2"/>
      <c r="F859" s="5"/>
      <c r="H859" s="5"/>
    </row>
    <row r="860" spans="5:8" x14ac:dyDescent="0.35">
      <c r="F860" s="5"/>
      <c r="H860" s="5"/>
    </row>
    <row r="861" spans="5:8" x14ac:dyDescent="0.35">
      <c r="F861" s="5"/>
      <c r="H861" s="5"/>
    </row>
    <row r="862" spans="5:8" x14ac:dyDescent="0.35">
      <c r="F862" s="5"/>
      <c r="H862" s="5"/>
    </row>
    <row r="863" spans="5:8" x14ac:dyDescent="0.35">
      <c r="F863" s="5"/>
      <c r="H863" s="5"/>
    </row>
    <row r="864" spans="5:8" x14ac:dyDescent="0.35">
      <c r="F864" s="5"/>
      <c r="H864" s="5"/>
    </row>
    <row r="865" spans="5:8" x14ac:dyDescent="0.35">
      <c r="F865" s="5"/>
      <c r="H865" s="5"/>
    </row>
    <row r="866" spans="5:8" x14ac:dyDescent="0.35">
      <c r="E866" s="2"/>
      <c r="F866" s="5"/>
      <c r="H866" s="5"/>
    </row>
    <row r="867" spans="5:8" x14ac:dyDescent="0.35">
      <c r="F867" s="5"/>
      <c r="H867" s="5"/>
    </row>
    <row r="868" spans="5:8" x14ac:dyDescent="0.35">
      <c r="F868" s="5"/>
      <c r="H868" s="5"/>
    </row>
    <row r="869" spans="5:8" x14ac:dyDescent="0.35">
      <c r="F869" s="5"/>
      <c r="H869" s="5"/>
    </row>
    <row r="870" spans="5:8" x14ac:dyDescent="0.35">
      <c r="F870" s="5"/>
      <c r="H870" s="5"/>
    </row>
    <row r="871" spans="5:8" x14ac:dyDescent="0.35">
      <c r="F871" s="5"/>
      <c r="H871" s="5"/>
    </row>
    <row r="872" spans="5:8" x14ac:dyDescent="0.35">
      <c r="F872" s="5"/>
      <c r="H872" s="5"/>
    </row>
    <row r="873" spans="5:8" x14ac:dyDescent="0.35">
      <c r="F873" s="5"/>
      <c r="H873" s="5"/>
    </row>
    <row r="874" spans="5:8" x14ac:dyDescent="0.35">
      <c r="F874" s="5"/>
      <c r="H874" s="5"/>
    </row>
    <row r="875" spans="5:8" x14ac:dyDescent="0.35">
      <c r="F875" s="5"/>
      <c r="H875" s="5"/>
    </row>
    <row r="876" spans="5:8" x14ac:dyDescent="0.35">
      <c r="F876" s="5"/>
      <c r="H876" s="5"/>
    </row>
    <row r="877" spans="5:8" x14ac:dyDescent="0.35">
      <c r="F877" s="5"/>
      <c r="H877" s="5"/>
    </row>
    <row r="878" spans="5:8" x14ac:dyDescent="0.35">
      <c r="F878" s="5"/>
      <c r="H878" s="5"/>
    </row>
    <row r="879" spans="5:8" x14ac:dyDescent="0.35">
      <c r="F879" s="5"/>
      <c r="H879" s="5"/>
    </row>
    <row r="880" spans="5:8" x14ac:dyDescent="0.35">
      <c r="F880" s="5"/>
      <c r="H880" s="5"/>
    </row>
    <row r="881" spans="4:8" x14ac:dyDescent="0.35">
      <c r="F881" s="5"/>
      <c r="H881" s="5"/>
    </row>
    <row r="882" spans="4:8" x14ac:dyDescent="0.35">
      <c r="F882" s="5"/>
      <c r="H882" s="5"/>
    </row>
    <row r="883" spans="4:8" x14ac:dyDescent="0.35">
      <c r="F883" s="5"/>
      <c r="H883" s="5"/>
    </row>
    <row r="884" spans="4:8" x14ac:dyDescent="0.35">
      <c r="F884" s="5"/>
      <c r="H884" s="5"/>
    </row>
    <row r="885" spans="4:8" x14ac:dyDescent="0.35">
      <c r="F885" s="5"/>
      <c r="H885" s="5"/>
    </row>
    <row r="886" spans="4:8" x14ac:dyDescent="0.35">
      <c r="F886" s="5"/>
      <c r="H886" s="5"/>
    </row>
    <row r="887" spans="4:8" x14ac:dyDescent="0.35">
      <c r="F887" s="5"/>
      <c r="H887" s="5"/>
    </row>
    <row r="888" spans="4:8" x14ac:dyDescent="0.35">
      <c r="F888" s="5"/>
      <c r="H888" s="5"/>
    </row>
    <row r="889" spans="4:8" x14ac:dyDescent="0.35">
      <c r="F889" s="5"/>
      <c r="H889" s="5"/>
    </row>
    <row r="890" spans="4:8" x14ac:dyDescent="0.35">
      <c r="F890" s="5"/>
      <c r="H890" s="5"/>
    </row>
    <row r="891" spans="4:8" x14ac:dyDescent="0.35">
      <c r="D891" s="5"/>
      <c r="F891" s="5"/>
      <c r="H891" s="5"/>
    </row>
    <row r="892" spans="4:8" x14ac:dyDescent="0.35">
      <c r="D892" s="5"/>
      <c r="F892" s="5"/>
      <c r="H892" s="5"/>
    </row>
    <row r="893" spans="4:8" x14ac:dyDescent="0.35">
      <c r="D893" s="5"/>
      <c r="F893" s="5"/>
      <c r="H893" s="5"/>
    </row>
    <row r="894" spans="4:8" x14ac:dyDescent="0.35">
      <c r="D894" s="5"/>
      <c r="F894" s="5"/>
      <c r="H894" s="5"/>
    </row>
    <row r="895" spans="4:8" x14ac:dyDescent="0.35">
      <c r="D895" s="5"/>
      <c r="F895" s="5"/>
      <c r="H895" s="5"/>
    </row>
    <row r="896" spans="4:8" x14ac:dyDescent="0.35">
      <c r="D896" s="5"/>
      <c r="F896" s="5"/>
      <c r="H896" s="5"/>
    </row>
    <row r="897" spans="1:8" x14ac:dyDescent="0.35">
      <c r="D897" s="5"/>
      <c r="F897" s="5"/>
      <c r="H897" s="5"/>
    </row>
    <row r="898" spans="1:8" x14ac:dyDescent="0.35">
      <c r="D898" s="5"/>
      <c r="F898" s="5"/>
      <c r="H898" s="5"/>
    </row>
    <row r="899" spans="1:8" x14ac:dyDescent="0.35">
      <c r="D899" s="5"/>
      <c r="F899" s="5"/>
      <c r="H899" s="5"/>
    </row>
    <row r="900" spans="1:8" x14ac:dyDescent="0.35">
      <c r="D900" s="5"/>
      <c r="F900" s="5"/>
      <c r="H900" s="5"/>
    </row>
    <row r="901" spans="1:8" x14ac:dyDescent="0.35">
      <c r="D901" s="5"/>
      <c r="F901" s="5"/>
      <c r="H901" s="5"/>
    </row>
    <row r="902" spans="1:8" x14ac:dyDescent="0.35">
      <c r="D902" s="5"/>
      <c r="F902" s="5"/>
      <c r="H902" s="5"/>
    </row>
    <row r="903" spans="1:8" x14ac:dyDescent="0.35">
      <c r="D903" s="5"/>
      <c r="F903" s="5"/>
      <c r="H903" s="5"/>
    </row>
    <row r="904" spans="1:8" x14ac:dyDescent="0.35">
      <c r="A904" s="5"/>
      <c r="B904" s="5"/>
      <c r="C904" s="22"/>
      <c r="D904" s="5"/>
      <c r="E904" s="5"/>
      <c r="F904" s="5"/>
      <c r="G904" s="19"/>
      <c r="H904" s="5"/>
    </row>
    <row r="905" spans="1:8" x14ac:dyDescent="0.35">
      <c r="A905" s="5"/>
      <c r="B905" s="5"/>
      <c r="C905" s="22"/>
      <c r="D905" s="5"/>
      <c r="E905" s="5"/>
      <c r="F905" s="5"/>
      <c r="G905" s="19"/>
      <c r="H905" s="5"/>
    </row>
    <row r="906" spans="1:8" x14ac:dyDescent="0.35">
      <c r="A906" s="5"/>
      <c r="B906" s="5"/>
      <c r="C906" s="22"/>
      <c r="D906" s="5"/>
      <c r="E906" s="5"/>
      <c r="F906" s="5"/>
      <c r="G906" s="19"/>
      <c r="H906" s="5"/>
    </row>
    <row r="907" spans="1:8" x14ac:dyDescent="0.35">
      <c r="A907" s="5"/>
      <c r="B907" s="5"/>
      <c r="C907" s="22"/>
      <c r="D907" s="5"/>
      <c r="E907" s="5"/>
      <c r="F907" s="5"/>
      <c r="G907" s="19"/>
      <c r="H907" s="5"/>
    </row>
    <row r="908" spans="1:8" x14ac:dyDescent="0.35">
      <c r="A908" s="5"/>
      <c r="B908" s="5"/>
      <c r="C908" s="22"/>
      <c r="D908" s="5"/>
      <c r="E908" s="5"/>
      <c r="F908" s="5"/>
      <c r="G908" s="19"/>
      <c r="H908" s="5"/>
    </row>
    <row r="909" spans="1:8" x14ac:dyDescent="0.35">
      <c r="A909" s="5"/>
      <c r="B909" s="5"/>
      <c r="C909" s="22"/>
      <c r="D909" s="5"/>
      <c r="E909" s="5"/>
      <c r="F909" s="5"/>
      <c r="G909" s="19"/>
      <c r="H909" s="5"/>
    </row>
    <row r="910" spans="1:8" x14ac:dyDescent="0.35">
      <c r="A910" s="5"/>
      <c r="B910" s="5"/>
      <c r="C910" s="22"/>
      <c r="D910" s="5"/>
      <c r="E910" s="5"/>
      <c r="F910" s="5"/>
      <c r="G910" s="19"/>
      <c r="H910" s="5"/>
    </row>
    <row r="911" spans="1:8" x14ac:dyDescent="0.35">
      <c r="A911" s="5"/>
      <c r="B911" s="5"/>
      <c r="C911" s="22"/>
      <c r="D911" s="5"/>
      <c r="E911" s="5"/>
      <c r="F911" s="5"/>
      <c r="G911" s="19"/>
      <c r="H911" s="5"/>
    </row>
    <row r="912" spans="1:8" x14ac:dyDescent="0.35">
      <c r="A912" s="5"/>
      <c r="B912" s="5"/>
      <c r="C912" s="22"/>
      <c r="D912" s="5"/>
      <c r="E912" s="5"/>
      <c r="F912" s="5"/>
      <c r="G912" s="19"/>
      <c r="H912" s="5"/>
    </row>
    <row r="913" spans="1:8" x14ac:dyDescent="0.35">
      <c r="A913" s="5"/>
      <c r="B913" s="5"/>
      <c r="C913" s="22"/>
      <c r="D913" s="5"/>
      <c r="E913" s="5"/>
      <c r="F913" s="5"/>
      <c r="G913" s="19"/>
      <c r="H913" s="5"/>
    </row>
    <row r="914" spans="1:8" x14ac:dyDescent="0.35">
      <c r="A914" s="5"/>
      <c r="B914" s="5"/>
      <c r="C914" s="22"/>
      <c r="D914" s="5"/>
      <c r="E914" s="5"/>
      <c r="F914" s="5"/>
      <c r="G914" s="19"/>
      <c r="H914" s="5"/>
    </row>
    <row r="915" spans="1:8" x14ac:dyDescent="0.35">
      <c r="A915" s="5"/>
      <c r="B915" s="5"/>
      <c r="C915" s="22"/>
      <c r="D915" s="5"/>
      <c r="E915" s="5"/>
      <c r="F915" s="5"/>
      <c r="G915" s="19"/>
      <c r="H915" s="5"/>
    </row>
    <row r="916" spans="1:8" x14ac:dyDescent="0.35">
      <c r="A916" s="5"/>
      <c r="B916" s="5"/>
      <c r="C916" s="22"/>
      <c r="D916" s="5"/>
      <c r="E916" s="5"/>
      <c r="F916" s="5"/>
      <c r="G916" s="19"/>
      <c r="H916" s="5"/>
    </row>
    <row r="917" spans="1:8" x14ac:dyDescent="0.35">
      <c r="A917" s="5"/>
      <c r="B917" s="5"/>
      <c r="C917" s="22"/>
      <c r="D917" s="5"/>
      <c r="E917" s="5"/>
      <c r="F917" s="5"/>
      <c r="G917" s="19"/>
      <c r="H917" s="5"/>
    </row>
    <row r="918" spans="1:8" x14ac:dyDescent="0.35">
      <c r="A918" s="5"/>
      <c r="B918" s="5"/>
      <c r="C918" s="22"/>
      <c r="D918" s="5"/>
      <c r="E918" s="5"/>
      <c r="F918" s="5"/>
      <c r="G918" s="19"/>
      <c r="H918" s="5"/>
    </row>
    <row r="919" spans="1:8" x14ac:dyDescent="0.35">
      <c r="A919" s="5"/>
      <c r="B919" s="5"/>
      <c r="C919" s="22"/>
      <c r="D919" s="5"/>
      <c r="E919" s="5"/>
      <c r="F919" s="5"/>
      <c r="G919" s="19"/>
      <c r="H919" s="5"/>
    </row>
    <row r="920" spans="1:8" x14ac:dyDescent="0.35">
      <c r="A920" s="5"/>
      <c r="B920" s="5"/>
      <c r="C920" s="22"/>
      <c r="D920" s="5"/>
      <c r="E920" s="5"/>
      <c r="F920" s="5"/>
      <c r="G920" s="19"/>
      <c r="H920" s="5"/>
    </row>
    <row r="921" spans="1:8" x14ac:dyDescent="0.35">
      <c r="A921" s="5"/>
      <c r="B921" s="5"/>
      <c r="C921" s="22"/>
      <c r="D921" s="5"/>
      <c r="E921" s="5"/>
      <c r="F921" s="5"/>
      <c r="G921" s="19"/>
      <c r="H921" s="5"/>
    </row>
    <row r="922" spans="1:8" x14ac:dyDescent="0.35">
      <c r="A922" s="5"/>
      <c r="B922" s="5"/>
      <c r="C922" s="22"/>
      <c r="D922" s="5"/>
      <c r="E922" s="5"/>
      <c r="F922" s="5"/>
      <c r="G922" s="19"/>
      <c r="H922" s="5"/>
    </row>
    <row r="923" spans="1:8" x14ac:dyDescent="0.35">
      <c r="A923" s="5"/>
      <c r="B923" s="5"/>
      <c r="C923" s="22"/>
      <c r="D923" s="5"/>
      <c r="E923" s="5"/>
      <c r="F923" s="5"/>
      <c r="G923" s="19"/>
      <c r="H923" s="5"/>
    </row>
    <row r="924" spans="1:8" x14ac:dyDescent="0.35">
      <c r="A924" s="5"/>
      <c r="B924" s="5"/>
      <c r="C924" s="22"/>
      <c r="D924" s="5"/>
      <c r="E924" s="5"/>
      <c r="F924" s="5"/>
      <c r="G924" s="19"/>
      <c r="H924" s="5"/>
    </row>
    <row r="925" spans="1:8" x14ac:dyDescent="0.35">
      <c r="A925" s="5"/>
      <c r="B925" s="5"/>
      <c r="C925" s="22"/>
      <c r="D925" s="5"/>
      <c r="E925" s="5"/>
      <c r="F925" s="5"/>
      <c r="G925" s="19"/>
      <c r="H925" s="5"/>
    </row>
    <row r="926" spans="1:8" x14ac:dyDescent="0.35">
      <c r="A926" s="5"/>
      <c r="B926" s="5"/>
      <c r="C926" s="22"/>
      <c r="D926" s="5"/>
      <c r="E926" s="5"/>
      <c r="F926" s="5"/>
      <c r="G926" s="19"/>
      <c r="H926" s="5"/>
    </row>
    <row r="927" spans="1:8" x14ac:dyDescent="0.35">
      <c r="A927" s="5"/>
      <c r="B927" s="5"/>
      <c r="C927" s="22"/>
      <c r="D927" s="5"/>
      <c r="E927" s="5"/>
      <c r="F927" s="5"/>
      <c r="G927" s="19"/>
      <c r="H927" s="5"/>
    </row>
    <row r="928" spans="1:8" x14ac:dyDescent="0.35">
      <c r="A928" s="5"/>
      <c r="B928" s="5"/>
      <c r="C928" s="22"/>
      <c r="D928" s="5"/>
      <c r="E928" s="5"/>
      <c r="F928" s="5"/>
      <c r="G928" s="19"/>
      <c r="H928" s="5"/>
    </row>
    <row r="929" spans="1:8" x14ac:dyDescent="0.35">
      <c r="A929" s="5"/>
      <c r="B929" s="5"/>
      <c r="C929" s="22"/>
      <c r="D929" s="5"/>
      <c r="E929" s="5"/>
      <c r="F929" s="5"/>
      <c r="G929" s="19"/>
      <c r="H929" s="5"/>
    </row>
    <row r="930" spans="1:8" x14ac:dyDescent="0.35">
      <c r="A930" s="5"/>
      <c r="B930" s="5"/>
      <c r="C930" s="22"/>
      <c r="D930" s="5"/>
      <c r="E930" s="5"/>
      <c r="F930" s="5"/>
      <c r="G930" s="19"/>
      <c r="H930" s="5"/>
    </row>
    <row r="931" spans="1:8" x14ac:dyDescent="0.35">
      <c r="A931" s="5"/>
      <c r="B931" s="5"/>
      <c r="C931" s="22"/>
      <c r="D931" s="5"/>
      <c r="E931" s="5"/>
      <c r="F931" s="5"/>
      <c r="G931" s="19"/>
      <c r="H931" s="5"/>
    </row>
    <row r="932" spans="1:8" x14ac:dyDescent="0.35">
      <c r="A932" s="5"/>
      <c r="B932" s="5"/>
      <c r="C932" s="22"/>
      <c r="D932" s="5"/>
      <c r="E932" s="5"/>
      <c r="F932" s="5"/>
      <c r="G932" s="19"/>
      <c r="H932" s="5"/>
    </row>
    <row r="933" spans="1:8" x14ac:dyDescent="0.35">
      <c r="A933" s="5"/>
      <c r="B933" s="5"/>
      <c r="C933" s="22"/>
      <c r="D933" s="5"/>
      <c r="E933" s="5"/>
      <c r="F933" s="5"/>
      <c r="G933" s="19"/>
      <c r="H933" s="5"/>
    </row>
    <row r="934" spans="1:8" x14ac:dyDescent="0.35">
      <c r="A934" s="5"/>
      <c r="B934" s="5"/>
      <c r="C934" s="22"/>
      <c r="D934" s="5"/>
      <c r="E934" s="5"/>
      <c r="F934" s="5"/>
      <c r="G934" s="19"/>
      <c r="H934" s="5"/>
    </row>
    <row r="935" spans="1:8" x14ac:dyDescent="0.35">
      <c r="A935" s="5"/>
      <c r="B935" s="5"/>
      <c r="C935" s="22"/>
      <c r="D935" s="5"/>
      <c r="E935" s="5"/>
      <c r="F935" s="5"/>
      <c r="G935" s="19"/>
      <c r="H935" s="5"/>
    </row>
    <row r="936" spans="1:8" x14ac:dyDescent="0.35">
      <c r="A936" s="5"/>
      <c r="B936" s="5"/>
      <c r="C936" s="22"/>
      <c r="D936" s="5"/>
      <c r="E936" s="5"/>
      <c r="F936" s="5"/>
      <c r="G936" s="19"/>
      <c r="H936" s="5"/>
    </row>
    <row r="937" spans="1:8" x14ac:dyDescent="0.35">
      <c r="A937" s="5"/>
      <c r="B937" s="5"/>
      <c r="C937" s="22"/>
      <c r="D937" s="5"/>
      <c r="E937" s="5"/>
      <c r="F937" s="5"/>
      <c r="G937" s="19"/>
      <c r="H937" s="5"/>
    </row>
    <row r="938" spans="1:8" x14ac:dyDescent="0.35">
      <c r="A938" s="5"/>
      <c r="B938" s="5"/>
      <c r="C938" s="22"/>
      <c r="D938" s="5"/>
      <c r="E938" s="5"/>
      <c r="F938" s="5"/>
      <c r="G938" s="19"/>
      <c r="H938" s="5"/>
    </row>
    <row r="939" spans="1:8" x14ac:dyDescent="0.35">
      <c r="A939" s="5"/>
      <c r="B939" s="5"/>
      <c r="C939" s="22"/>
      <c r="D939" s="5"/>
      <c r="E939" s="5"/>
      <c r="F939" s="5"/>
      <c r="G939" s="19"/>
      <c r="H939" s="5"/>
    </row>
    <row r="940" spans="1:8" x14ac:dyDescent="0.35">
      <c r="A940" s="5"/>
      <c r="B940" s="5"/>
      <c r="C940" s="22"/>
      <c r="D940" s="5"/>
      <c r="E940" s="5"/>
      <c r="F940" s="5"/>
      <c r="G940" s="19"/>
      <c r="H940" s="5"/>
    </row>
    <row r="941" spans="1:8" x14ac:dyDescent="0.35">
      <c r="A941" s="5"/>
      <c r="B941" s="5"/>
      <c r="C941" s="22"/>
      <c r="D941" s="5"/>
      <c r="E941" s="5"/>
      <c r="F941" s="5"/>
      <c r="G941" s="19"/>
      <c r="H941" s="5"/>
    </row>
    <row r="942" spans="1:8" x14ac:dyDescent="0.35">
      <c r="A942" s="5"/>
      <c r="B942" s="5"/>
      <c r="C942" s="22"/>
      <c r="D942" s="5"/>
      <c r="E942" s="5"/>
      <c r="F942" s="5"/>
      <c r="G942" s="19"/>
      <c r="H942" s="5"/>
    </row>
    <row r="943" spans="1:8" x14ac:dyDescent="0.35">
      <c r="A943" s="5"/>
      <c r="B943" s="5"/>
      <c r="C943" s="22"/>
      <c r="D943" s="5"/>
      <c r="E943" s="5"/>
      <c r="F943" s="5"/>
      <c r="G943" s="19"/>
      <c r="H943" s="5"/>
    </row>
    <row r="944" spans="1:8" x14ac:dyDescent="0.35">
      <c r="A944" s="5"/>
      <c r="B944" s="5"/>
      <c r="C944" s="22"/>
      <c r="D944" s="5"/>
      <c r="E944" s="5"/>
      <c r="F944" s="5"/>
      <c r="G944" s="19"/>
      <c r="H944" s="5"/>
    </row>
    <row r="945" spans="1:8" x14ac:dyDescent="0.35">
      <c r="A945" s="5"/>
      <c r="B945" s="5"/>
      <c r="C945" s="22"/>
      <c r="D945" s="5"/>
      <c r="E945" s="5"/>
      <c r="F945" s="5"/>
      <c r="G945" s="19"/>
      <c r="H945" s="5"/>
    </row>
    <row r="946" spans="1:8" x14ac:dyDescent="0.35">
      <c r="A946" s="5"/>
      <c r="B946" s="5"/>
      <c r="C946" s="22"/>
      <c r="D946" s="5"/>
      <c r="E946" s="5"/>
      <c r="F946" s="5"/>
      <c r="G946" s="19"/>
      <c r="H946" s="5"/>
    </row>
    <row r="947" spans="1:8" x14ac:dyDescent="0.35">
      <c r="A947" s="5"/>
      <c r="B947" s="5"/>
      <c r="C947" s="22"/>
      <c r="D947" s="5"/>
      <c r="E947" s="5"/>
      <c r="F947" s="5"/>
      <c r="G947" s="19"/>
      <c r="H947" s="5"/>
    </row>
    <row r="948" spans="1:8" x14ac:dyDescent="0.35">
      <c r="A948" s="5"/>
      <c r="B948" s="5"/>
      <c r="C948" s="22"/>
      <c r="D948" s="5"/>
      <c r="E948" s="5"/>
      <c r="F948" s="5"/>
      <c r="G948" s="19"/>
      <c r="H948" s="5"/>
    </row>
    <row r="949" spans="1:8" x14ac:dyDescent="0.35">
      <c r="A949" s="5"/>
      <c r="B949" s="5"/>
      <c r="C949" s="22"/>
      <c r="D949" s="5"/>
      <c r="E949" s="5"/>
      <c r="F949" s="5"/>
      <c r="G949" s="19"/>
      <c r="H949" s="5"/>
    </row>
    <row r="950" spans="1:8" x14ac:dyDescent="0.35">
      <c r="A950" s="5"/>
      <c r="B950" s="5"/>
      <c r="C950" s="22"/>
      <c r="D950" s="5"/>
      <c r="E950" s="5"/>
      <c r="F950" s="5"/>
      <c r="G950" s="19"/>
      <c r="H950" s="5"/>
    </row>
    <row r="951" spans="1:8" x14ac:dyDescent="0.35">
      <c r="A951" s="5"/>
      <c r="B951" s="5"/>
      <c r="C951" s="22"/>
      <c r="D951" s="5"/>
      <c r="E951" s="5"/>
      <c r="F951" s="5"/>
      <c r="G951" s="19"/>
      <c r="H951" s="5"/>
    </row>
    <row r="952" spans="1:8" x14ac:dyDescent="0.35">
      <c r="A952" s="5"/>
      <c r="B952" s="5"/>
      <c r="C952" s="22"/>
      <c r="D952" s="5"/>
      <c r="E952" s="5"/>
      <c r="F952" s="5"/>
      <c r="G952" s="19"/>
      <c r="H952" s="5"/>
    </row>
    <row r="953" spans="1:8" x14ac:dyDescent="0.35">
      <c r="A953" s="5"/>
      <c r="B953" s="5"/>
      <c r="C953" s="22"/>
      <c r="D953" s="5"/>
      <c r="E953" s="5"/>
      <c r="F953" s="5"/>
      <c r="G953" s="19"/>
      <c r="H953" s="5"/>
    </row>
    <row r="954" spans="1:8" x14ac:dyDescent="0.35">
      <c r="A954" s="5"/>
      <c r="B954" s="5"/>
      <c r="C954" s="22"/>
      <c r="D954" s="5"/>
      <c r="E954" s="5"/>
      <c r="F954" s="5"/>
      <c r="G954" s="19"/>
      <c r="H954" s="5"/>
    </row>
    <row r="955" spans="1:8" x14ac:dyDescent="0.35">
      <c r="A955" s="5"/>
      <c r="B955" s="5"/>
      <c r="C955" s="22"/>
      <c r="D955" s="5"/>
      <c r="E955" s="5"/>
      <c r="F955" s="5"/>
      <c r="G955" s="19"/>
      <c r="H955" s="5"/>
    </row>
    <row r="956" spans="1:8" x14ac:dyDescent="0.35">
      <c r="A956" s="5"/>
      <c r="B956" s="5"/>
      <c r="C956" s="22"/>
      <c r="D956" s="5"/>
      <c r="E956" s="5"/>
      <c r="F956" s="5"/>
      <c r="G956" s="19"/>
      <c r="H956" s="5"/>
    </row>
    <row r="957" spans="1:8" x14ac:dyDescent="0.35">
      <c r="A957" s="5"/>
      <c r="B957" s="5"/>
      <c r="C957" s="22"/>
      <c r="D957" s="5"/>
      <c r="E957" s="5"/>
      <c r="F957" s="5"/>
      <c r="G957" s="19"/>
      <c r="H957" s="5"/>
    </row>
    <row r="958" spans="1:8" x14ac:dyDescent="0.35">
      <c r="A958" s="5"/>
      <c r="B958" s="5"/>
      <c r="C958" s="22"/>
      <c r="D958" s="5"/>
      <c r="E958" s="5"/>
      <c r="F958" s="5"/>
      <c r="G958" s="19"/>
      <c r="H958" s="5"/>
    </row>
    <row r="959" spans="1:8" x14ac:dyDescent="0.35">
      <c r="A959" s="5"/>
      <c r="B959" s="5"/>
      <c r="C959" s="22"/>
      <c r="D959" s="5"/>
      <c r="E959" s="5"/>
      <c r="F959" s="5"/>
      <c r="G959" s="19"/>
      <c r="H959" s="5"/>
    </row>
    <row r="960" spans="1:8" x14ac:dyDescent="0.35">
      <c r="A960" s="5"/>
      <c r="B960" s="5"/>
      <c r="C960" s="22"/>
      <c r="D960" s="5"/>
      <c r="E960" s="5"/>
      <c r="F960" s="5"/>
      <c r="G960" s="19"/>
      <c r="H960" s="5"/>
    </row>
    <row r="961" spans="1:8" x14ac:dyDescent="0.35">
      <c r="A961" s="5"/>
      <c r="B961" s="5"/>
      <c r="C961" s="22"/>
      <c r="D961" s="5"/>
      <c r="E961" s="5"/>
      <c r="F961" s="5"/>
      <c r="G961" s="19"/>
      <c r="H961" s="5"/>
    </row>
    <row r="962" spans="1:8" x14ac:dyDescent="0.35">
      <c r="A962" s="5"/>
      <c r="B962" s="5"/>
      <c r="C962" s="22"/>
      <c r="D962" s="5"/>
      <c r="E962" s="5"/>
      <c r="F962" s="5"/>
      <c r="G962" s="19"/>
      <c r="H962" s="5"/>
    </row>
    <row r="963" spans="1:8" x14ac:dyDescent="0.35">
      <c r="A963" s="5"/>
      <c r="B963" s="5"/>
      <c r="C963" s="22"/>
      <c r="D963" s="5"/>
      <c r="E963" s="5"/>
      <c r="F963" s="5"/>
      <c r="G963" s="19"/>
      <c r="H963" s="5"/>
    </row>
    <row r="964" spans="1:8" x14ac:dyDescent="0.35">
      <c r="A964" s="5"/>
      <c r="B964" s="5"/>
      <c r="C964" s="22"/>
      <c r="D964" s="5"/>
      <c r="E964" s="5"/>
      <c r="F964" s="5"/>
      <c r="G964" s="19"/>
      <c r="H964" s="5"/>
    </row>
    <row r="965" spans="1:8" x14ac:dyDescent="0.35">
      <c r="A965" s="5"/>
      <c r="B965" s="5"/>
      <c r="C965" s="22"/>
      <c r="D965" s="5"/>
      <c r="E965" s="5"/>
      <c r="F965" s="5"/>
      <c r="G965" s="19"/>
      <c r="H965" s="5"/>
    </row>
    <row r="966" spans="1:8" x14ac:dyDescent="0.35">
      <c r="A966" s="5"/>
      <c r="B966" s="5"/>
      <c r="C966" s="22"/>
      <c r="D966" s="5"/>
      <c r="E966" s="5"/>
      <c r="F966" s="5"/>
      <c r="G966" s="19"/>
      <c r="H966" s="5"/>
    </row>
    <row r="967" spans="1:8" x14ac:dyDescent="0.35">
      <c r="A967" s="5"/>
      <c r="B967" s="5"/>
      <c r="C967" s="22"/>
      <c r="D967" s="5"/>
      <c r="E967" s="5"/>
      <c r="F967" s="5"/>
      <c r="G967" s="19"/>
      <c r="H967" s="5"/>
    </row>
    <row r="968" spans="1:8" x14ac:dyDescent="0.35">
      <c r="A968" s="5"/>
      <c r="B968" s="5"/>
      <c r="C968" s="22"/>
      <c r="D968" s="5"/>
      <c r="E968" s="5"/>
      <c r="F968" s="5"/>
      <c r="G968" s="19"/>
      <c r="H968" s="5"/>
    </row>
    <row r="969" spans="1:8" x14ac:dyDescent="0.35">
      <c r="A969" s="5"/>
      <c r="B969" s="5"/>
      <c r="C969" s="22"/>
      <c r="D969" s="5"/>
      <c r="E969" s="5"/>
      <c r="F969" s="5"/>
      <c r="G969" s="19"/>
      <c r="H969" s="5"/>
    </row>
    <row r="970" spans="1:8" x14ac:dyDescent="0.35">
      <c r="A970" s="5"/>
      <c r="B970" s="5"/>
      <c r="C970" s="22"/>
      <c r="D970" s="5"/>
      <c r="E970" s="5"/>
      <c r="F970" s="5"/>
      <c r="G970" s="19"/>
      <c r="H970" s="5"/>
    </row>
    <row r="971" spans="1:8" x14ac:dyDescent="0.35">
      <c r="A971" s="5"/>
      <c r="B971" s="5"/>
      <c r="C971" s="22"/>
      <c r="D971" s="5"/>
      <c r="E971" s="5"/>
      <c r="F971" s="5"/>
      <c r="G971" s="19"/>
      <c r="H971" s="5"/>
    </row>
    <row r="972" spans="1:8" x14ac:dyDescent="0.35">
      <c r="A972" s="5"/>
      <c r="B972" s="5"/>
      <c r="C972" s="22"/>
      <c r="D972" s="5"/>
      <c r="E972" s="5"/>
      <c r="F972" s="5"/>
      <c r="G972" s="19"/>
      <c r="H972" s="5"/>
    </row>
    <row r="973" spans="1:8" x14ac:dyDescent="0.35">
      <c r="A973" s="5"/>
      <c r="B973" s="5"/>
      <c r="C973" s="22"/>
      <c r="D973" s="5"/>
      <c r="E973" s="5"/>
      <c r="F973" s="5"/>
      <c r="G973" s="19"/>
      <c r="H973" s="5"/>
    </row>
    <row r="974" spans="1:8" x14ac:dyDescent="0.35">
      <c r="A974" s="5"/>
      <c r="B974" s="5"/>
      <c r="C974" s="22"/>
      <c r="D974" s="5"/>
      <c r="E974" s="5"/>
      <c r="F974" s="5"/>
      <c r="G974" s="19"/>
      <c r="H974" s="5"/>
    </row>
    <row r="975" spans="1:8" x14ac:dyDescent="0.35">
      <c r="A975" s="5"/>
      <c r="B975" s="5"/>
      <c r="C975" s="22"/>
      <c r="D975" s="5"/>
      <c r="E975" s="5"/>
      <c r="F975" s="5"/>
      <c r="G975" s="19"/>
      <c r="H975" s="5"/>
    </row>
    <row r="976" spans="1:8" x14ac:dyDescent="0.35">
      <c r="A976" s="5"/>
      <c r="B976" s="5"/>
      <c r="C976" s="22"/>
      <c r="D976" s="5"/>
      <c r="E976" s="5"/>
      <c r="F976" s="5"/>
      <c r="G976" s="19"/>
      <c r="H976" s="5"/>
    </row>
    <row r="977" spans="1:8" x14ac:dyDescent="0.35">
      <c r="A977" s="5"/>
      <c r="B977" s="5"/>
      <c r="C977" s="22"/>
      <c r="D977" s="5"/>
      <c r="E977" s="5"/>
      <c r="F977" s="5"/>
      <c r="G977" s="19"/>
      <c r="H977" s="5"/>
    </row>
    <row r="978" spans="1:8" x14ac:dyDescent="0.35">
      <c r="A978" s="5"/>
      <c r="B978" s="5"/>
      <c r="C978" s="22"/>
      <c r="D978" s="5"/>
      <c r="E978" s="5"/>
      <c r="F978" s="5"/>
      <c r="G978" s="19"/>
      <c r="H978" s="5"/>
    </row>
    <row r="979" spans="1:8" x14ac:dyDescent="0.35">
      <c r="A979" s="5"/>
      <c r="B979" s="5"/>
      <c r="C979" s="22"/>
      <c r="D979" s="5"/>
      <c r="E979" s="5"/>
      <c r="F979" s="5"/>
      <c r="G979" s="19"/>
      <c r="H979" s="5"/>
    </row>
    <row r="980" spans="1:8" x14ac:dyDescent="0.35">
      <c r="A980" s="5"/>
      <c r="B980" s="5"/>
      <c r="C980" s="22"/>
      <c r="D980" s="5"/>
      <c r="E980" s="5"/>
      <c r="F980" s="5"/>
      <c r="G980" s="19"/>
      <c r="H980" s="5"/>
    </row>
    <row r="981" spans="1:8" x14ac:dyDescent="0.35">
      <c r="A981" s="5"/>
      <c r="B981" s="5"/>
      <c r="C981" s="22"/>
      <c r="D981" s="5"/>
      <c r="E981" s="5"/>
      <c r="F981" s="5"/>
      <c r="G981" s="19"/>
      <c r="H981" s="5"/>
    </row>
    <row r="982" spans="1:8" x14ac:dyDescent="0.35">
      <c r="A982" s="5"/>
      <c r="B982" s="5"/>
      <c r="C982" s="22"/>
      <c r="D982" s="5"/>
      <c r="E982" s="5"/>
      <c r="F982" s="5"/>
      <c r="G982" s="19"/>
      <c r="H982" s="5"/>
    </row>
    <row r="983" spans="1:8" x14ac:dyDescent="0.35">
      <c r="A983" s="5"/>
      <c r="B983" s="5"/>
      <c r="C983" s="22"/>
      <c r="D983" s="5"/>
      <c r="E983" s="5"/>
      <c r="F983" s="5"/>
      <c r="G983" s="19"/>
      <c r="H983" s="5"/>
    </row>
    <row r="984" spans="1:8" x14ac:dyDescent="0.35">
      <c r="A984" s="5"/>
      <c r="B984" s="5"/>
      <c r="C984" s="22"/>
      <c r="D984" s="5"/>
      <c r="E984" s="5"/>
      <c r="F984" s="5"/>
      <c r="G984" s="19"/>
      <c r="H984" s="5"/>
    </row>
    <row r="985" spans="1:8" x14ac:dyDescent="0.35">
      <c r="A985" s="5"/>
      <c r="B985" s="5"/>
      <c r="C985" s="22"/>
      <c r="D985" s="5"/>
      <c r="E985" s="5"/>
      <c r="F985" s="5"/>
      <c r="G985" s="19"/>
      <c r="H985" s="5"/>
    </row>
    <row r="986" spans="1:8" x14ac:dyDescent="0.35">
      <c r="A986" s="5"/>
      <c r="B986" s="5"/>
      <c r="C986" s="22"/>
      <c r="D986" s="5"/>
      <c r="E986" s="5"/>
      <c r="F986" s="5"/>
      <c r="G986" s="19"/>
      <c r="H986" s="5"/>
    </row>
    <row r="987" spans="1:8" x14ac:dyDescent="0.35">
      <c r="A987" s="5"/>
      <c r="B987" s="5"/>
      <c r="C987" s="22"/>
      <c r="D987" s="5"/>
      <c r="E987" s="5"/>
      <c r="F987" s="5"/>
      <c r="G987" s="19"/>
      <c r="H987" s="5"/>
    </row>
    <row r="988" spans="1:8" x14ac:dyDescent="0.35">
      <c r="A988" s="5"/>
      <c r="B988" s="5"/>
      <c r="C988" s="22"/>
      <c r="D988" s="5"/>
      <c r="E988" s="5"/>
      <c r="F988" s="5"/>
      <c r="G988" s="19"/>
      <c r="H988" s="5"/>
    </row>
    <row r="989" spans="1:8" x14ac:dyDescent="0.35">
      <c r="A989" s="5"/>
      <c r="B989" s="5"/>
      <c r="C989" s="22"/>
      <c r="D989" s="5"/>
      <c r="E989" s="5"/>
      <c r="F989" s="5"/>
      <c r="G989" s="19"/>
      <c r="H989" s="5"/>
    </row>
    <row r="990" spans="1:8" x14ac:dyDescent="0.35">
      <c r="A990" s="5"/>
      <c r="B990" s="5"/>
      <c r="C990" s="22"/>
      <c r="D990" s="5"/>
      <c r="E990" s="5"/>
      <c r="F990" s="5"/>
      <c r="G990" s="19"/>
      <c r="H990" s="5"/>
    </row>
    <row r="991" spans="1:8" x14ac:dyDescent="0.35">
      <c r="A991" s="5"/>
      <c r="B991" s="5"/>
      <c r="C991" s="22"/>
      <c r="D991" s="5"/>
      <c r="E991" s="5"/>
      <c r="F991" s="5"/>
      <c r="G991" s="19"/>
      <c r="H991" s="5"/>
    </row>
    <row r="992" spans="1:8" x14ac:dyDescent="0.35">
      <c r="A992" s="5"/>
      <c r="B992" s="5"/>
      <c r="C992" s="22"/>
      <c r="D992" s="5"/>
      <c r="E992" s="5"/>
      <c r="F992" s="5"/>
      <c r="G992" s="19"/>
      <c r="H992" s="5"/>
    </row>
    <row r="993" spans="1:8" x14ac:dyDescent="0.35">
      <c r="A993" s="5"/>
      <c r="B993" s="5"/>
      <c r="C993" s="22"/>
      <c r="D993" s="5"/>
      <c r="E993" s="5"/>
      <c r="F993" s="5"/>
      <c r="G993" s="19"/>
      <c r="H993" s="5"/>
    </row>
    <row r="994" spans="1:8" x14ac:dyDescent="0.35">
      <c r="A994" s="5"/>
      <c r="B994" s="5"/>
      <c r="C994" s="22"/>
      <c r="D994" s="5"/>
      <c r="E994" s="5"/>
      <c r="F994" s="5"/>
      <c r="G994" s="19"/>
      <c r="H994" s="5"/>
    </row>
    <row r="995" spans="1:8" x14ac:dyDescent="0.35">
      <c r="A995" s="5"/>
      <c r="B995" s="5"/>
      <c r="C995" s="22"/>
      <c r="D995" s="5"/>
      <c r="E995" s="5"/>
      <c r="F995" s="5"/>
      <c r="G995" s="19"/>
      <c r="H995" s="5"/>
    </row>
    <row r="996" spans="1:8" x14ac:dyDescent="0.35">
      <c r="A996" s="5"/>
      <c r="B996" s="5"/>
      <c r="C996" s="22"/>
      <c r="D996" s="5"/>
      <c r="E996" s="5"/>
      <c r="F996" s="5"/>
      <c r="G996" s="19"/>
      <c r="H996" s="5"/>
    </row>
    <row r="997" spans="1:8" x14ac:dyDescent="0.35">
      <c r="A997" s="5"/>
      <c r="B997" s="5"/>
      <c r="C997" s="22"/>
      <c r="D997" s="5"/>
      <c r="E997" s="5"/>
      <c r="F997" s="5"/>
      <c r="G997" s="19"/>
      <c r="H997" s="5"/>
    </row>
    <row r="998" spans="1:8" x14ac:dyDescent="0.35">
      <c r="A998" s="5"/>
      <c r="B998" s="5"/>
      <c r="C998" s="22"/>
      <c r="D998" s="5"/>
      <c r="E998" s="23"/>
      <c r="F998" s="5"/>
      <c r="G998" s="19"/>
      <c r="H998" s="5"/>
    </row>
    <row r="999" spans="1:8" x14ac:dyDescent="0.35">
      <c r="A999" s="5"/>
      <c r="B999" s="5"/>
      <c r="C999" s="22"/>
      <c r="D999" s="5"/>
      <c r="E999" s="5"/>
      <c r="F999" s="5"/>
      <c r="G999" s="19"/>
      <c r="H999" s="5"/>
    </row>
    <row r="1000" spans="1:8" x14ac:dyDescent="0.35">
      <c r="A1000" s="5"/>
      <c r="B1000" s="5"/>
      <c r="C1000" s="22"/>
      <c r="D1000" s="5"/>
      <c r="E1000" s="5"/>
      <c r="F1000" s="5"/>
      <c r="G1000" s="19"/>
      <c r="H1000" s="5"/>
    </row>
    <row r="1001" spans="1:8" x14ac:dyDescent="0.35">
      <c r="A1001" s="5"/>
      <c r="B1001" s="5"/>
      <c r="C1001" s="22"/>
      <c r="D1001" s="5"/>
      <c r="E1001" s="5"/>
      <c r="F1001" s="5"/>
      <c r="G1001" s="19"/>
      <c r="H1001" s="5"/>
    </row>
    <row r="1002" spans="1:8" x14ac:dyDescent="0.35">
      <c r="A1002" s="5"/>
      <c r="B1002" s="5"/>
      <c r="C1002" s="22"/>
      <c r="D1002" s="5"/>
      <c r="E1002" s="5"/>
      <c r="F1002" s="5"/>
      <c r="G1002" s="19"/>
      <c r="H1002" s="5"/>
    </row>
    <row r="1003" spans="1:8" x14ac:dyDescent="0.35">
      <c r="A1003" s="5"/>
      <c r="B1003" s="5"/>
      <c r="C1003" s="22"/>
      <c r="D1003" s="5"/>
      <c r="E1003" s="5"/>
      <c r="F1003" s="5"/>
      <c r="G1003" s="19"/>
      <c r="H1003" s="5"/>
    </row>
    <row r="1004" spans="1:8" x14ac:dyDescent="0.35">
      <c r="A1004" s="5"/>
      <c r="B1004" s="5"/>
      <c r="C1004" s="22"/>
      <c r="D1004" s="5"/>
      <c r="E1004" s="5"/>
      <c r="F1004" s="5"/>
      <c r="G1004" s="19"/>
      <c r="H1004" s="5"/>
    </row>
    <row r="1005" spans="1:8" x14ac:dyDescent="0.35">
      <c r="A1005" s="5"/>
      <c r="B1005" s="5"/>
      <c r="C1005" s="22"/>
      <c r="D1005" s="5"/>
      <c r="E1005" s="5"/>
      <c r="F1005" s="5"/>
      <c r="G1005" s="19"/>
      <c r="H1005" s="5"/>
    </row>
    <row r="1006" spans="1:8" x14ac:dyDescent="0.35">
      <c r="A1006" s="5"/>
      <c r="B1006" s="5"/>
      <c r="C1006" s="22"/>
      <c r="D1006" s="5"/>
      <c r="E1006" s="5"/>
      <c r="F1006" s="5"/>
      <c r="G1006" s="19"/>
      <c r="H1006" s="5"/>
    </row>
    <row r="1007" spans="1:8" x14ac:dyDescent="0.35">
      <c r="A1007" s="5"/>
      <c r="B1007" s="5"/>
      <c r="C1007" s="22"/>
      <c r="D1007" s="5"/>
      <c r="E1007" s="5"/>
      <c r="F1007" s="5"/>
      <c r="G1007" s="19"/>
      <c r="H1007" s="5"/>
    </row>
    <row r="1008" spans="1:8" x14ac:dyDescent="0.35">
      <c r="A1008" s="5"/>
      <c r="B1008" s="5"/>
      <c r="C1008" s="22"/>
      <c r="D1008" s="5"/>
      <c r="E1008" s="5"/>
      <c r="F1008" s="5"/>
      <c r="G1008" s="19"/>
      <c r="H1008" s="5"/>
    </row>
    <row r="1009" spans="1:8" x14ac:dyDescent="0.35">
      <c r="A1009" s="5"/>
      <c r="B1009" s="5"/>
      <c r="C1009" s="22"/>
      <c r="D1009" s="5"/>
      <c r="E1009" s="5"/>
      <c r="F1009" s="5"/>
      <c r="G1009" s="19"/>
      <c r="H1009" s="5"/>
    </row>
    <row r="1010" spans="1:8" x14ac:dyDescent="0.35">
      <c r="A1010" s="5"/>
      <c r="B1010" s="5"/>
      <c r="C1010" s="22"/>
      <c r="D1010" s="5"/>
      <c r="E1010" s="5"/>
      <c r="F1010" s="5"/>
      <c r="G1010" s="19"/>
      <c r="H1010" s="5"/>
    </row>
    <row r="1011" spans="1:8" x14ac:dyDescent="0.35">
      <c r="A1011" s="5"/>
      <c r="B1011" s="5"/>
      <c r="C1011" s="22"/>
      <c r="D1011" s="5"/>
      <c r="E1011" s="5"/>
      <c r="F1011" s="5"/>
      <c r="G1011" s="19"/>
      <c r="H1011" s="5"/>
    </row>
    <row r="1012" spans="1:8" x14ac:dyDescent="0.35">
      <c r="A1012" s="5"/>
      <c r="B1012" s="5"/>
      <c r="C1012" s="22"/>
      <c r="D1012" s="5"/>
      <c r="E1012" s="5"/>
      <c r="F1012" s="5"/>
      <c r="G1012" s="19"/>
      <c r="H1012" s="5"/>
    </row>
    <row r="1013" spans="1:8" x14ac:dyDescent="0.35">
      <c r="A1013" s="5"/>
      <c r="B1013" s="5"/>
      <c r="C1013" s="22"/>
      <c r="D1013" s="5"/>
      <c r="E1013" s="5"/>
      <c r="F1013" s="5"/>
      <c r="G1013" s="19"/>
      <c r="H1013" s="5"/>
    </row>
    <row r="1014" spans="1:8" x14ac:dyDescent="0.35">
      <c r="A1014" s="5"/>
      <c r="B1014" s="5"/>
      <c r="C1014" s="22"/>
      <c r="D1014" s="5"/>
      <c r="E1014" s="5"/>
      <c r="F1014" s="5"/>
      <c r="G1014" s="19"/>
      <c r="H1014" s="5"/>
    </row>
    <row r="1015" spans="1:8" x14ac:dyDescent="0.35">
      <c r="A1015" s="5"/>
      <c r="B1015" s="5"/>
      <c r="C1015" s="22"/>
      <c r="D1015" s="5"/>
      <c r="E1015" s="5"/>
      <c r="F1015" s="5"/>
      <c r="G1015" s="19"/>
      <c r="H1015" s="5"/>
    </row>
    <row r="1016" spans="1:8" x14ac:dyDescent="0.35">
      <c r="A1016" s="5"/>
      <c r="B1016" s="5"/>
      <c r="C1016" s="22"/>
      <c r="D1016" s="5"/>
      <c r="E1016" s="5"/>
      <c r="F1016" s="5"/>
      <c r="G1016" s="19"/>
      <c r="H1016" s="5"/>
    </row>
    <row r="1017" spans="1:8" x14ac:dyDescent="0.35">
      <c r="A1017" s="5"/>
      <c r="B1017" s="5"/>
      <c r="C1017" s="22"/>
      <c r="D1017" s="5"/>
      <c r="E1017" s="5"/>
      <c r="F1017" s="5"/>
      <c r="G1017" s="19"/>
      <c r="H1017" s="5"/>
    </row>
    <row r="1018" spans="1:8" x14ac:dyDescent="0.35">
      <c r="A1018" s="5"/>
      <c r="B1018" s="5"/>
      <c r="C1018" s="22"/>
      <c r="D1018" s="5"/>
      <c r="E1018" s="5"/>
      <c r="F1018" s="5"/>
      <c r="G1018" s="19"/>
      <c r="H1018" s="5"/>
    </row>
    <row r="1019" spans="1:8" x14ac:dyDescent="0.35">
      <c r="A1019" s="5"/>
      <c r="B1019" s="5"/>
      <c r="C1019" s="22"/>
      <c r="D1019" s="5"/>
      <c r="E1019" s="5"/>
      <c r="F1019" s="5"/>
      <c r="G1019" s="19"/>
      <c r="H1019" s="5"/>
    </row>
    <row r="1020" spans="1:8" x14ac:dyDescent="0.35">
      <c r="A1020" s="5"/>
      <c r="B1020" s="5"/>
      <c r="C1020" s="22"/>
      <c r="D1020" s="5"/>
      <c r="E1020" s="5"/>
      <c r="F1020" s="5"/>
      <c r="G1020" s="19"/>
      <c r="H1020" s="5"/>
    </row>
    <row r="1021" spans="1:8" x14ac:dyDescent="0.35">
      <c r="A1021" s="5"/>
      <c r="B1021" s="5"/>
      <c r="C1021" s="22"/>
      <c r="D1021" s="5"/>
      <c r="E1021" s="5"/>
      <c r="F1021" s="5"/>
      <c r="G1021" s="19"/>
      <c r="H1021" s="5"/>
    </row>
    <row r="1022" spans="1:8" x14ac:dyDescent="0.35">
      <c r="A1022" s="5"/>
      <c r="B1022" s="5"/>
      <c r="C1022" s="22"/>
      <c r="D1022" s="5"/>
      <c r="E1022" s="5"/>
      <c r="F1022" s="5"/>
      <c r="G1022" s="19"/>
      <c r="H1022" s="5"/>
    </row>
    <row r="1023" spans="1:8" x14ac:dyDescent="0.35">
      <c r="A1023" s="5"/>
      <c r="B1023" s="5"/>
      <c r="C1023" s="22"/>
      <c r="D1023" s="5"/>
      <c r="E1023" s="5"/>
      <c r="F1023" s="5"/>
      <c r="G1023" s="19"/>
      <c r="H1023" s="5"/>
    </row>
    <row r="1024" spans="1:8" x14ac:dyDescent="0.35">
      <c r="A1024" s="5"/>
      <c r="B1024" s="5"/>
      <c r="C1024" s="22"/>
      <c r="D1024" s="5"/>
      <c r="E1024" s="5"/>
      <c r="F1024" s="5"/>
      <c r="G1024" s="19"/>
      <c r="H1024" s="5"/>
    </row>
    <row r="1025" spans="1:8" x14ac:dyDescent="0.35">
      <c r="A1025" s="5"/>
      <c r="B1025" s="5"/>
      <c r="C1025" s="22"/>
      <c r="D1025" s="5"/>
      <c r="E1025" s="5"/>
      <c r="F1025" s="5"/>
      <c r="G1025" s="19"/>
      <c r="H1025" s="5"/>
    </row>
    <row r="1026" spans="1:8" x14ac:dyDescent="0.35">
      <c r="A1026" s="5"/>
      <c r="B1026" s="5"/>
      <c r="C1026" s="22"/>
      <c r="D1026" s="5"/>
      <c r="E1026" s="5"/>
      <c r="F1026" s="5"/>
      <c r="G1026" s="19"/>
      <c r="H1026" s="5"/>
    </row>
    <row r="1027" spans="1:8" x14ac:dyDescent="0.35">
      <c r="A1027" s="5"/>
      <c r="B1027" s="5"/>
      <c r="C1027" s="22"/>
      <c r="D1027" s="5"/>
      <c r="E1027" s="5"/>
      <c r="F1027" s="5"/>
      <c r="G1027" s="19"/>
      <c r="H1027" s="5"/>
    </row>
    <row r="1028" spans="1:8" x14ac:dyDescent="0.35">
      <c r="A1028" s="5"/>
      <c r="B1028" s="5"/>
      <c r="C1028" s="22"/>
      <c r="D1028" s="5"/>
      <c r="E1028" s="5"/>
      <c r="F1028" s="5"/>
      <c r="G1028" s="19"/>
      <c r="H1028" s="5"/>
    </row>
    <row r="1029" spans="1:8" x14ac:dyDescent="0.35">
      <c r="A1029" s="5"/>
      <c r="B1029" s="5"/>
      <c r="C1029" s="22"/>
      <c r="D1029" s="5"/>
      <c r="E1029" s="5"/>
      <c r="F1029" s="5"/>
      <c r="G1029" s="19"/>
      <c r="H1029" s="5"/>
    </row>
    <row r="1030" spans="1:8" x14ac:dyDescent="0.35">
      <c r="A1030" s="5"/>
      <c r="B1030" s="5"/>
      <c r="C1030" s="22"/>
      <c r="D1030" s="5"/>
      <c r="E1030" s="5"/>
      <c r="F1030" s="5"/>
      <c r="G1030" s="19"/>
      <c r="H1030" s="5"/>
    </row>
    <row r="1031" spans="1:8" x14ac:dyDescent="0.35">
      <c r="A1031" s="5"/>
      <c r="B1031" s="5"/>
      <c r="C1031" s="22"/>
      <c r="D1031" s="5"/>
      <c r="E1031" s="5"/>
      <c r="F1031" s="5"/>
      <c r="G1031" s="19"/>
      <c r="H1031" s="5"/>
    </row>
    <row r="1032" spans="1:8" x14ac:dyDescent="0.35">
      <c r="A1032" s="5"/>
      <c r="B1032" s="5"/>
      <c r="C1032" s="22"/>
      <c r="D1032" s="5"/>
      <c r="E1032" s="5"/>
      <c r="F1032" s="5"/>
      <c r="G1032" s="19"/>
      <c r="H1032" s="5"/>
    </row>
    <row r="1033" spans="1:8" x14ac:dyDescent="0.35">
      <c r="A1033" s="5"/>
      <c r="B1033" s="5"/>
      <c r="C1033" s="22"/>
      <c r="D1033" s="5"/>
      <c r="E1033" s="5"/>
      <c r="F1033" s="5"/>
      <c r="G1033" s="19"/>
      <c r="H1033" s="5"/>
    </row>
    <row r="1034" spans="1:8" x14ac:dyDescent="0.35">
      <c r="A1034" s="5"/>
      <c r="B1034" s="5"/>
      <c r="C1034" s="22"/>
      <c r="D1034" s="5"/>
      <c r="E1034" s="5"/>
      <c r="F1034" s="5"/>
      <c r="G1034" s="19"/>
      <c r="H1034" s="5"/>
    </row>
    <row r="1035" spans="1:8" x14ac:dyDescent="0.35">
      <c r="A1035" s="5"/>
      <c r="B1035" s="5"/>
      <c r="C1035" s="22"/>
      <c r="D1035" s="5"/>
      <c r="E1035" s="5"/>
      <c r="F1035" s="5"/>
      <c r="G1035" s="19"/>
      <c r="H1035" s="5"/>
    </row>
    <row r="1036" spans="1:8" x14ac:dyDescent="0.35">
      <c r="A1036" s="5"/>
      <c r="B1036" s="5"/>
      <c r="C1036" s="22"/>
      <c r="D1036" s="5"/>
      <c r="E1036" s="5"/>
      <c r="F1036" s="5"/>
      <c r="G1036" s="19"/>
      <c r="H1036" s="5"/>
    </row>
    <row r="1037" spans="1:8" x14ac:dyDescent="0.35">
      <c r="A1037" s="5"/>
      <c r="B1037" s="5"/>
      <c r="C1037" s="22"/>
      <c r="D1037" s="5"/>
      <c r="E1037" s="5"/>
      <c r="F1037" s="5"/>
      <c r="G1037" s="19"/>
      <c r="H1037" s="5"/>
    </row>
    <row r="1038" spans="1:8" x14ac:dyDescent="0.35">
      <c r="A1038" s="5"/>
      <c r="B1038" s="5"/>
      <c r="C1038" s="22"/>
      <c r="D1038" s="5"/>
      <c r="E1038" s="5"/>
      <c r="F1038" s="5"/>
      <c r="G1038" s="19"/>
      <c r="H1038" s="5"/>
    </row>
    <row r="1039" spans="1:8" x14ac:dyDescent="0.35">
      <c r="A1039" s="5"/>
      <c r="B1039" s="5"/>
      <c r="C1039" s="22"/>
      <c r="D1039" s="5"/>
      <c r="E1039" s="5"/>
      <c r="F1039" s="5"/>
      <c r="G1039" s="19"/>
      <c r="H1039" s="5"/>
    </row>
    <row r="1040" spans="1:8" x14ac:dyDescent="0.35">
      <c r="A1040" s="5"/>
      <c r="B1040" s="5"/>
      <c r="C1040" s="22"/>
      <c r="D1040" s="5"/>
      <c r="E1040" s="5"/>
      <c r="F1040" s="5"/>
      <c r="G1040" s="19"/>
      <c r="H1040" s="5"/>
    </row>
    <row r="1041" spans="1:8" x14ac:dyDescent="0.35">
      <c r="A1041" s="5"/>
      <c r="B1041" s="5"/>
      <c r="C1041" s="22"/>
      <c r="D1041" s="5"/>
      <c r="E1041" s="5"/>
      <c r="F1041" s="5"/>
      <c r="G1041" s="19"/>
      <c r="H1041" s="5"/>
    </row>
    <row r="1042" spans="1:8" x14ac:dyDescent="0.35">
      <c r="A1042" s="5"/>
      <c r="B1042" s="5"/>
      <c r="C1042" s="22"/>
      <c r="D1042" s="5"/>
      <c r="E1042" s="5"/>
      <c r="F1042" s="5"/>
      <c r="G1042" s="19"/>
      <c r="H1042" s="5"/>
    </row>
    <row r="1043" spans="1:8" x14ac:dyDescent="0.35">
      <c r="A1043" s="5"/>
      <c r="B1043" s="5"/>
      <c r="C1043" s="22"/>
      <c r="D1043" s="5"/>
      <c r="E1043" s="5"/>
      <c r="F1043" s="5"/>
      <c r="G1043" s="19"/>
      <c r="H1043" s="5"/>
    </row>
    <row r="1044" spans="1:8" x14ac:dyDescent="0.35">
      <c r="A1044" s="5"/>
      <c r="B1044" s="5"/>
      <c r="C1044" s="22"/>
      <c r="D1044" s="5"/>
      <c r="E1044" s="5"/>
      <c r="F1044" s="5"/>
      <c r="G1044" s="19"/>
      <c r="H1044" s="5"/>
    </row>
    <row r="1045" spans="1:8" x14ac:dyDescent="0.35">
      <c r="A1045" s="5"/>
      <c r="B1045" s="5"/>
      <c r="C1045" s="22"/>
      <c r="D1045" s="5"/>
      <c r="E1045" s="5"/>
      <c r="F1045" s="5"/>
      <c r="G1045" s="19"/>
      <c r="H1045" s="5"/>
    </row>
    <row r="1046" spans="1:8" x14ac:dyDescent="0.35">
      <c r="A1046" s="5"/>
      <c r="B1046" s="5"/>
      <c r="C1046" s="22"/>
      <c r="D1046" s="5"/>
      <c r="E1046" s="5"/>
      <c r="F1046" s="5"/>
      <c r="G1046" s="19"/>
      <c r="H1046" s="5"/>
    </row>
    <row r="1047" spans="1:8" x14ac:dyDescent="0.35">
      <c r="A1047" s="5"/>
      <c r="B1047" s="5"/>
      <c r="C1047" s="22"/>
      <c r="D1047" s="5"/>
      <c r="E1047" s="5"/>
      <c r="F1047" s="5"/>
      <c r="G1047" s="19"/>
      <c r="H1047" s="5"/>
    </row>
    <row r="1048" spans="1:8" x14ac:dyDescent="0.35">
      <c r="A1048" s="5"/>
      <c r="B1048" s="5"/>
      <c r="C1048" s="22"/>
      <c r="D1048" s="5"/>
      <c r="E1048" s="5"/>
      <c r="F1048" s="5"/>
      <c r="G1048" s="19"/>
      <c r="H1048" s="5"/>
    </row>
    <row r="1049" spans="1:8" x14ac:dyDescent="0.35">
      <c r="A1049" s="5"/>
      <c r="B1049" s="5"/>
      <c r="C1049" s="22"/>
      <c r="D1049" s="5"/>
      <c r="E1049" s="5"/>
      <c r="F1049" s="5"/>
      <c r="G1049" s="19"/>
      <c r="H1049" s="5"/>
    </row>
    <row r="1050" spans="1:8" x14ac:dyDescent="0.35">
      <c r="A1050" s="5"/>
      <c r="B1050" s="5"/>
      <c r="C1050" s="22"/>
      <c r="D1050" s="5"/>
      <c r="E1050" s="5"/>
      <c r="F1050" s="5"/>
      <c r="G1050" s="19"/>
      <c r="H1050" s="5"/>
    </row>
    <row r="1051" spans="1:8" x14ac:dyDescent="0.35">
      <c r="A1051" s="5"/>
      <c r="B1051" s="5"/>
      <c r="C1051" s="22"/>
      <c r="D1051" s="5"/>
      <c r="E1051" s="5"/>
      <c r="F1051" s="5"/>
      <c r="G1051" s="19"/>
      <c r="H1051" s="5"/>
    </row>
    <row r="1052" spans="1:8" x14ac:dyDescent="0.35">
      <c r="A1052" s="5"/>
      <c r="B1052" s="5"/>
      <c r="C1052" s="22"/>
      <c r="D1052" s="5"/>
      <c r="E1052" s="5"/>
      <c r="F1052" s="5"/>
      <c r="G1052" s="19"/>
      <c r="H1052" s="5"/>
    </row>
    <row r="1053" spans="1:8" x14ac:dyDescent="0.35">
      <c r="A1053" s="5"/>
      <c r="B1053" s="5"/>
      <c r="C1053" s="22"/>
      <c r="D1053" s="5"/>
      <c r="E1053" s="5"/>
      <c r="F1053" s="5"/>
      <c r="G1053" s="19"/>
      <c r="H1053" s="5"/>
    </row>
    <row r="1054" spans="1:8" x14ac:dyDescent="0.35">
      <c r="A1054" s="5"/>
      <c r="B1054" s="5"/>
      <c r="C1054" s="22"/>
      <c r="D1054" s="5"/>
      <c r="E1054" s="5"/>
      <c r="F1054" s="5"/>
      <c r="G1054" s="19"/>
      <c r="H1054" s="5"/>
    </row>
    <row r="1055" spans="1:8" x14ac:dyDescent="0.35">
      <c r="A1055" s="5"/>
      <c r="B1055" s="5"/>
      <c r="C1055" s="22"/>
      <c r="D1055" s="5"/>
      <c r="E1055" s="5"/>
      <c r="F1055" s="5"/>
      <c r="G1055" s="19"/>
      <c r="H1055" s="5"/>
    </row>
    <row r="1056" spans="1:8" x14ac:dyDescent="0.35">
      <c r="A1056" s="5"/>
      <c r="B1056" s="5"/>
      <c r="C1056" s="22"/>
      <c r="D1056" s="5"/>
      <c r="E1056" s="5"/>
      <c r="F1056" s="5"/>
      <c r="G1056" s="19"/>
      <c r="H1056" s="5"/>
    </row>
    <row r="1057" spans="1:8" x14ac:dyDescent="0.35">
      <c r="A1057" s="5"/>
      <c r="B1057" s="5"/>
      <c r="C1057" s="22"/>
      <c r="D1057" s="5"/>
      <c r="E1057" s="5"/>
      <c r="F1057" s="5"/>
      <c r="G1057" s="19"/>
      <c r="H1057" s="5"/>
    </row>
    <row r="1058" spans="1:8" x14ac:dyDescent="0.35">
      <c r="A1058" s="5"/>
      <c r="B1058" s="5"/>
      <c r="C1058" s="22"/>
      <c r="D1058" s="5"/>
      <c r="E1058" s="5"/>
      <c r="F1058" s="5"/>
      <c r="G1058" s="19"/>
      <c r="H1058" s="5"/>
    </row>
    <row r="1059" spans="1:8" x14ac:dyDescent="0.35">
      <c r="A1059" s="5"/>
      <c r="B1059" s="5"/>
      <c r="C1059" s="22"/>
      <c r="D1059" s="5"/>
      <c r="E1059" s="5"/>
      <c r="F1059" s="5"/>
      <c r="G1059" s="19"/>
      <c r="H1059" s="5"/>
    </row>
    <row r="1060" spans="1:8" x14ac:dyDescent="0.35">
      <c r="A1060" s="5"/>
      <c r="B1060" s="5"/>
      <c r="C1060" s="22"/>
      <c r="D1060" s="5"/>
      <c r="E1060" s="5"/>
      <c r="F1060" s="5"/>
      <c r="G1060" s="19"/>
      <c r="H1060" s="5"/>
    </row>
    <row r="1061" spans="1:8" x14ac:dyDescent="0.35">
      <c r="A1061" s="5"/>
      <c r="B1061" s="5"/>
      <c r="C1061" s="22"/>
      <c r="D1061" s="5"/>
      <c r="E1061" s="5"/>
      <c r="F1061" s="5"/>
      <c r="G1061" s="19"/>
      <c r="H1061" s="5"/>
    </row>
    <row r="1062" spans="1:8" x14ac:dyDescent="0.35">
      <c r="A1062" s="5"/>
      <c r="B1062" s="5"/>
      <c r="C1062" s="22"/>
      <c r="D1062" s="5"/>
      <c r="E1062" s="5"/>
      <c r="F1062" s="5"/>
      <c r="G1062" s="19"/>
      <c r="H1062" s="5"/>
    </row>
    <row r="1063" spans="1:8" x14ac:dyDescent="0.35">
      <c r="A1063" s="5"/>
      <c r="B1063" s="5"/>
      <c r="C1063" s="22"/>
      <c r="D1063" s="5"/>
      <c r="E1063" s="5"/>
      <c r="F1063" s="5"/>
      <c r="G1063" s="19"/>
      <c r="H1063" s="5"/>
    </row>
    <row r="1064" spans="1:8" x14ac:dyDescent="0.35">
      <c r="A1064" s="5"/>
      <c r="B1064" s="5"/>
      <c r="C1064" s="22"/>
      <c r="D1064" s="5"/>
      <c r="E1064" s="5"/>
      <c r="F1064" s="5"/>
      <c r="G1064" s="19"/>
      <c r="H1064" s="5"/>
    </row>
    <row r="1065" spans="1:8" x14ac:dyDescent="0.35">
      <c r="A1065" s="5"/>
      <c r="B1065" s="5"/>
      <c r="C1065" s="22"/>
      <c r="D1065" s="5"/>
      <c r="E1065" s="5"/>
      <c r="F1065" s="5"/>
      <c r="G1065" s="19"/>
      <c r="H1065" s="5"/>
    </row>
    <row r="1066" spans="1:8" x14ac:dyDescent="0.35">
      <c r="A1066" s="5"/>
      <c r="B1066" s="5"/>
      <c r="C1066" s="22"/>
      <c r="D1066" s="5"/>
      <c r="E1066" s="5"/>
      <c r="F1066" s="5"/>
      <c r="G1066" s="19"/>
      <c r="H1066" s="5"/>
    </row>
    <row r="1067" spans="1:8" x14ac:dyDescent="0.35">
      <c r="A1067" s="5"/>
      <c r="B1067" s="5"/>
      <c r="C1067" s="22"/>
      <c r="D1067" s="5"/>
      <c r="E1067" s="5"/>
      <c r="F1067" s="5"/>
      <c r="G1067" s="19"/>
      <c r="H1067" s="5"/>
    </row>
    <row r="1068" spans="1:8" x14ac:dyDescent="0.35">
      <c r="A1068" s="5"/>
      <c r="B1068" s="5"/>
      <c r="C1068" s="22"/>
      <c r="D1068" s="5"/>
      <c r="E1068" s="5"/>
      <c r="F1068" s="5"/>
      <c r="G1068" s="19"/>
      <c r="H1068" s="5"/>
    </row>
    <row r="1069" spans="1:8" x14ac:dyDescent="0.35">
      <c r="A1069" s="5"/>
      <c r="B1069" s="5"/>
      <c r="C1069" s="22"/>
      <c r="D1069" s="5"/>
      <c r="E1069" s="5"/>
      <c r="F1069" s="5"/>
      <c r="G1069" s="19"/>
      <c r="H1069" s="5"/>
    </row>
    <row r="1070" spans="1:8" x14ac:dyDescent="0.35">
      <c r="A1070" s="5"/>
      <c r="B1070" s="5"/>
      <c r="C1070" s="22"/>
      <c r="D1070" s="5"/>
      <c r="E1070" s="5"/>
      <c r="F1070" s="5"/>
      <c r="G1070" s="19"/>
      <c r="H1070" s="5"/>
    </row>
    <row r="1071" spans="1:8" x14ac:dyDescent="0.35">
      <c r="A1071" s="5"/>
      <c r="B1071" s="5"/>
      <c r="C1071" s="22"/>
      <c r="D1071" s="5"/>
      <c r="E1071" s="5"/>
      <c r="F1071" s="5"/>
      <c r="G1071" s="19"/>
      <c r="H1071" s="5"/>
    </row>
    <row r="1072" spans="1:8" x14ac:dyDescent="0.35">
      <c r="A1072" s="5"/>
      <c r="B1072" s="5"/>
      <c r="C1072" s="22"/>
      <c r="D1072" s="5"/>
      <c r="E1072" s="5"/>
      <c r="F1072" s="5"/>
      <c r="G1072" s="19"/>
      <c r="H1072" s="5"/>
    </row>
    <row r="1073" spans="1:8" x14ac:dyDescent="0.35">
      <c r="A1073" s="5"/>
      <c r="B1073" s="5"/>
      <c r="C1073" s="22"/>
      <c r="D1073" s="5"/>
      <c r="E1073" s="5"/>
      <c r="F1073" s="5"/>
      <c r="G1073" s="19"/>
      <c r="H1073" s="5"/>
    </row>
    <row r="1074" spans="1:8" x14ac:dyDescent="0.35">
      <c r="A1074" s="5"/>
      <c r="B1074" s="5"/>
      <c r="C1074" s="22"/>
      <c r="D1074" s="5"/>
      <c r="E1074" s="5"/>
      <c r="F1074" s="5"/>
      <c r="G1074" s="19"/>
      <c r="H1074" s="5"/>
    </row>
    <row r="1075" spans="1:8" x14ac:dyDescent="0.35">
      <c r="A1075" s="5"/>
      <c r="B1075" s="5"/>
      <c r="C1075" s="22"/>
      <c r="D1075" s="5"/>
      <c r="E1075" s="5"/>
      <c r="F1075" s="5"/>
      <c r="G1075" s="19"/>
      <c r="H1075" s="5"/>
    </row>
    <row r="1076" spans="1:8" x14ac:dyDescent="0.35">
      <c r="A1076" s="5"/>
      <c r="B1076" s="5"/>
      <c r="C1076" s="22"/>
      <c r="D1076" s="5"/>
      <c r="E1076" s="5"/>
      <c r="F1076" s="5"/>
      <c r="G1076" s="19"/>
      <c r="H1076" s="5"/>
    </row>
    <row r="1077" spans="1:8" x14ac:dyDescent="0.35">
      <c r="A1077" s="5"/>
      <c r="B1077" s="5"/>
      <c r="C1077" s="22"/>
      <c r="D1077" s="5"/>
      <c r="E1077" s="5"/>
      <c r="F1077" s="5"/>
      <c r="G1077" s="19"/>
      <c r="H1077" s="5"/>
    </row>
    <row r="1078" spans="1:8" x14ac:dyDescent="0.35">
      <c r="A1078" s="5"/>
      <c r="B1078" s="5"/>
      <c r="C1078" s="22"/>
      <c r="D1078" s="5"/>
      <c r="E1078" s="5"/>
      <c r="F1078" s="5"/>
      <c r="G1078" s="19"/>
      <c r="H1078" s="5"/>
    </row>
    <row r="1079" spans="1:8" x14ac:dyDescent="0.35">
      <c r="A1079" s="5"/>
      <c r="B1079" s="5"/>
      <c r="C1079" s="22"/>
      <c r="D1079" s="5"/>
      <c r="E1079" s="5"/>
      <c r="F1079" s="5"/>
      <c r="G1079" s="19"/>
      <c r="H1079" s="5"/>
    </row>
    <row r="1080" spans="1:8" x14ac:dyDescent="0.35">
      <c r="A1080" s="5"/>
      <c r="B1080" s="5"/>
      <c r="C1080" s="22"/>
      <c r="D1080" s="5"/>
      <c r="E1080" s="5"/>
      <c r="F1080" s="5"/>
      <c r="G1080" s="19"/>
      <c r="H1080" s="5"/>
    </row>
    <row r="1081" spans="1:8" x14ac:dyDescent="0.35">
      <c r="A1081" s="5"/>
      <c r="B1081" s="5"/>
      <c r="C1081" s="22"/>
      <c r="D1081" s="5"/>
      <c r="E1081" s="5"/>
      <c r="F1081" s="5"/>
      <c r="G1081" s="19"/>
      <c r="H1081" s="5"/>
    </row>
    <row r="1082" spans="1:8" x14ac:dyDescent="0.35">
      <c r="A1082" s="5"/>
      <c r="B1082" s="5"/>
      <c r="C1082" s="22"/>
      <c r="D1082" s="5"/>
      <c r="E1082" s="5"/>
      <c r="F1082" s="5"/>
      <c r="G1082" s="19"/>
      <c r="H1082" s="5"/>
    </row>
    <row r="1083" spans="1:8" x14ac:dyDescent="0.35">
      <c r="A1083" s="5"/>
      <c r="B1083" s="5"/>
      <c r="C1083" s="22"/>
      <c r="D1083" s="5"/>
      <c r="E1083" s="5"/>
      <c r="F1083" s="5"/>
      <c r="G1083" s="19"/>
      <c r="H1083" s="5"/>
    </row>
    <row r="1084" spans="1:8" x14ac:dyDescent="0.35">
      <c r="A1084" s="5"/>
      <c r="B1084" s="5"/>
      <c r="C1084" s="22"/>
      <c r="D1084" s="5"/>
      <c r="E1084" s="5"/>
      <c r="F1084" s="5"/>
      <c r="G1084" s="19"/>
      <c r="H1084" s="5"/>
    </row>
    <row r="1085" spans="1:8" x14ac:dyDescent="0.35">
      <c r="A1085" s="5"/>
      <c r="B1085" s="5"/>
      <c r="C1085" s="22"/>
      <c r="D1085" s="5"/>
      <c r="E1085" s="5"/>
      <c r="F1085" s="5"/>
      <c r="G1085" s="19"/>
      <c r="H1085" s="5"/>
    </row>
    <row r="1086" spans="1:8" x14ac:dyDescent="0.35">
      <c r="A1086" s="5"/>
      <c r="B1086" s="5"/>
      <c r="C1086" s="22"/>
      <c r="D1086" s="5"/>
      <c r="E1086" s="5"/>
      <c r="F1086" s="5"/>
      <c r="G1086" s="19"/>
      <c r="H1086" s="5"/>
    </row>
    <row r="1087" spans="1:8" x14ac:dyDescent="0.35">
      <c r="A1087" s="5"/>
      <c r="B1087" s="5"/>
      <c r="C1087" s="22"/>
      <c r="D1087" s="5"/>
      <c r="E1087" s="5"/>
      <c r="F1087" s="5"/>
      <c r="G1087" s="19"/>
      <c r="H1087" s="5"/>
    </row>
    <row r="1088" spans="1:8" x14ac:dyDescent="0.35">
      <c r="A1088" s="5"/>
      <c r="B1088" s="5"/>
      <c r="C1088" s="22"/>
      <c r="D1088" s="5"/>
      <c r="E1088" s="5"/>
      <c r="F1088" s="5"/>
      <c r="G1088" s="19"/>
      <c r="H1088" s="5"/>
    </row>
    <row r="1089" spans="1:8" x14ac:dyDescent="0.35">
      <c r="A1089" s="5"/>
      <c r="B1089" s="5"/>
      <c r="C1089" s="22"/>
      <c r="D1089" s="5"/>
      <c r="E1089" s="5"/>
      <c r="F1089" s="5"/>
      <c r="G1089" s="19"/>
      <c r="H1089" s="5"/>
    </row>
    <row r="1090" spans="1:8" x14ac:dyDescent="0.35">
      <c r="A1090" s="5"/>
      <c r="B1090" s="5"/>
      <c r="C1090" s="22"/>
      <c r="D1090" s="5"/>
      <c r="E1090" s="5"/>
      <c r="F1090" s="5"/>
      <c r="G1090" s="19"/>
      <c r="H1090" s="5"/>
    </row>
    <row r="1091" spans="1:8" x14ac:dyDescent="0.35">
      <c r="A1091" s="5"/>
      <c r="B1091" s="5"/>
      <c r="C1091" s="22"/>
      <c r="D1091" s="5"/>
      <c r="E1091" s="5"/>
      <c r="F1091" s="5"/>
      <c r="G1091" s="19"/>
      <c r="H1091" s="5"/>
    </row>
    <row r="1092" spans="1:8" x14ac:dyDescent="0.35">
      <c r="A1092" s="5"/>
      <c r="B1092" s="5"/>
      <c r="C1092" s="22"/>
      <c r="D1092" s="5"/>
      <c r="E1092" s="5"/>
      <c r="F1092" s="5"/>
      <c r="G1092" s="19"/>
      <c r="H1092" s="5"/>
    </row>
    <row r="1093" spans="1:8" x14ac:dyDescent="0.35">
      <c r="A1093" s="5"/>
      <c r="B1093" s="5"/>
      <c r="C1093" s="22"/>
      <c r="D1093" s="5"/>
      <c r="E1093" s="5"/>
      <c r="F1093" s="5"/>
      <c r="G1093" s="19"/>
      <c r="H1093" s="5"/>
    </row>
    <row r="1094" spans="1:8" x14ac:dyDescent="0.35">
      <c r="A1094" s="5"/>
      <c r="B1094" s="5"/>
      <c r="C1094" s="22"/>
      <c r="D1094" s="5"/>
      <c r="E1094" s="5"/>
      <c r="F1094" s="5"/>
      <c r="G1094" s="19"/>
      <c r="H1094" s="5"/>
    </row>
    <row r="1095" spans="1:8" x14ac:dyDescent="0.35">
      <c r="A1095" s="5"/>
      <c r="B1095" s="5"/>
      <c r="C1095" s="22"/>
      <c r="D1095" s="5"/>
      <c r="E1095" s="5"/>
      <c r="F1095" s="5"/>
      <c r="G1095" s="19"/>
      <c r="H1095" s="5"/>
    </row>
    <row r="1096" spans="1:8" x14ac:dyDescent="0.35">
      <c r="A1096" s="5"/>
      <c r="B1096" s="5"/>
      <c r="C1096" s="22"/>
      <c r="D1096" s="5"/>
      <c r="E1096" s="5"/>
      <c r="F1096" s="5"/>
      <c r="G1096" s="19"/>
      <c r="H1096" s="5"/>
    </row>
    <row r="1097" spans="1:8" x14ac:dyDescent="0.35">
      <c r="A1097" s="5"/>
      <c r="B1097" s="5"/>
      <c r="C1097" s="22"/>
      <c r="D1097" s="5"/>
      <c r="E1097" s="5"/>
      <c r="F1097" s="5"/>
      <c r="G1097" s="19"/>
      <c r="H1097" s="5"/>
    </row>
    <row r="1098" spans="1:8" x14ac:dyDescent="0.35">
      <c r="A1098" s="5"/>
      <c r="B1098" s="5"/>
      <c r="C1098" s="22"/>
      <c r="D1098" s="5"/>
      <c r="E1098" s="5"/>
      <c r="F1098" s="5"/>
      <c r="G1098" s="19"/>
      <c r="H1098" s="5"/>
    </row>
    <row r="1099" spans="1:8" x14ac:dyDescent="0.35">
      <c r="A1099" s="5"/>
      <c r="B1099" s="5"/>
      <c r="C1099" s="22"/>
      <c r="D1099" s="5"/>
      <c r="E1099" s="5"/>
      <c r="F1099" s="5"/>
      <c r="G1099" s="19"/>
      <c r="H1099" s="5"/>
    </row>
    <row r="1100" spans="1:8" x14ac:dyDescent="0.35">
      <c r="A1100" s="5"/>
      <c r="B1100" s="5"/>
      <c r="C1100" s="22"/>
      <c r="D1100" s="5"/>
      <c r="E1100" s="5"/>
      <c r="F1100" s="5"/>
      <c r="G1100" s="19"/>
      <c r="H1100" s="5"/>
    </row>
    <row r="1101" spans="1:8" x14ac:dyDescent="0.35">
      <c r="A1101" s="5"/>
      <c r="B1101" s="5"/>
      <c r="C1101" s="22"/>
      <c r="D1101" s="5"/>
      <c r="E1101" s="5"/>
      <c r="F1101" s="5"/>
      <c r="G1101" s="19"/>
      <c r="H1101" s="5"/>
    </row>
    <row r="1102" spans="1:8" x14ac:dyDescent="0.35">
      <c r="A1102" s="5"/>
      <c r="B1102" s="5"/>
      <c r="C1102" s="22"/>
      <c r="D1102" s="5"/>
      <c r="E1102" s="5"/>
      <c r="F1102" s="5"/>
      <c r="G1102" s="19"/>
      <c r="H1102" s="5"/>
    </row>
    <row r="1103" spans="1:8" x14ac:dyDescent="0.35">
      <c r="A1103" s="5"/>
      <c r="B1103" s="5"/>
      <c r="C1103" s="22"/>
      <c r="D1103" s="5"/>
      <c r="E1103" s="5"/>
      <c r="F1103" s="5"/>
      <c r="G1103" s="19"/>
      <c r="H1103" s="5"/>
    </row>
    <row r="1104" spans="1:8" x14ac:dyDescent="0.35">
      <c r="A1104" s="5"/>
      <c r="B1104" s="5"/>
      <c r="C1104" s="22"/>
      <c r="D1104" s="5"/>
      <c r="E1104" s="5"/>
      <c r="F1104" s="5"/>
      <c r="G1104" s="19"/>
      <c r="H1104" s="5"/>
    </row>
    <row r="1105" spans="1:8" x14ac:dyDescent="0.35">
      <c r="A1105" s="5"/>
      <c r="B1105" s="5"/>
      <c r="C1105" s="22"/>
      <c r="D1105" s="5"/>
      <c r="E1105" s="5"/>
      <c r="F1105" s="5"/>
      <c r="G1105" s="19"/>
      <c r="H1105" s="5"/>
    </row>
    <row r="1106" spans="1:8" x14ac:dyDescent="0.35">
      <c r="A1106" s="5"/>
      <c r="B1106" s="5"/>
      <c r="C1106" s="22"/>
      <c r="D1106" s="5"/>
      <c r="E1106" s="5"/>
      <c r="F1106" s="5"/>
      <c r="G1106" s="19"/>
      <c r="H1106" s="5"/>
    </row>
    <row r="1107" spans="1:8" x14ac:dyDescent="0.35">
      <c r="A1107" s="5"/>
      <c r="B1107" s="5"/>
      <c r="C1107" s="22"/>
      <c r="D1107" s="5"/>
      <c r="E1107" s="5"/>
      <c r="F1107" s="5"/>
      <c r="G1107" s="19"/>
      <c r="H1107" s="5"/>
    </row>
    <row r="1108" spans="1:8" x14ac:dyDescent="0.35">
      <c r="A1108" s="5"/>
      <c r="B1108" s="5"/>
      <c r="C1108" s="22"/>
      <c r="D1108" s="5"/>
      <c r="E1108" s="5"/>
      <c r="F1108" s="5"/>
      <c r="G1108" s="19"/>
      <c r="H1108" s="5"/>
    </row>
    <row r="1109" spans="1:8" x14ac:dyDescent="0.35">
      <c r="A1109" s="5"/>
      <c r="B1109" s="5"/>
      <c r="C1109" s="22"/>
      <c r="D1109" s="5"/>
      <c r="E1109" s="5"/>
      <c r="F1109" s="5"/>
      <c r="G1109" s="19"/>
      <c r="H1109" s="5"/>
    </row>
    <row r="1110" spans="1:8" x14ac:dyDescent="0.35">
      <c r="A1110" s="5"/>
      <c r="B1110" s="5"/>
      <c r="C1110" s="22"/>
      <c r="D1110" s="5"/>
      <c r="E1110" s="5"/>
      <c r="F1110" s="5"/>
      <c r="G1110" s="19"/>
      <c r="H1110" s="5"/>
    </row>
    <row r="1111" spans="1:8" x14ac:dyDescent="0.35">
      <c r="A1111" s="5"/>
      <c r="B1111" s="5"/>
      <c r="C1111" s="22"/>
      <c r="D1111" s="5"/>
      <c r="E1111" s="5"/>
      <c r="F1111" s="5"/>
      <c r="G1111" s="19"/>
      <c r="H1111" s="5"/>
    </row>
    <row r="1112" spans="1:8" x14ac:dyDescent="0.35">
      <c r="A1112" s="5"/>
      <c r="B1112" s="5"/>
      <c r="C1112" s="22"/>
      <c r="D1112" s="5"/>
      <c r="E1112" s="5"/>
      <c r="F1112" s="5"/>
      <c r="G1112" s="19"/>
      <c r="H1112" s="5"/>
    </row>
    <row r="1113" spans="1:8" x14ac:dyDescent="0.35">
      <c r="A1113" s="5"/>
      <c r="B1113" s="5"/>
      <c r="C1113" s="22"/>
      <c r="D1113" s="5"/>
      <c r="E1113" s="5"/>
      <c r="F1113" s="5"/>
      <c r="G1113" s="19"/>
      <c r="H1113" s="5"/>
    </row>
    <row r="1114" spans="1:8" x14ac:dyDescent="0.35">
      <c r="A1114" s="5"/>
      <c r="B1114" s="5"/>
      <c r="C1114" s="22"/>
      <c r="D1114" s="5"/>
      <c r="E1114" s="5"/>
      <c r="F1114" s="5"/>
      <c r="G1114" s="19"/>
      <c r="H1114" s="5"/>
    </row>
    <row r="1115" spans="1:8" x14ac:dyDescent="0.35">
      <c r="A1115" s="5"/>
      <c r="B1115" s="5"/>
      <c r="C1115" s="22"/>
      <c r="D1115" s="5"/>
      <c r="E1115" s="5"/>
      <c r="F1115" s="5"/>
      <c r="G1115" s="19"/>
      <c r="H1115" s="5"/>
    </row>
    <row r="1116" spans="1:8" x14ac:dyDescent="0.35">
      <c r="A1116" s="5"/>
      <c r="B1116" s="5"/>
      <c r="C1116" s="22"/>
      <c r="D1116" s="5"/>
      <c r="E1116" s="5"/>
      <c r="F1116" s="5"/>
      <c r="G1116" s="19"/>
      <c r="H1116" s="5"/>
    </row>
    <row r="1117" spans="1:8" x14ac:dyDescent="0.35">
      <c r="A1117" s="5"/>
      <c r="B1117" s="5"/>
      <c r="C1117" s="22"/>
      <c r="D1117" s="5"/>
      <c r="E1117" s="5"/>
      <c r="F1117" s="5"/>
      <c r="G1117" s="19"/>
      <c r="H1117" s="5"/>
    </row>
    <row r="1118" spans="1:8" x14ac:dyDescent="0.35">
      <c r="A1118" s="5"/>
      <c r="B1118" s="5"/>
      <c r="C1118" s="22"/>
      <c r="D1118" s="5"/>
      <c r="E1118" s="5"/>
      <c r="F1118" s="5"/>
      <c r="G1118" s="19"/>
      <c r="H1118" s="5"/>
    </row>
    <row r="1119" spans="1:8" x14ac:dyDescent="0.35">
      <c r="A1119" s="5"/>
      <c r="B1119" s="5"/>
      <c r="C1119" s="22"/>
      <c r="D1119" s="5"/>
      <c r="E1119" s="5"/>
      <c r="F1119" s="5"/>
      <c r="G1119" s="19"/>
      <c r="H1119" s="5"/>
    </row>
    <row r="1120" spans="1:8" x14ac:dyDescent="0.35">
      <c r="A1120" s="5"/>
      <c r="B1120" s="5"/>
      <c r="C1120" s="22"/>
      <c r="D1120" s="5"/>
      <c r="E1120" s="5"/>
      <c r="F1120" s="5"/>
      <c r="G1120" s="19"/>
      <c r="H1120" s="5"/>
    </row>
    <row r="1121" spans="1:8" x14ac:dyDescent="0.35">
      <c r="A1121" s="5"/>
      <c r="B1121" s="5"/>
      <c r="C1121" s="22"/>
      <c r="D1121" s="5"/>
      <c r="E1121" s="5"/>
      <c r="F1121" s="5"/>
      <c r="G1121" s="19"/>
      <c r="H1121" s="5"/>
    </row>
    <row r="1122" spans="1:8" x14ac:dyDescent="0.35">
      <c r="A1122" s="5"/>
      <c r="B1122" s="5"/>
      <c r="C1122" s="22"/>
      <c r="D1122" s="5"/>
      <c r="E1122" s="5"/>
      <c r="F1122" s="5"/>
      <c r="G1122" s="19"/>
      <c r="H1122" s="5"/>
    </row>
    <row r="1123" spans="1:8" x14ac:dyDescent="0.35">
      <c r="A1123" s="5"/>
      <c r="B1123" s="5"/>
      <c r="C1123" s="22"/>
      <c r="D1123" s="5"/>
      <c r="E1123" s="5"/>
      <c r="F1123" s="5"/>
      <c r="G1123" s="19"/>
      <c r="H1123" s="5"/>
    </row>
    <row r="1124" spans="1:8" x14ac:dyDescent="0.35">
      <c r="A1124" s="5"/>
      <c r="B1124" s="5"/>
      <c r="C1124" s="22"/>
      <c r="D1124" s="5"/>
      <c r="E1124" s="5"/>
      <c r="F1124" s="5"/>
      <c r="G1124" s="19"/>
      <c r="H1124" s="5"/>
    </row>
    <row r="1125" spans="1:8" x14ac:dyDescent="0.35">
      <c r="A1125" s="5"/>
      <c r="B1125" s="5"/>
      <c r="C1125" s="22"/>
      <c r="D1125" s="5"/>
      <c r="E1125" s="5"/>
      <c r="F1125" s="5"/>
      <c r="G1125" s="19"/>
      <c r="H1125" s="5"/>
    </row>
    <row r="1126" spans="1:8" x14ac:dyDescent="0.35">
      <c r="A1126" s="5"/>
      <c r="B1126" s="5"/>
      <c r="C1126" s="22"/>
      <c r="D1126" s="5"/>
      <c r="E1126" s="5"/>
      <c r="F1126" s="5"/>
      <c r="G1126" s="19"/>
      <c r="H1126" s="5"/>
    </row>
    <row r="1127" spans="1:8" x14ac:dyDescent="0.35">
      <c r="A1127" s="5"/>
      <c r="B1127" s="5"/>
      <c r="C1127" s="22"/>
      <c r="D1127" s="5"/>
      <c r="E1127" s="5"/>
      <c r="F1127" s="5"/>
      <c r="G1127" s="19"/>
      <c r="H1127" s="5"/>
    </row>
    <row r="1128" spans="1:8" x14ac:dyDescent="0.35">
      <c r="A1128" s="5"/>
      <c r="B1128" s="5"/>
      <c r="C1128" s="22"/>
      <c r="D1128" s="5"/>
      <c r="E1128" s="23"/>
      <c r="F1128" s="5"/>
      <c r="G1128" s="19"/>
      <c r="H1128" s="5"/>
    </row>
    <row r="1129" spans="1:8" x14ac:dyDescent="0.35">
      <c r="A1129" s="5"/>
      <c r="B1129" s="5"/>
      <c r="C1129" s="22"/>
      <c r="D1129" s="5"/>
      <c r="E1129" s="5"/>
      <c r="F1129" s="5"/>
      <c r="G1129" s="19"/>
      <c r="H1129" s="5"/>
    </row>
    <row r="1130" spans="1:8" x14ac:dyDescent="0.35">
      <c r="A1130" s="5"/>
      <c r="B1130" s="5"/>
      <c r="C1130" s="22"/>
      <c r="D1130" s="5"/>
      <c r="E1130" s="5"/>
      <c r="F1130" s="5"/>
      <c r="G1130" s="19"/>
      <c r="H1130" s="5"/>
    </row>
    <row r="1131" spans="1:8" x14ac:dyDescent="0.35">
      <c r="A1131" s="5"/>
      <c r="B1131" s="5"/>
      <c r="C1131" s="22"/>
      <c r="D1131" s="5"/>
      <c r="E1131" s="5"/>
      <c r="F1131" s="5"/>
      <c r="G1131" s="19"/>
      <c r="H1131" s="5"/>
    </row>
    <row r="1132" spans="1:8" x14ac:dyDescent="0.35">
      <c r="A1132" s="5"/>
      <c r="B1132" s="5"/>
      <c r="C1132" s="22"/>
      <c r="D1132" s="5"/>
      <c r="E1132" s="5"/>
      <c r="F1132" s="5"/>
      <c r="G1132" s="19"/>
      <c r="H1132" s="5"/>
    </row>
    <row r="1133" spans="1:8" x14ac:dyDescent="0.35">
      <c r="A1133" s="5"/>
      <c r="B1133" s="5"/>
      <c r="C1133" s="22"/>
      <c r="D1133" s="5"/>
      <c r="E1133" s="5"/>
      <c r="F1133" s="5"/>
      <c r="G1133" s="19"/>
      <c r="H1133" s="5"/>
    </row>
    <row r="1134" spans="1:8" x14ac:dyDescent="0.35">
      <c r="A1134" s="5"/>
      <c r="B1134" s="5"/>
      <c r="C1134" s="22"/>
      <c r="D1134" s="5"/>
      <c r="E1134" s="5"/>
      <c r="F1134" s="5"/>
      <c r="G1134" s="19"/>
      <c r="H1134" s="5"/>
    </row>
    <row r="1135" spans="1:8" x14ac:dyDescent="0.35">
      <c r="A1135" s="5"/>
      <c r="B1135" s="5"/>
      <c r="C1135" s="22"/>
      <c r="D1135" s="5"/>
      <c r="E1135" s="5"/>
      <c r="F1135" s="5"/>
      <c r="G1135" s="19"/>
      <c r="H1135" s="5"/>
    </row>
    <row r="1136" spans="1:8" x14ac:dyDescent="0.35">
      <c r="A1136" s="5"/>
      <c r="B1136" s="5"/>
      <c r="C1136" s="22"/>
      <c r="D1136" s="5"/>
      <c r="E1136" s="5"/>
      <c r="F1136" s="5"/>
      <c r="G1136" s="19"/>
      <c r="H1136" s="5"/>
    </row>
    <row r="1137" spans="1:8" x14ac:dyDescent="0.35">
      <c r="A1137" s="5"/>
      <c r="B1137" s="5"/>
      <c r="C1137" s="22"/>
      <c r="D1137" s="5"/>
      <c r="E1137" s="5"/>
      <c r="F1137" s="5"/>
      <c r="G1137" s="19"/>
      <c r="H1137" s="5"/>
    </row>
    <row r="1138" spans="1:8" x14ac:dyDescent="0.35">
      <c r="A1138" s="5"/>
      <c r="B1138" s="5"/>
      <c r="C1138" s="22"/>
      <c r="D1138" s="5"/>
      <c r="E1138" s="5"/>
      <c r="F1138" s="5"/>
      <c r="G1138" s="19"/>
      <c r="H1138" s="5"/>
    </row>
    <row r="1139" spans="1:8" x14ac:dyDescent="0.35">
      <c r="A1139" s="5"/>
      <c r="B1139" s="5"/>
      <c r="C1139" s="22"/>
      <c r="D1139" s="5"/>
      <c r="E1139" s="5"/>
      <c r="F1139" s="5"/>
      <c r="G1139" s="19"/>
      <c r="H1139" s="5"/>
    </row>
    <row r="1140" spans="1:8" x14ac:dyDescent="0.35">
      <c r="A1140" s="5"/>
      <c r="B1140" s="5"/>
      <c r="C1140" s="22"/>
      <c r="D1140" s="5"/>
      <c r="E1140" s="5"/>
      <c r="F1140" s="5"/>
      <c r="G1140" s="19"/>
      <c r="H1140" s="5"/>
    </row>
    <row r="1141" spans="1:8" x14ac:dyDescent="0.35">
      <c r="A1141" s="5"/>
      <c r="B1141" s="5"/>
      <c r="C1141" s="22"/>
      <c r="D1141" s="5"/>
      <c r="E1141" s="5"/>
      <c r="F1141" s="5"/>
      <c r="G1141" s="19"/>
      <c r="H1141" s="5"/>
    </row>
    <row r="1142" spans="1:8" x14ac:dyDescent="0.35">
      <c r="A1142" s="5"/>
      <c r="B1142" s="5"/>
      <c r="C1142" s="22"/>
      <c r="D1142" s="5"/>
      <c r="E1142" s="5"/>
      <c r="F1142" s="5"/>
      <c r="G1142" s="19"/>
      <c r="H1142" s="5"/>
    </row>
    <row r="1143" spans="1:8" x14ac:dyDescent="0.35">
      <c r="A1143" s="5"/>
      <c r="B1143" s="5"/>
      <c r="C1143" s="22"/>
      <c r="D1143" s="5"/>
      <c r="E1143" s="5"/>
      <c r="F1143" s="5"/>
      <c r="G1143" s="19"/>
      <c r="H1143" s="5"/>
    </row>
    <row r="1144" spans="1:8" x14ac:dyDescent="0.35">
      <c r="A1144" s="5"/>
      <c r="B1144" s="5"/>
      <c r="C1144" s="22"/>
      <c r="D1144" s="5"/>
      <c r="E1144" s="5"/>
      <c r="F1144" s="5"/>
      <c r="G1144" s="19"/>
      <c r="H1144" s="5"/>
    </row>
    <row r="1145" spans="1:8" x14ac:dyDescent="0.35">
      <c r="A1145" s="5"/>
      <c r="B1145" s="5"/>
      <c r="C1145" s="22"/>
      <c r="D1145" s="5"/>
      <c r="E1145" s="5"/>
      <c r="F1145" s="5"/>
      <c r="G1145" s="19"/>
      <c r="H1145" s="5"/>
    </row>
    <row r="1146" spans="1:8" x14ac:dyDescent="0.35">
      <c r="A1146" s="5"/>
      <c r="B1146" s="5"/>
      <c r="C1146" s="22"/>
      <c r="D1146" s="5"/>
      <c r="E1146" s="5"/>
      <c r="F1146" s="5"/>
      <c r="G1146" s="19"/>
      <c r="H1146" s="5"/>
    </row>
    <row r="1147" spans="1:8" x14ac:dyDescent="0.35">
      <c r="A1147" s="5"/>
      <c r="B1147" s="5"/>
      <c r="C1147" s="22"/>
      <c r="D1147" s="5"/>
      <c r="E1147" s="5"/>
      <c r="F1147" s="5"/>
      <c r="G1147" s="19"/>
      <c r="H1147" s="5"/>
    </row>
    <row r="1148" spans="1:8" x14ac:dyDescent="0.35">
      <c r="A1148" s="5"/>
      <c r="B1148" s="5"/>
      <c r="C1148" s="22"/>
      <c r="D1148" s="5"/>
      <c r="E1148" s="5"/>
      <c r="F1148" s="5"/>
      <c r="G1148" s="19"/>
      <c r="H1148" s="5"/>
    </row>
    <row r="1149" spans="1:8" x14ac:dyDescent="0.35">
      <c r="A1149" s="5"/>
      <c r="B1149" s="5"/>
      <c r="C1149" s="22"/>
      <c r="D1149" s="5"/>
      <c r="E1149" s="5"/>
      <c r="F1149" s="5"/>
      <c r="G1149" s="19"/>
      <c r="H1149" s="5"/>
    </row>
    <row r="1150" spans="1:8" x14ac:dyDescent="0.35">
      <c r="A1150" s="5"/>
      <c r="B1150" s="5"/>
      <c r="C1150" s="22"/>
      <c r="D1150" s="5"/>
      <c r="E1150" s="5"/>
      <c r="F1150" s="5"/>
      <c r="G1150" s="19"/>
      <c r="H1150" s="5"/>
    </row>
    <row r="1151" spans="1:8" x14ac:dyDescent="0.35">
      <c r="A1151" s="5"/>
      <c r="B1151" s="5"/>
      <c r="C1151" s="22"/>
      <c r="D1151" s="5"/>
      <c r="E1151" s="5"/>
      <c r="F1151" s="5"/>
      <c r="G1151" s="19"/>
      <c r="H1151" s="5"/>
    </row>
    <row r="1152" spans="1:8" x14ac:dyDescent="0.35">
      <c r="A1152" s="5"/>
      <c r="B1152" s="5"/>
      <c r="C1152" s="22"/>
      <c r="D1152" s="5"/>
      <c r="E1152" s="5"/>
      <c r="F1152" s="5"/>
      <c r="G1152" s="19"/>
      <c r="H1152" s="5"/>
    </row>
    <row r="1153" spans="1:8" x14ac:dyDescent="0.35">
      <c r="A1153" s="5"/>
      <c r="B1153" s="5"/>
      <c r="C1153" s="22"/>
      <c r="D1153" s="5"/>
      <c r="E1153" s="5"/>
      <c r="F1153" s="5"/>
      <c r="G1153" s="19"/>
      <c r="H1153" s="5"/>
    </row>
    <row r="1154" spans="1:8" x14ac:dyDescent="0.35">
      <c r="A1154" s="5"/>
      <c r="B1154" s="5"/>
      <c r="C1154" s="22"/>
      <c r="D1154" s="5"/>
      <c r="E1154" s="5"/>
      <c r="F1154" s="5"/>
      <c r="G1154" s="19"/>
      <c r="H1154" s="5"/>
    </row>
    <row r="1155" spans="1:8" x14ac:dyDescent="0.35">
      <c r="A1155" s="5"/>
      <c r="B1155" s="5"/>
      <c r="C1155" s="22"/>
      <c r="D1155" s="5"/>
      <c r="E1155" s="5"/>
      <c r="F1155" s="5"/>
      <c r="G1155" s="19"/>
      <c r="H1155" s="5"/>
    </row>
    <row r="1156" spans="1:8" x14ac:dyDescent="0.35">
      <c r="A1156" s="5"/>
      <c r="B1156" s="5"/>
      <c r="C1156" s="22"/>
      <c r="D1156" s="5"/>
      <c r="E1156" s="5"/>
      <c r="F1156" s="5"/>
      <c r="G1156" s="19"/>
      <c r="H1156" s="5"/>
    </row>
    <row r="1157" spans="1:8" x14ac:dyDescent="0.35">
      <c r="A1157" s="5"/>
      <c r="B1157" s="5"/>
      <c r="C1157" s="22"/>
      <c r="D1157" s="5"/>
      <c r="E1157" s="5"/>
      <c r="F1157" s="5"/>
      <c r="G1157" s="19"/>
      <c r="H1157" s="5"/>
    </row>
    <row r="1158" spans="1:8" x14ac:dyDescent="0.35">
      <c r="A1158" s="5"/>
      <c r="B1158" s="5"/>
      <c r="C1158" s="22"/>
      <c r="D1158" s="5"/>
      <c r="E1158" s="5"/>
      <c r="F1158" s="5"/>
      <c r="G1158" s="19"/>
      <c r="H1158" s="5"/>
    </row>
    <row r="1159" spans="1:8" x14ac:dyDescent="0.35">
      <c r="A1159" s="5"/>
      <c r="B1159" s="5"/>
      <c r="C1159" s="22"/>
      <c r="D1159" s="5"/>
      <c r="E1159" s="5"/>
      <c r="F1159" s="5"/>
      <c r="G1159" s="19"/>
      <c r="H1159" s="5"/>
    </row>
    <row r="1160" spans="1:8" x14ac:dyDescent="0.35">
      <c r="A1160" s="5"/>
      <c r="B1160" s="5"/>
      <c r="C1160" s="22"/>
      <c r="D1160" s="5"/>
      <c r="E1160" s="5"/>
      <c r="F1160" s="5"/>
      <c r="G1160" s="19"/>
      <c r="H1160" s="5"/>
    </row>
    <row r="1161" spans="1:8" x14ac:dyDescent="0.35">
      <c r="A1161" s="5"/>
      <c r="B1161" s="5"/>
      <c r="C1161" s="22"/>
      <c r="D1161" s="5"/>
      <c r="E1161" s="5"/>
      <c r="F1161" s="5"/>
      <c r="G1161" s="19"/>
      <c r="H1161" s="5"/>
    </row>
    <row r="1162" spans="1:8" x14ac:dyDescent="0.35">
      <c r="A1162" s="5"/>
      <c r="B1162" s="5"/>
      <c r="C1162" s="22"/>
      <c r="D1162" s="5"/>
      <c r="E1162" s="5"/>
      <c r="F1162" s="5"/>
      <c r="G1162" s="19"/>
      <c r="H1162" s="5"/>
    </row>
    <row r="1163" spans="1:8" x14ac:dyDescent="0.35">
      <c r="A1163" s="5"/>
      <c r="B1163" s="5"/>
      <c r="C1163" s="22"/>
      <c r="D1163" s="5"/>
      <c r="E1163" s="5"/>
      <c r="F1163" s="5"/>
      <c r="G1163" s="19"/>
      <c r="H1163" s="5"/>
    </row>
    <row r="1164" spans="1:8" x14ac:dyDescent="0.35">
      <c r="A1164" s="5"/>
      <c r="B1164" s="5"/>
      <c r="C1164" s="22"/>
      <c r="D1164" s="5"/>
      <c r="E1164" s="5"/>
      <c r="F1164" s="5"/>
      <c r="G1164" s="19"/>
      <c r="H1164" s="5"/>
    </row>
    <row r="1165" spans="1:8" x14ac:dyDescent="0.35">
      <c r="A1165" s="5"/>
      <c r="B1165" s="5"/>
      <c r="C1165" s="22"/>
      <c r="D1165" s="5"/>
      <c r="E1165" s="5"/>
      <c r="F1165" s="5"/>
      <c r="G1165" s="19"/>
      <c r="H1165" s="5"/>
    </row>
    <row r="1166" spans="1:8" x14ac:dyDescent="0.35">
      <c r="A1166" s="5"/>
      <c r="B1166" s="5"/>
      <c r="C1166" s="22"/>
      <c r="D1166" s="5"/>
      <c r="E1166" s="5"/>
      <c r="F1166" s="5"/>
      <c r="G1166" s="19"/>
      <c r="H1166" s="5"/>
    </row>
    <row r="1167" spans="1:8" x14ac:dyDescent="0.35">
      <c r="A1167" s="5"/>
      <c r="B1167" s="5"/>
      <c r="C1167" s="22"/>
      <c r="D1167" s="5"/>
      <c r="E1167" s="5"/>
      <c r="F1167" s="5"/>
      <c r="G1167" s="19"/>
      <c r="H1167" s="5"/>
    </row>
    <row r="1168" spans="1:8" x14ac:dyDescent="0.35">
      <c r="A1168" s="5"/>
      <c r="B1168" s="5"/>
      <c r="C1168" s="22"/>
      <c r="D1168" s="5"/>
      <c r="E1168" s="5"/>
      <c r="F1168" s="5"/>
      <c r="G1168" s="19"/>
      <c r="H1168" s="5"/>
    </row>
    <row r="1169" spans="1:8" x14ac:dyDescent="0.35">
      <c r="A1169" s="5"/>
      <c r="B1169" s="5"/>
      <c r="C1169" s="22"/>
      <c r="D1169" s="5"/>
      <c r="E1169" s="5"/>
      <c r="F1169" s="5"/>
      <c r="G1169" s="19"/>
      <c r="H1169" s="5"/>
    </row>
    <row r="1170" spans="1:8" x14ac:dyDescent="0.35">
      <c r="A1170" s="5"/>
      <c r="B1170" s="5"/>
      <c r="C1170" s="22"/>
      <c r="D1170" s="5"/>
      <c r="E1170" s="5"/>
      <c r="F1170" s="5"/>
      <c r="G1170" s="19"/>
      <c r="H1170" s="5"/>
    </row>
    <row r="1171" spans="1:8" x14ac:dyDescent="0.35">
      <c r="A1171" s="5"/>
      <c r="B1171" s="5"/>
      <c r="C1171" s="22"/>
      <c r="D1171" s="5"/>
      <c r="E1171" s="5"/>
      <c r="F1171" s="5"/>
      <c r="G1171" s="19"/>
      <c r="H1171" s="5"/>
    </row>
    <row r="1172" spans="1:8" x14ac:dyDescent="0.35">
      <c r="A1172" s="5"/>
      <c r="B1172" s="5"/>
      <c r="C1172" s="22"/>
      <c r="D1172" s="5"/>
      <c r="E1172" s="5"/>
      <c r="F1172" s="5"/>
      <c r="G1172" s="19"/>
      <c r="H1172" s="5"/>
    </row>
    <row r="1173" spans="1:8" x14ac:dyDescent="0.35">
      <c r="A1173" s="5"/>
      <c r="B1173" s="5"/>
      <c r="C1173" s="22"/>
      <c r="D1173" s="5"/>
      <c r="E1173" s="5"/>
      <c r="F1173" s="5"/>
      <c r="G1173" s="19"/>
      <c r="H1173" s="5"/>
    </row>
    <row r="1174" spans="1:8" x14ac:dyDescent="0.35">
      <c r="A1174" s="5"/>
      <c r="B1174" s="5"/>
      <c r="C1174" s="22"/>
      <c r="D1174" s="5"/>
      <c r="E1174" s="5"/>
      <c r="F1174" s="5"/>
      <c r="G1174" s="19"/>
      <c r="H1174" s="5"/>
    </row>
    <row r="1175" spans="1:8" x14ac:dyDescent="0.35">
      <c r="A1175" s="5"/>
      <c r="B1175" s="5"/>
      <c r="C1175" s="22"/>
      <c r="D1175" s="5"/>
      <c r="E1175" s="5"/>
      <c r="F1175" s="5"/>
      <c r="G1175" s="19"/>
      <c r="H1175" s="5"/>
    </row>
    <row r="1176" spans="1:8" x14ac:dyDescent="0.35">
      <c r="A1176" s="5"/>
      <c r="B1176" s="5"/>
      <c r="C1176" s="22"/>
      <c r="D1176" s="5"/>
      <c r="E1176" s="5"/>
      <c r="F1176" s="5"/>
      <c r="G1176" s="19"/>
      <c r="H1176" s="5"/>
    </row>
    <row r="1177" spans="1:8" x14ac:dyDescent="0.35">
      <c r="A1177" s="5"/>
      <c r="B1177" s="5"/>
      <c r="C1177" s="22"/>
      <c r="D1177" s="5"/>
      <c r="E1177" s="5"/>
      <c r="F1177" s="5"/>
      <c r="G1177" s="19"/>
      <c r="H1177" s="5"/>
    </row>
    <row r="1178" spans="1:8" x14ac:dyDescent="0.35">
      <c r="A1178" s="5"/>
      <c r="B1178" s="5"/>
      <c r="C1178" s="22"/>
      <c r="D1178" s="5"/>
      <c r="E1178" s="5"/>
      <c r="F1178" s="5"/>
      <c r="G1178" s="19"/>
      <c r="H1178" s="5"/>
    </row>
    <row r="1179" spans="1:8" x14ac:dyDescent="0.35">
      <c r="A1179" s="5"/>
      <c r="B1179" s="5"/>
      <c r="C1179" s="22"/>
      <c r="D1179" s="5"/>
      <c r="E1179" s="5"/>
      <c r="F1179" s="5"/>
      <c r="G1179" s="19"/>
      <c r="H1179" s="5"/>
    </row>
    <row r="1180" spans="1:8" x14ac:dyDescent="0.35">
      <c r="A1180" s="5"/>
      <c r="B1180" s="5"/>
      <c r="C1180" s="22"/>
      <c r="D1180" s="5"/>
      <c r="E1180" s="5"/>
      <c r="F1180" s="5"/>
      <c r="G1180" s="19"/>
      <c r="H1180" s="5"/>
    </row>
    <row r="1181" spans="1:8" x14ac:dyDescent="0.35">
      <c r="A1181" s="5"/>
      <c r="B1181" s="5"/>
      <c r="C1181" s="22"/>
      <c r="D1181" s="5"/>
      <c r="E1181" s="5"/>
      <c r="F1181" s="5"/>
      <c r="G1181" s="19"/>
      <c r="H1181" s="5"/>
    </row>
    <row r="1182" spans="1:8" x14ac:dyDescent="0.35">
      <c r="A1182" s="5"/>
      <c r="B1182" s="5"/>
      <c r="C1182" s="22"/>
      <c r="D1182" s="5"/>
      <c r="E1182" s="5"/>
      <c r="F1182" s="5"/>
      <c r="G1182" s="19"/>
      <c r="H1182" s="5"/>
    </row>
    <row r="1183" spans="1:8" x14ac:dyDescent="0.35">
      <c r="A1183" s="5"/>
      <c r="B1183" s="5"/>
      <c r="C1183" s="22"/>
      <c r="D1183" s="5"/>
      <c r="E1183" s="5"/>
      <c r="F1183" s="5"/>
      <c r="G1183" s="19"/>
      <c r="H1183" s="5"/>
    </row>
    <row r="1184" spans="1:8" x14ac:dyDescent="0.35">
      <c r="A1184" s="5"/>
      <c r="B1184" s="5"/>
      <c r="C1184" s="22"/>
      <c r="D1184" s="5"/>
      <c r="E1184" s="5"/>
      <c r="F1184" s="5"/>
      <c r="G1184" s="19"/>
      <c r="H1184" s="5"/>
    </row>
    <row r="1185" spans="1:8" x14ac:dyDescent="0.35">
      <c r="A1185" s="5"/>
      <c r="B1185" s="5"/>
      <c r="C1185" s="22"/>
      <c r="D1185" s="5"/>
      <c r="E1185" s="5"/>
      <c r="F1185" s="5"/>
      <c r="G1185" s="19"/>
      <c r="H1185" s="5"/>
    </row>
    <row r="1186" spans="1:8" x14ac:dyDescent="0.35">
      <c r="A1186" s="5"/>
      <c r="B1186" s="5"/>
      <c r="C1186" s="22"/>
      <c r="D1186" s="5"/>
      <c r="E1186" s="5"/>
      <c r="F1186" s="5"/>
      <c r="G1186" s="19"/>
      <c r="H1186" s="5"/>
    </row>
    <row r="1187" spans="1:8" x14ac:dyDescent="0.35">
      <c r="A1187" s="5"/>
      <c r="B1187" s="5"/>
      <c r="C1187" s="22"/>
      <c r="D1187" s="5"/>
      <c r="E1187" s="5"/>
      <c r="F1187" s="5"/>
      <c r="G1187" s="19"/>
      <c r="H1187" s="5"/>
    </row>
    <row r="1188" spans="1:8" x14ac:dyDescent="0.35">
      <c r="A1188" s="5"/>
      <c r="B1188" s="5"/>
      <c r="C1188" s="22"/>
      <c r="D1188" s="5"/>
      <c r="E1188" s="5"/>
      <c r="F1188" s="5"/>
      <c r="G1188" s="19"/>
      <c r="H1188" s="5"/>
    </row>
    <row r="1189" spans="1:8" x14ac:dyDescent="0.35">
      <c r="A1189" s="5"/>
      <c r="B1189" s="5"/>
      <c r="C1189" s="22"/>
      <c r="D1189" s="5"/>
      <c r="E1189" s="5"/>
      <c r="F1189" s="5"/>
      <c r="G1189" s="19"/>
      <c r="H1189" s="5"/>
    </row>
    <row r="1190" spans="1:8" x14ac:dyDescent="0.35">
      <c r="A1190" s="5"/>
      <c r="B1190" s="5"/>
      <c r="C1190" s="22"/>
      <c r="D1190" s="5"/>
      <c r="E1190" s="5"/>
      <c r="F1190" s="5"/>
      <c r="G1190" s="19"/>
      <c r="H1190" s="5"/>
    </row>
    <row r="1191" spans="1:8" x14ac:dyDescent="0.35">
      <c r="A1191" s="5"/>
      <c r="B1191" s="5"/>
      <c r="C1191" s="22"/>
      <c r="D1191" s="5"/>
      <c r="E1191" s="5"/>
      <c r="F1191" s="5"/>
      <c r="G1191" s="19"/>
      <c r="H1191" s="5"/>
    </row>
    <row r="1192" spans="1:8" x14ac:dyDescent="0.35">
      <c r="A1192" s="5"/>
      <c r="B1192" s="5"/>
      <c r="C1192" s="22"/>
      <c r="D1192" s="5"/>
      <c r="E1192" s="5"/>
      <c r="F1192" s="5"/>
      <c r="G1192" s="19"/>
      <c r="H1192" s="5"/>
    </row>
    <row r="1193" spans="1:8" x14ac:dyDescent="0.35">
      <c r="A1193" s="5"/>
      <c r="B1193" s="5"/>
      <c r="C1193" s="22"/>
      <c r="D1193" s="5"/>
      <c r="E1193" s="5"/>
      <c r="F1193" s="5"/>
      <c r="G1193" s="19"/>
      <c r="H1193" s="5"/>
    </row>
    <row r="1194" spans="1:8" x14ac:dyDescent="0.35">
      <c r="A1194" s="5"/>
      <c r="B1194" s="5"/>
      <c r="C1194" s="22"/>
      <c r="D1194" s="5"/>
      <c r="E1194" s="5"/>
      <c r="F1194" s="5"/>
      <c r="G1194" s="19"/>
      <c r="H1194" s="5"/>
    </row>
    <row r="1195" spans="1:8" x14ac:dyDescent="0.35">
      <c r="A1195" s="5"/>
      <c r="B1195" s="5"/>
      <c r="C1195" s="22"/>
      <c r="D1195" s="5"/>
      <c r="E1195" s="5"/>
      <c r="F1195" s="5"/>
      <c r="G1195" s="19"/>
      <c r="H1195" s="5"/>
    </row>
    <row r="1196" spans="1:8" x14ac:dyDescent="0.35">
      <c r="A1196" s="5"/>
      <c r="B1196" s="5"/>
      <c r="C1196" s="22"/>
      <c r="D1196" s="5"/>
      <c r="E1196" s="5"/>
      <c r="F1196" s="5"/>
      <c r="G1196" s="19"/>
      <c r="H1196" s="5"/>
    </row>
    <row r="1197" spans="1:8" x14ac:dyDescent="0.35">
      <c r="A1197" s="5"/>
      <c r="B1197" s="5"/>
      <c r="C1197" s="22"/>
      <c r="D1197" s="5"/>
      <c r="E1197" s="5"/>
      <c r="F1197" s="5"/>
      <c r="G1197" s="19"/>
      <c r="H1197" s="5"/>
    </row>
    <row r="1198" spans="1:8" x14ac:dyDescent="0.35">
      <c r="A1198" s="5"/>
      <c r="B1198" s="5"/>
      <c r="C1198" s="22"/>
      <c r="D1198" s="5"/>
      <c r="E1198" s="5"/>
      <c r="F1198" s="5"/>
      <c r="G1198" s="19"/>
      <c r="H1198" s="5"/>
    </row>
    <row r="1199" spans="1:8" x14ac:dyDescent="0.35">
      <c r="A1199" s="5"/>
      <c r="B1199" s="5"/>
      <c r="C1199" s="22"/>
      <c r="D1199" s="5"/>
      <c r="E1199" s="5"/>
      <c r="F1199" s="5"/>
      <c r="G1199" s="19"/>
      <c r="H1199" s="5"/>
    </row>
    <row r="1200" spans="1:8" x14ac:dyDescent="0.35">
      <c r="A1200" s="5"/>
      <c r="B1200" s="5"/>
      <c r="C1200" s="22"/>
      <c r="D1200" s="5"/>
      <c r="E1200" s="5"/>
      <c r="F1200" s="5"/>
      <c r="G1200" s="19"/>
      <c r="H1200" s="5"/>
    </row>
    <row r="1201" spans="1:8" x14ac:dyDescent="0.35">
      <c r="A1201" s="5"/>
      <c r="B1201" s="5"/>
      <c r="C1201" s="22"/>
      <c r="D1201" s="5"/>
      <c r="E1201" s="5"/>
      <c r="F1201" s="5"/>
      <c r="G1201" s="19"/>
      <c r="H1201" s="5"/>
    </row>
    <row r="1202" spans="1:8" x14ac:dyDescent="0.35">
      <c r="A1202" s="5"/>
      <c r="B1202" s="5"/>
      <c r="C1202" s="22"/>
      <c r="D1202" s="5"/>
      <c r="E1202" s="5"/>
      <c r="F1202" s="5"/>
      <c r="G1202" s="19"/>
      <c r="H1202" s="5"/>
    </row>
    <row r="1203" spans="1:8" x14ac:dyDescent="0.35">
      <c r="A1203" s="5"/>
      <c r="B1203" s="5"/>
      <c r="C1203" s="22"/>
      <c r="D1203" s="5"/>
      <c r="E1203" s="5"/>
      <c r="F1203" s="5"/>
      <c r="G1203" s="19"/>
      <c r="H1203" s="5"/>
    </row>
    <row r="1204" spans="1:8" x14ac:dyDescent="0.35">
      <c r="A1204" s="5"/>
      <c r="B1204" s="5"/>
      <c r="C1204" s="22"/>
      <c r="D1204" s="5"/>
      <c r="E1204" s="5"/>
      <c r="F1204" s="5"/>
      <c r="G1204" s="19"/>
      <c r="H1204" s="5"/>
    </row>
    <row r="1205" spans="1:8" x14ac:dyDescent="0.35">
      <c r="A1205" s="5"/>
      <c r="B1205" s="5"/>
      <c r="C1205" s="22"/>
      <c r="D1205" s="5"/>
      <c r="E1205" s="5"/>
      <c r="F1205" s="5"/>
      <c r="G1205" s="19"/>
      <c r="H1205" s="5"/>
    </row>
    <row r="1206" spans="1:8" x14ac:dyDescent="0.35">
      <c r="A1206" s="5"/>
      <c r="B1206" s="5"/>
      <c r="C1206" s="22"/>
      <c r="D1206" s="5"/>
      <c r="E1206" s="5"/>
      <c r="F1206" s="5"/>
      <c r="G1206" s="19"/>
      <c r="H1206" s="5"/>
    </row>
    <row r="1207" spans="1:8" x14ac:dyDescent="0.35">
      <c r="A1207" s="5"/>
      <c r="B1207" s="5"/>
      <c r="C1207" s="22"/>
      <c r="D1207" s="5"/>
      <c r="E1207" s="5"/>
      <c r="F1207" s="5"/>
      <c r="G1207" s="19"/>
      <c r="H1207" s="5"/>
    </row>
    <row r="1208" spans="1:8" x14ac:dyDescent="0.35">
      <c r="A1208" s="5"/>
      <c r="B1208" s="5"/>
      <c r="C1208" s="22"/>
      <c r="D1208" s="5"/>
      <c r="E1208" s="5"/>
      <c r="F1208" s="5"/>
      <c r="G1208" s="19"/>
      <c r="H1208" s="5"/>
    </row>
    <row r="1209" spans="1:8" x14ac:dyDescent="0.35">
      <c r="A1209" s="5"/>
      <c r="B1209" s="5"/>
      <c r="C1209" s="22"/>
      <c r="D1209" s="5"/>
      <c r="E1209" s="5"/>
      <c r="F1209" s="5"/>
      <c r="G1209" s="19"/>
      <c r="H1209" s="5"/>
    </row>
    <row r="1210" spans="1:8" x14ac:dyDescent="0.35">
      <c r="A1210" s="5"/>
      <c r="B1210" s="5"/>
      <c r="C1210" s="22"/>
      <c r="D1210" s="5"/>
      <c r="E1210" s="5"/>
      <c r="F1210" s="5"/>
      <c r="G1210" s="19"/>
      <c r="H1210" s="5"/>
    </row>
    <row r="1211" spans="1:8" x14ac:dyDescent="0.35">
      <c r="A1211" s="5"/>
      <c r="B1211" s="5"/>
      <c r="C1211" s="22"/>
      <c r="D1211" s="5"/>
      <c r="E1211" s="5"/>
      <c r="F1211" s="5"/>
      <c r="G1211" s="19"/>
      <c r="H1211" s="5"/>
    </row>
    <row r="1212" spans="1:8" x14ac:dyDescent="0.35">
      <c r="A1212" s="5"/>
      <c r="B1212" s="5"/>
      <c r="C1212" s="22"/>
      <c r="D1212" s="5"/>
      <c r="E1212" s="5"/>
      <c r="F1212" s="5"/>
      <c r="G1212" s="19"/>
      <c r="H1212" s="5"/>
    </row>
    <row r="1213" spans="1:8" x14ac:dyDescent="0.35">
      <c r="A1213" s="5"/>
      <c r="B1213" s="5"/>
      <c r="C1213" s="22"/>
      <c r="D1213" s="5"/>
      <c r="E1213" s="5"/>
      <c r="F1213" s="5"/>
      <c r="G1213" s="19"/>
      <c r="H1213" s="5"/>
    </row>
    <row r="1214" spans="1:8" x14ac:dyDescent="0.35">
      <c r="A1214" s="5"/>
      <c r="B1214" s="5"/>
      <c r="C1214" s="22"/>
      <c r="D1214" s="5"/>
      <c r="E1214" s="5"/>
      <c r="F1214" s="5"/>
      <c r="G1214" s="19"/>
      <c r="H1214" s="5"/>
    </row>
    <row r="1215" spans="1:8" x14ac:dyDescent="0.35">
      <c r="A1215" s="5"/>
      <c r="B1215" s="5"/>
      <c r="C1215" s="22"/>
      <c r="D1215" s="5"/>
      <c r="E1215" s="5"/>
      <c r="F1215" s="5"/>
      <c r="G1215" s="19"/>
      <c r="H1215" s="5"/>
    </row>
    <row r="1216" spans="1:8" x14ac:dyDescent="0.35">
      <c r="A1216" s="5"/>
      <c r="B1216" s="5"/>
      <c r="C1216" s="22"/>
      <c r="D1216" s="5"/>
      <c r="E1216" s="5"/>
      <c r="F1216" s="5"/>
      <c r="G1216" s="19"/>
      <c r="H1216" s="5"/>
    </row>
    <row r="1217" spans="1:8" x14ac:dyDescent="0.35">
      <c r="A1217" s="5"/>
      <c r="B1217" s="5"/>
      <c r="C1217" s="22"/>
      <c r="D1217" s="5"/>
      <c r="E1217" s="5"/>
      <c r="F1217" s="5"/>
      <c r="G1217" s="19"/>
      <c r="H1217" s="5"/>
    </row>
    <row r="1218" spans="1:8" x14ac:dyDescent="0.35">
      <c r="A1218" s="5"/>
      <c r="B1218" s="5"/>
      <c r="C1218" s="22"/>
      <c r="D1218" s="5"/>
      <c r="E1218" s="5"/>
      <c r="F1218" s="5"/>
      <c r="G1218" s="19"/>
      <c r="H1218" s="5"/>
    </row>
    <row r="1219" spans="1:8" x14ac:dyDescent="0.35">
      <c r="A1219" s="5"/>
      <c r="B1219" s="5"/>
      <c r="C1219" s="22"/>
      <c r="D1219" s="5"/>
      <c r="E1219" s="5"/>
      <c r="F1219" s="5"/>
      <c r="G1219" s="19"/>
      <c r="H1219" s="5"/>
    </row>
    <row r="1220" spans="1:8" x14ac:dyDescent="0.35">
      <c r="A1220" s="5"/>
      <c r="B1220" s="5"/>
      <c r="C1220" s="22"/>
      <c r="D1220" s="5"/>
      <c r="E1220" s="5"/>
      <c r="F1220" s="5"/>
      <c r="G1220" s="19"/>
      <c r="H1220" s="5"/>
    </row>
    <row r="1221" spans="1:8" x14ac:dyDescent="0.35">
      <c r="A1221" s="5"/>
      <c r="B1221" s="5"/>
      <c r="C1221" s="22"/>
      <c r="D1221" s="5"/>
      <c r="E1221" s="5"/>
      <c r="F1221" s="5"/>
      <c r="G1221" s="19"/>
      <c r="H1221" s="5"/>
    </row>
    <row r="1222" spans="1:8" x14ac:dyDescent="0.35">
      <c r="A1222" s="5"/>
      <c r="B1222" s="5"/>
      <c r="C1222" s="22"/>
      <c r="D1222" s="5"/>
      <c r="E1222" s="5"/>
      <c r="F1222" s="5"/>
      <c r="G1222" s="19"/>
      <c r="H1222" s="5"/>
    </row>
    <row r="1223" spans="1:8" x14ac:dyDescent="0.35">
      <c r="A1223" s="5"/>
      <c r="B1223" s="5"/>
      <c r="C1223" s="22"/>
      <c r="D1223" s="5"/>
      <c r="E1223" s="5"/>
      <c r="F1223" s="5"/>
      <c r="G1223" s="19"/>
      <c r="H1223" s="5"/>
    </row>
    <row r="1224" spans="1:8" x14ac:dyDescent="0.35">
      <c r="A1224" s="5"/>
      <c r="B1224" s="5"/>
      <c r="C1224" s="22"/>
      <c r="D1224" s="5"/>
      <c r="E1224" s="5"/>
      <c r="F1224" s="5"/>
      <c r="G1224" s="19"/>
      <c r="H1224" s="5"/>
    </row>
    <row r="1225" spans="1:8" x14ac:dyDescent="0.35">
      <c r="A1225" s="5"/>
      <c r="B1225" s="5"/>
      <c r="C1225" s="22"/>
      <c r="D1225" s="5"/>
      <c r="E1225" s="5"/>
      <c r="F1225" s="5"/>
      <c r="G1225" s="19"/>
      <c r="H1225" s="5"/>
    </row>
    <row r="1226" spans="1:8" x14ac:dyDescent="0.35">
      <c r="A1226" s="5"/>
      <c r="B1226" s="5"/>
      <c r="C1226" s="22"/>
      <c r="D1226" s="5"/>
      <c r="E1226" s="5"/>
      <c r="F1226" s="5"/>
      <c r="G1226" s="19"/>
      <c r="H1226" s="5"/>
    </row>
    <row r="1227" spans="1:8" x14ac:dyDescent="0.35">
      <c r="A1227" s="5"/>
      <c r="B1227" s="5"/>
      <c r="C1227" s="22"/>
      <c r="D1227" s="5"/>
      <c r="E1227" s="5"/>
      <c r="F1227" s="5"/>
      <c r="G1227" s="19"/>
      <c r="H1227" s="5"/>
    </row>
    <row r="1228" spans="1:8" x14ac:dyDescent="0.35">
      <c r="A1228" s="5"/>
      <c r="B1228" s="5"/>
      <c r="C1228" s="22"/>
      <c r="D1228" s="5"/>
      <c r="E1228" s="5"/>
      <c r="F1228" s="5"/>
      <c r="G1228" s="19"/>
      <c r="H1228" s="5"/>
    </row>
    <row r="1229" spans="1:8" x14ac:dyDescent="0.35">
      <c r="A1229" s="5"/>
      <c r="B1229" s="5"/>
      <c r="C1229" s="22"/>
      <c r="D1229" s="5"/>
      <c r="E1229" s="5"/>
      <c r="F1229" s="5"/>
      <c r="G1229" s="19"/>
      <c r="H1229" s="5"/>
    </row>
    <row r="1230" spans="1:8" x14ac:dyDescent="0.35">
      <c r="A1230" s="5"/>
      <c r="B1230" s="5"/>
      <c r="C1230" s="22"/>
      <c r="D1230" s="5"/>
      <c r="E1230" s="5"/>
      <c r="F1230" s="5"/>
      <c r="G1230" s="19"/>
      <c r="H1230" s="5"/>
    </row>
    <row r="1231" spans="1:8" x14ac:dyDescent="0.35">
      <c r="A1231" s="5"/>
      <c r="B1231" s="5"/>
      <c r="C1231" s="22"/>
      <c r="D1231" s="5"/>
      <c r="E1231" s="5"/>
      <c r="F1231" s="5"/>
      <c r="G1231" s="19"/>
      <c r="H1231" s="5"/>
    </row>
    <row r="1232" spans="1:8" x14ac:dyDescent="0.35">
      <c r="A1232" s="5"/>
      <c r="B1232" s="5"/>
      <c r="C1232" s="22"/>
      <c r="D1232" s="5"/>
      <c r="E1232" s="5"/>
      <c r="F1232" s="5"/>
      <c r="G1232" s="19"/>
      <c r="H1232" s="5"/>
    </row>
    <row r="1233" spans="1:8" x14ac:dyDescent="0.35">
      <c r="A1233" s="5"/>
      <c r="B1233" s="5"/>
      <c r="C1233" s="22"/>
      <c r="D1233" s="5"/>
      <c r="E1233" s="5"/>
      <c r="F1233" s="5"/>
      <c r="G1233" s="19"/>
      <c r="H1233" s="5"/>
    </row>
    <row r="1234" spans="1:8" x14ac:dyDescent="0.35">
      <c r="A1234" s="5"/>
      <c r="B1234" s="5"/>
      <c r="C1234" s="22"/>
      <c r="D1234" s="5"/>
      <c r="E1234" s="5"/>
      <c r="F1234" s="5"/>
      <c r="G1234" s="19"/>
      <c r="H1234" s="5"/>
    </row>
    <row r="1235" spans="1:8" x14ac:dyDescent="0.35">
      <c r="A1235" s="5"/>
      <c r="B1235" s="5"/>
      <c r="C1235" s="22"/>
      <c r="D1235" s="5"/>
      <c r="E1235" s="5"/>
      <c r="F1235" s="5"/>
      <c r="G1235" s="19"/>
      <c r="H1235" s="5"/>
    </row>
    <row r="1236" spans="1:8" x14ac:dyDescent="0.35">
      <c r="A1236" s="5"/>
      <c r="B1236" s="5"/>
      <c r="C1236" s="22"/>
      <c r="D1236" s="5"/>
      <c r="E1236" s="5"/>
      <c r="F1236" s="5"/>
      <c r="G1236" s="19"/>
      <c r="H1236" s="5"/>
    </row>
    <row r="1237" spans="1:8" x14ac:dyDescent="0.35">
      <c r="A1237" s="5"/>
      <c r="B1237" s="5"/>
      <c r="C1237" s="22"/>
      <c r="D1237" s="5"/>
      <c r="E1237" s="5"/>
      <c r="F1237" s="5"/>
      <c r="G1237" s="19"/>
      <c r="H1237" s="5"/>
    </row>
    <row r="1238" spans="1:8" x14ac:dyDescent="0.35">
      <c r="A1238" s="5"/>
      <c r="B1238" s="5"/>
      <c r="C1238" s="22"/>
      <c r="D1238" s="5"/>
      <c r="E1238" s="5"/>
      <c r="F1238" s="5"/>
      <c r="G1238" s="19"/>
      <c r="H1238" s="5"/>
    </row>
    <row r="1239" spans="1:8" x14ac:dyDescent="0.35">
      <c r="A1239" s="5"/>
      <c r="B1239" s="5"/>
      <c r="C1239" s="22"/>
      <c r="D1239" s="5"/>
      <c r="E1239" s="5"/>
      <c r="F1239" s="5"/>
      <c r="G1239" s="19"/>
      <c r="H1239" s="5"/>
    </row>
    <row r="1240" spans="1:8" x14ac:dyDescent="0.35">
      <c r="A1240" s="5"/>
      <c r="B1240" s="5"/>
      <c r="C1240" s="22"/>
      <c r="D1240" s="5"/>
      <c r="E1240" s="5"/>
      <c r="F1240" s="5"/>
      <c r="G1240" s="19"/>
      <c r="H1240" s="5"/>
    </row>
    <row r="1241" spans="1:8" x14ac:dyDescent="0.35">
      <c r="A1241" s="5"/>
      <c r="B1241" s="5"/>
      <c r="C1241" s="22"/>
      <c r="D1241" s="5"/>
      <c r="E1241" s="5"/>
      <c r="F1241" s="5"/>
      <c r="G1241" s="19"/>
      <c r="H1241" s="5"/>
    </row>
    <row r="1242" spans="1:8" x14ac:dyDescent="0.35">
      <c r="A1242" s="5"/>
      <c r="B1242" s="5"/>
      <c r="C1242" s="22"/>
      <c r="D1242" s="5"/>
      <c r="E1242" s="5"/>
      <c r="F1242" s="5"/>
      <c r="G1242" s="19"/>
      <c r="H1242" s="5"/>
    </row>
    <row r="1243" spans="1:8" x14ac:dyDescent="0.35">
      <c r="A1243" s="5"/>
      <c r="B1243" s="5"/>
      <c r="C1243" s="22"/>
      <c r="D1243" s="5"/>
      <c r="E1243" s="5"/>
      <c r="F1243" s="5"/>
      <c r="G1243" s="19"/>
      <c r="H1243" s="5"/>
    </row>
    <row r="1244" spans="1:8" x14ac:dyDescent="0.35">
      <c r="A1244" s="5"/>
      <c r="B1244" s="5"/>
      <c r="C1244" s="22"/>
      <c r="D1244" s="5"/>
      <c r="E1244" s="5"/>
      <c r="F1244" s="5"/>
      <c r="G1244" s="19"/>
      <c r="H1244" s="5"/>
    </row>
    <row r="1245" spans="1:8" x14ac:dyDescent="0.35">
      <c r="A1245" s="5"/>
      <c r="B1245" s="5"/>
      <c r="C1245" s="22"/>
      <c r="D1245" s="5"/>
      <c r="E1245" s="5"/>
      <c r="F1245" s="5"/>
      <c r="G1245" s="19"/>
      <c r="H1245" s="5"/>
    </row>
    <row r="1246" spans="1:8" x14ac:dyDescent="0.35">
      <c r="A1246" s="5"/>
      <c r="B1246" s="5"/>
      <c r="C1246" s="22"/>
      <c r="D1246" s="5"/>
      <c r="E1246" s="5"/>
      <c r="F1246" s="5"/>
      <c r="G1246" s="19"/>
      <c r="H1246" s="5"/>
    </row>
    <row r="1247" spans="1:8" x14ac:dyDescent="0.35">
      <c r="A1247" s="5"/>
      <c r="B1247" s="5"/>
      <c r="C1247" s="22"/>
      <c r="D1247" s="5"/>
      <c r="E1247" s="5"/>
      <c r="F1247" s="5"/>
      <c r="G1247" s="19"/>
      <c r="H1247" s="5"/>
    </row>
    <row r="1248" spans="1:8" x14ac:dyDescent="0.35">
      <c r="A1248" s="5"/>
      <c r="B1248" s="5"/>
      <c r="C1248" s="22"/>
      <c r="D1248" s="5"/>
      <c r="E1248" s="5"/>
      <c r="F1248" s="5"/>
      <c r="G1248" s="19"/>
      <c r="H1248" s="5"/>
    </row>
    <row r="1249" spans="1:8" x14ac:dyDescent="0.35">
      <c r="A1249" s="5"/>
      <c r="B1249" s="5"/>
      <c r="C1249" s="22"/>
      <c r="D1249" s="5"/>
      <c r="E1249" s="5"/>
      <c r="F1249" s="5"/>
      <c r="G1249" s="19"/>
      <c r="H1249" s="5"/>
    </row>
    <row r="1250" spans="1:8" x14ac:dyDescent="0.35">
      <c r="A1250" s="5"/>
      <c r="B1250" s="5"/>
      <c r="C1250" s="22"/>
      <c r="D1250" s="5"/>
      <c r="E1250" s="5"/>
      <c r="F1250" s="5"/>
      <c r="G1250" s="19"/>
      <c r="H1250" s="5"/>
    </row>
    <row r="1251" spans="1:8" x14ac:dyDescent="0.35">
      <c r="A1251" s="5"/>
      <c r="B1251" s="5"/>
      <c r="C1251" s="22"/>
      <c r="D1251" s="5"/>
      <c r="E1251" s="5"/>
      <c r="F1251" s="5"/>
      <c r="G1251" s="19"/>
      <c r="H1251" s="5"/>
    </row>
    <row r="1252" spans="1:8" x14ac:dyDescent="0.35">
      <c r="A1252" s="5"/>
      <c r="B1252" s="5"/>
      <c r="C1252" s="22"/>
      <c r="D1252" s="5"/>
      <c r="E1252" s="5"/>
      <c r="F1252" s="5"/>
      <c r="G1252" s="19"/>
      <c r="H1252" s="5"/>
    </row>
    <row r="1253" spans="1:8" x14ac:dyDescent="0.35">
      <c r="A1253" s="5"/>
      <c r="B1253" s="5"/>
      <c r="C1253" s="22"/>
      <c r="D1253" s="5"/>
      <c r="E1253" s="5"/>
      <c r="F1253" s="5"/>
      <c r="G1253" s="19"/>
      <c r="H1253" s="5"/>
    </row>
    <row r="1254" spans="1:8" x14ac:dyDescent="0.35">
      <c r="A1254" s="5"/>
      <c r="B1254" s="5"/>
      <c r="C1254" s="22"/>
      <c r="D1254" s="5"/>
      <c r="E1254" s="5"/>
      <c r="F1254" s="5"/>
      <c r="G1254" s="19"/>
      <c r="H1254" s="5"/>
    </row>
    <row r="1255" spans="1:8" x14ac:dyDescent="0.35">
      <c r="A1255" s="5"/>
      <c r="B1255" s="5"/>
      <c r="C1255" s="22"/>
      <c r="D1255" s="5"/>
      <c r="E1255" s="5"/>
      <c r="F1255" s="5"/>
      <c r="G1255" s="19"/>
      <c r="H1255" s="5"/>
    </row>
    <row r="1256" spans="1:8" x14ac:dyDescent="0.35">
      <c r="A1256" s="5"/>
      <c r="B1256" s="5"/>
      <c r="C1256" s="22"/>
      <c r="D1256" s="5"/>
      <c r="E1256" s="5"/>
      <c r="F1256" s="5"/>
      <c r="G1256" s="19"/>
      <c r="H1256" s="5"/>
    </row>
    <row r="1257" spans="1:8" x14ac:dyDescent="0.35">
      <c r="A1257" s="5"/>
      <c r="B1257" s="5"/>
      <c r="C1257" s="22"/>
      <c r="D1257" s="5"/>
      <c r="E1257" s="5"/>
      <c r="F1257" s="5"/>
      <c r="G1257" s="19"/>
      <c r="H1257" s="5"/>
    </row>
    <row r="1258" spans="1:8" x14ac:dyDescent="0.35">
      <c r="A1258" s="5"/>
      <c r="B1258" s="5"/>
      <c r="C1258" s="22"/>
      <c r="D1258" s="5"/>
      <c r="E1258" s="5"/>
      <c r="F1258" s="5"/>
      <c r="G1258" s="19"/>
      <c r="H1258" s="5"/>
    </row>
    <row r="1259" spans="1:8" x14ac:dyDescent="0.35">
      <c r="A1259" s="5"/>
      <c r="B1259" s="5"/>
      <c r="C1259" s="22"/>
      <c r="D1259" s="5"/>
      <c r="E1259" s="5"/>
      <c r="F1259" s="5"/>
      <c r="G1259" s="19"/>
      <c r="H1259" s="5"/>
    </row>
    <row r="1260" spans="1:8" x14ac:dyDescent="0.35">
      <c r="A1260" s="5"/>
      <c r="B1260" s="5"/>
      <c r="C1260" s="22"/>
      <c r="D1260" s="5"/>
      <c r="E1260" s="5"/>
      <c r="F1260" s="5"/>
      <c r="G1260" s="19"/>
      <c r="H1260" s="5"/>
    </row>
    <row r="1261" spans="1:8" x14ac:dyDescent="0.35">
      <c r="A1261" s="5"/>
      <c r="B1261" s="5"/>
      <c r="C1261" s="22"/>
      <c r="D1261" s="5"/>
      <c r="E1261" s="5"/>
      <c r="F1261" s="5"/>
      <c r="G1261" s="19"/>
      <c r="H1261" s="5"/>
    </row>
    <row r="1262" spans="1:8" x14ac:dyDescent="0.35">
      <c r="A1262" s="5"/>
      <c r="B1262" s="5"/>
      <c r="C1262" s="22"/>
      <c r="D1262" s="5"/>
      <c r="E1262" s="5"/>
      <c r="F1262" s="5"/>
      <c r="G1262" s="19"/>
      <c r="H1262" s="5"/>
    </row>
    <row r="1263" spans="1:8" x14ac:dyDescent="0.35">
      <c r="A1263" s="5"/>
      <c r="B1263" s="5"/>
      <c r="C1263" s="22"/>
      <c r="D1263" s="5"/>
      <c r="E1263" s="5"/>
      <c r="F1263" s="5"/>
      <c r="G1263" s="19"/>
      <c r="H1263" s="5"/>
    </row>
    <row r="1264" spans="1:8" x14ac:dyDescent="0.35">
      <c r="A1264" s="5"/>
      <c r="B1264" s="5"/>
      <c r="C1264" s="22"/>
      <c r="D1264" s="5"/>
      <c r="E1264" s="5"/>
      <c r="F1264" s="5"/>
      <c r="G1264" s="19"/>
      <c r="H1264" s="5"/>
    </row>
    <row r="1265" spans="1:8" x14ac:dyDescent="0.35">
      <c r="A1265" s="5"/>
      <c r="B1265" s="5"/>
      <c r="C1265" s="22"/>
      <c r="D1265" s="5"/>
      <c r="E1265" s="5"/>
      <c r="F1265" s="5"/>
      <c r="G1265" s="19"/>
      <c r="H1265" s="5"/>
    </row>
    <row r="1266" spans="1:8" x14ac:dyDescent="0.35">
      <c r="A1266" s="5"/>
      <c r="B1266" s="5"/>
      <c r="C1266" s="22"/>
      <c r="D1266" s="5"/>
      <c r="E1266" s="5"/>
      <c r="F1266" s="5"/>
      <c r="G1266" s="19"/>
      <c r="H1266" s="5"/>
    </row>
    <row r="1267" spans="1:8" x14ac:dyDescent="0.35">
      <c r="A1267" s="5"/>
      <c r="B1267" s="5"/>
      <c r="C1267" s="22"/>
      <c r="D1267" s="5"/>
      <c r="E1267" s="5"/>
      <c r="F1267" s="5"/>
      <c r="G1267" s="19"/>
      <c r="H1267" s="5"/>
    </row>
    <row r="1268" spans="1:8" x14ac:dyDescent="0.35">
      <c r="A1268" s="5"/>
      <c r="B1268" s="5"/>
      <c r="C1268" s="22"/>
      <c r="D1268" s="5"/>
      <c r="E1268" s="5"/>
      <c r="F1268" s="5"/>
      <c r="G1268" s="19"/>
      <c r="H1268" s="5"/>
    </row>
    <row r="1269" spans="1:8" x14ac:dyDescent="0.35">
      <c r="A1269" s="5"/>
      <c r="B1269" s="5"/>
      <c r="C1269" s="22"/>
      <c r="D1269" s="5"/>
      <c r="E1269" s="5"/>
      <c r="F1269" s="5"/>
      <c r="G1269" s="19"/>
      <c r="H1269" s="5"/>
    </row>
    <row r="1270" spans="1:8" x14ac:dyDescent="0.35">
      <c r="A1270" s="5"/>
      <c r="B1270" s="5"/>
      <c r="C1270" s="22"/>
      <c r="D1270" s="5"/>
      <c r="E1270" s="5"/>
      <c r="F1270" s="5"/>
      <c r="G1270" s="19"/>
      <c r="H1270" s="5"/>
    </row>
    <row r="1271" spans="1:8" x14ac:dyDescent="0.35">
      <c r="A1271" s="5"/>
      <c r="B1271" s="5"/>
      <c r="C1271" s="22"/>
      <c r="D1271" s="5"/>
      <c r="E1271" s="5"/>
      <c r="F1271" s="5"/>
      <c r="G1271" s="19"/>
      <c r="H1271" s="5"/>
    </row>
    <row r="1272" spans="1:8" x14ac:dyDescent="0.35">
      <c r="A1272" s="5"/>
      <c r="B1272" s="5"/>
      <c r="C1272" s="22"/>
      <c r="D1272" s="5"/>
      <c r="E1272" s="5"/>
      <c r="F1272" s="5"/>
      <c r="G1272" s="19"/>
      <c r="H1272" s="5"/>
    </row>
    <row r="1273" spans="1:8" x14ac:dyDescent="0.35">
      <c r="A1273" s="5"/>
      <c r="B1273" s="5"/>
      <c r="C1273" s="22"/>
      <c r="D1273" s="5"/>
      <c r="E1273" s="5"/>
      <c r="F1273" s="5"/>
      <c r="G1273" s="19"/>
      <c r="H1273" s="5"/>
    </row>
    <row r="1274" spans="1:8" x14ac:dyDescent="0.35">
      <c r="A1274" s="5"/>
      <c r="B1274" s="5"/>
      <c r="C1274" s="22"/>
      <c r="D1274" s="5"/>
      <c r="E1274" s="5"/>
      <c r="F1274" s="5"/>
      <c r="G1274" s="19"/>
      <c r="H1274" s="5"/>
    </row>
    <row r="1275" spans="1:8" x14ac:dyDescent="0.35">
      <c r="A1275" s="5"/>
      <c r="B1275" s="5"/>
      <c r="C1275" s="22"/>
      <c r="D1275" s="5"/>
      <c r="E1275" s="5"/>
      <c r="F1275" s="5"/>
      <c r="G1275" s="19"/>
      <c r="H1275" s="5"/>
    </row>
    <row r="1276" spans="1:8" x14ac:dyDescent="0.35">
      <c r="A1276" s="5"/>
      <c r="B1276" s="5"/>
      <c r="C1276" s="22"/>
      <c r="D1276" s="5"/>
      <c r="E1276" s="5"/>
      <c r="F1276" s="5"/>
      <c r="G1276" s="19"/>
      <c r="H1276" s="5"/>
    </row>
    <row r="1277" spans="1:8" x14ac:dyDescent="0.35">
      <c r="A1277" s="5"/>
      <c r="B1277" s="5"/>
      <c r="C1277" s="22"/>
      <c r="D1277" s="5"/>
      <c r="E1277" s="5"/>
      <c r="F1277" s="5"/>
      <c r="G1277" s="19"/>
      <c r="H1277" s="5"/>
    </row>
    <row r="1278" spans="1:8" x14ac:dyDescent="0.35">
      <c r="A1278" s="5"/>
      <c r="B1278" s="5"/>
      <c r="C1278" s="22"/>
      <c r="D1278" s="5"/>
      <c r="E1278" s="5"/>
      <c r="F1278" s="5"/>
      <c r="G1278" s="19"/>
      <c r="H1278" s="5"/>
    </row>
    <row r="1279" spans="1:8" x14ac:dyDescent="0.35">
      <c r="A1279" s="5"/>
      <c r="B1279" s="5"/>
      <c r="C1279" s="22"/>
      <c r="D1279" s="5"/>
      <c r="E1279" s="5"/>
      <c r="F1279" s="5"/>
      <c r="G1279" s="19"/>
      <c r="H1279" s="5"/>
    </row>
    <row r="1280" spans="1:8" x14ac:dyDescent="0.35">
      <c r="A1280" s="5"/>
      <c r="B1280" s="5"/>
      <c r="C1280" s="22"/>
      <c r="D1280" s="5"/>
      <c r="E1280" s="5"/>
      <c r="F1280" s="5"/>
      <c r="G1280" s="19"/>
      <c r="H1280" s="5"/>
    </row>
    <row r="1281" spans="1:8" x14ac:dyDescent="0.35">
      <c r="A1281" s="5"/>
      <c r="B1281" s="5"/>
      <c r="C1281" s="22"/>
      <c r="D1281" s="5"/>
      <c r="E1281" s="5"/>
      <c r="F1281" s="5"/>
      <c r="G1281" s="19"/>
      <c r="H1281" s="5"/>
    </row>
    <row r="1282" spans="1:8" x14ac:dyDescent="0.35">
      <c r="A1282" s="5"/>
      <c r="B1282" s="5"/>
      <c r="C1282" s="22"/>
      <c r="D1282" s="5"/>
      <c r="E1282" s="5"/>
      <c r="F1282" s="5"/>
      <c r="G1282" s="19"/>
      <c r="H1282" s="5"/>
    </row>
    <row r="1283" spans="1:8" x14ac:dyDescent="0.35">
      <c r="A1283" s="5"/>
      <c r="B1283" s="5"/>
      <c r="C1283" s="22"/>
      <c r="D1283" s="5"/>
      <c r="E1283" s="5"/>
      <c r="F1283" s="5"/>
      <c r="G1283" s="19"/>
      <c r="H1283" s="5"/>
    </row>
    <row r="1284" spans="1:8" x14ac:dyDescent="0.35">
      <c r="A1284" s="5"/>
      <c r="B1284" s="5"/>
      <c r="C1284" s="22"/>
      <c r="D1284" s="5"/>
      <c r="E1284" s="5"/>
      <c r="F1284" s="5"/>
      <c r="G1284" s="19"/>
      <c r="H1284" s="5"/>
    </row>
    <row r="1285" spans="1:8" x14ac:dyDescent="0.35">
      <c r="A1285" s="5"/>
      <c r="B1285" s="5"/>
      <c r="C1285" s="22"/>
      <c r="D1285" s="5"/>
      <c r="E1285" s="5"/>
      <c r="F1285" s="5"/>
      <c r="G1285" s="19"/>
      <c r="H1285" s="5"/>
    </row>
    <row r="1286" spans="1:8" x14ac:dyDescent="0.35">
      <c r="A1286" s="5"/>
      <c r="B1286" s="5"/>
      <c r="C1286" s="22"/>
      <c r="D1286" s="5"/>
      <c r="E1286" s="5"/>
      <c r="F1286" s="5"/>
      <c r="G1286" s="19"/>
      <c r="H1286" s="5"/>
    </row>
    <row r="1287" spans="1:8" x14ac:dyDescent="0.35">
      <c r="A1287" s="5"/>
      <c r="B1287" s="5"/>
      <c r="C1287" s="22"/>
      <c r="D1287" s="5"/>
      <c r="E1287" s="5"/>
      <c r="F1287" s="5"/>
      <c r="G1287" s="19"/>
      <c r="H1287" s="5"/>
    </row>
    <row r="1288" spans="1:8" x14ac:dyDescent="0.35">
      <c r="A1288" s="5"/>
      <c r="B1288" s="5"/>
      <c r="C1288" s="22"/>
      <c r="D1288" s="5"/>
      <c r="E1288" s="5"/>
      <c r="F1288" s="5"/>
      <c r="G1288" s="19"/>
      <c r="H1288" s="5"/>
    </row>
    <row r="1289" spans="1:8" x14ac:dyDescent="0.35">
      <c r="A1289" s="5"/>
      <c r="B1289" s="5"/>
      <c r="C1289" s="22"/>
      <c r="D1289" s="5"/>
      <c r="E1289" s="5"/>
      <c r="F1289" s="5"/>
      <c r="G1289" s="19"/>
      <c r="H1289" s="5"/>
    </row>
    <row r="1290" spans="1:8" x14ac:dyDescent="0.35">
      <c r="A1290" s="5"/>
      <c r="B1290" s="5"/>
      <c r="C1290" s="22"/>
      <c r="D1290" s="5"/>
      <c r="E1290" s="5"/>
      <c r="F1290" s="5"/>
      <c r="G1290" s="19"/>
      <c r="H1290" s="5"/>
    </row>
    <row r="1291" spans="1:8" x14ac:dyDescent="0.35">
      <c r="A1291" s="5"/>
      <c r="B1291" s="5"/>
      <c r="C1291" s="22"/>
      <c r="D1291" s="5"/>
      <c r="E1291" s="5"/>
      <c r="F1291" s="5"/>
      <c r="G1291" s="19"/>
      <c r="H1291" s="5"/>
    </row>
    <row r="1292" spans="1:8" x14ac:dyDescent="0.35">
      <c r="A1292" s="5"/>
      <c r="B1292" s="5"/>
      <c r="C1292" s="22"/>
      <c r="D1292" s="5"/>
      <c r="E1292" s="5"/>
      <c r="F1292" s="5"/>
      <c r="G1292" s="19"/>
      <c r="H1292" s="5"/>
    </row>
    <row r="1293" spans="1:8" x14ac:dyDescent="0.35">
      <c r="A1293" s="5"/>
      <c r="B1293" s="5"/>
      <c r="C1293" s="22"/>
      <c r="D1293" s="5"/>
      <c r="E1293" s="5"/>
      <c r="F1293" s="5"/>
      <c r="G1293" s="19"/>
      <c r="H1293" s="5"/>
    </row>
    <row r="1294" spans="1:8" x14ac:dyDescent="0.35">
      <c r="A1294" s="5"/>
      <c r="B1294" s="5"/>
      <c r="C1294" s="22"/>
      <c r="D1294" s="5"/>
      <c r="E1294" s="5"/>
      <c r="F1294" s="5"/>
      <c r="G1294" s="19"/>
      <c r="H1294" s="5"/>
    </row>
    <row r="1295" spans="1:8" x14ac:dyDescent="0.35">
      <c r="A1295" s="5"/>
      <c r="B1295" s="5"/>
      <c r="C1295" s="22"/>
      <c r="D1295" s="5"/>
      <c r="E1295" s="5"/>
      <c r="F1295" s="5"/>
      <c r="G1295" s="19"/>
      <c r="H1295" s="5"/>
    </row>
    <row r="1296" spans="1:8" x14ac:dyDescent="0.35">
      <c r="A1296" s="5"/>
      <c r="B1296" s="5"/>
      <c r="C1296" s="22"/>
      <c r="D1296" s="5"/>
      <c r="E1296" s="5"/>
      <c r="F1296" s="5"/>
      <c r="G1296" s="19"/>
      <c r="H1296" s="5"/>
    </row>
    <row r="1297" spans="1:8" x14ac:dyDescent="0.35">
      <c r="A1297" s="5"/>
      <c r="B1297" s="5"/>
      <c r="C1297" s="22"/>
      <c r="D1297" s="5"/>
      <c r="E1297" s="5"/>
      <c r="F1297" s="5"/>
      <c r="G1297" s="19"/>
      <c r="H1297" s="5"/>
    </row>
    <row r="1298" spans="1:8" x14ac:dyDescent="0.35">
      <c r="A1298" s="5"/>
      <c r="B1298" s="5"/>
      <c r="C1298" s="22"/>
      <c r="D1298" s="5"/>
      <c r="E1298" s="5"/>
      <c r="F1298" s="5"/>
      <c r="G1298" s="19"/>
      <c r="H1298" s="5"/>
    </row>
    <row r="1299" spans="1:8" x14ac:dyDescent="0.35">
      <c r="A1299" s="5"/>
      <c r="B1299" s="5"/>
      <c r="C1299" s="22"/>
      <c r="D1299" s="5"/>
      <c r="E1299" s="5"/>
      <c r="F1299" s="5"/>
      <c r="G1299" s="19"/>
      <c r="H1299" s="5"/>
    </row>
    <row r="1300" spans="1:8" x14ac:dyDescent="0.35">
      <c r="A1300" s="5"/>
      <c r="B1300" s="5"/>
      <c r="C1300" s="22"/>
      <c r="D1300" s="5"/>
      <c r="E1300" s="5"/>
      <c r="F1300" s="5"/>
      <c r="G1300" s="19"/>
      <c r="H1300" s="5"/>
    </row>
    <row r="1301" spans="1:8" x14ac:dyDescent="0.35">
      <c r="A1301" s="5"/>
      <c r="B1301" s="5"/>
      <c r="C1301" s="22"/>
      <c r="D1301" s="5"/>
      <c r="E1301" s="5"/>
      <c r="F1301" s="5"/>
      <c r="G1301" s="19"/>
      <c r="H1301" s="5"/>
    </row>
    <row r="1302" spans="1:8" x14ac:dyDescent="0.35">
      <c r="A1302" s="5"/>
      <c r="B1302" s="5"/>
      <c r="C1302" s="22"/>
      <c r="D1302" s="5"/>
      <c r="E1302" s="5"/>
      <c r="F1302" s="5"/>
      <c r="G1302" s="19"/>
      <c r="H1302" s="5"/>
    </row>
    <row r="1303" spans="1:8" x14ac:dyDescent="0.35">
      <c r="A1303" s="5"/>
      <c r="B1303" s="5"/>
      <c r="C1303" s="22"/>
      <c r="D1303" s="5"/>
      <c r="E1303" s="5"/>
      <c r="F1303" s="5"/>
      <c r="G1303" s="19"/>
      <c r="H1303" s="5"/>
    </row>
    <row r="1304" spans="1:8" x14ac:dyDescent="0.35">
      <c r="A1304" s="5"/>
      <c r="B1304" s="5"/>
      <c r="C1304" s="22"/>
      <c r="D1304" s="5"/>
      <c r="E1304" s="5"/>
      <c r="F1304" s="5"/>
      <c r="G1304" s="19"/>
      <c r="H1304" s="5"/>
    </row>
    <row r="1305" spans="1:8" x14ac:dyDescent="0.35">
      <c r="A1305" s="5"/>
      <c r="B1305" s="5"/>
      <c r="C1305" s="22"/>
      <c r="D1305" s="5"/>
      <c r="E1305" s="5"/>
      <c r="F1305" s="5"/>
      <c r="G1305" s="19"/>
      <c r="H1305" s="5"/>
    </row>
    <row r="1306" spans="1:8" x14ac:dyDescent="0.35">
      <c r="A1306" s="5"/>
      <c r="B1306" s="5"/>
      <c r="C1306" s="22"/>
      <c r="D1306" s="5"/>
      <c r="E1306" s="5"/>
      <c r="F1306" s="5"/>
      <c r="G1306" s="19"/>
      <c r="H1306" s="5"/>
    </row>
    <row r="1307" spans="1:8" x14ac:dyDescent="0.35">
      <c r="A1307" s="5"/>
      <c r="B1307" s="5"/>
      <c r="C1307" s="22"/>
      <c r="D1307" s="5"/>
      <c r="E1307" s="5"/>
      <c r="F1307" s="5"/>
      <c r="G1307" s="19"/>
      <c r="H1307" s="5"/>
    </row>
    <row r="1308" spans="1:8" x14ac:dyDescent="0.35">
      <c r="A1308" s="5"/>
      <c r="B1308" s="5"/>
      <c r="C1308" s="22"/>
      <c r="D1308" s="5"/>
      <c r="E1308" s="5"/>
      <c r="F1308" s="5"/>
      <c r="G1308" s="19"/>
      <c r="H1308" s="5"/>
    </row>
    <row r="1309" spans="1:8" x14ac:dyDescent="0.35">
      <c r="A1309" s="5"/>
      <c r="B1309" s="5"/>
      <c r="C1309" s="22"/>
      <c r="D1309" s="5"/>
      <c r="E1309" s="5"/>
      <c r="F1309" s="5"/>
      <c r="G1309" s="19"/>
      <c r="H1309" s="5"/>
    </row>
    <row r="1310" spans="1:8" x14ac:dyDescent="0.35">
      <c r="A1310" s="5"/>
      <c r="B1310" s="5"/>
      <c r="C1310" s="22"/>
      <c r="D1310" s="5"/>
      <c r="E1310" s="5"/>
      <c r="F1310" s="5"/>
      <c r="G1310" s="19"/>
      <c r="H1310" s="5"/>
    </row>
    <row r="1311" spans="1:8" x14ac:dyDescent="0.35">
      <c r="A1311" s="5"/>
      <c r="B1311" s="5"/>
      <c r="C1311" s="22"/>
      <c r="D1311" s="5"/>
      <c r="E1311" s="5"/>
      <c r="F1311" s="5"/>
      <c r="G1311" s="19"/>
      <c r="H1311" s="5"/>
    </row>
    <row r="1312" spans="1:8" x14ac:dyDescent="0.35">
      <c r="A1312" s="5"/>
      <c r="B1312" s="5"/>
      <c r="C1312" s="22"/>
      <c r="D1312" s="5"/>
      <c r="E1312" s="5"/>
      <c r="F1312" s="5"/>
      <c r="G1312" s="19"/>
      <c r="H1312" s="5"/>
    </row>
    <row r="1313" spans="1:8" x14ac:dyDescent="0.35">
      <c r="A1313" s="5"/>
      <c r="B1313" s="5"/>
      <c r="C1313" s="22"/>
      <c r="D1313" s="5"/>
      <c r="E1313" s="5"/>
      <c r="F1313" s="5"/>
      <c r="G1313" s="19"/>
      <c r="H1313" s="5"/>
    </row>
    <row r="1314" spans="1:8" x14ac:dyDescent="0.35">
      <c r="A1314" s="5"/>
      <c r="B1314" s="5"/>
      <c r="C1314" s="22"/>
      <c r="D1314" s="5"/>
      <c r="E1314" s="5"/>
      <c r="F1314" s="5"/>
      <c r="G1314" s="19"/>
      <c r="H1314" s="5"/>
    </row>
    <row r="1315" spans="1:8" x14ac:dyDescent="0.35">
      <c r="A1315" s="5"/>
      <c r="B1315" s="5"/>
      <c r="C1315" s="22"/>
      <c r="D1315" s="5"/>
      <c r="E1315" s="5"/>
      <c r="F1315" s="5"/>
      <c r="G1315" s="19"/>
      <c r="H1315" s="5"/>
    </row>
    <row r="1316" spans="1:8" x14ac:dyDescent="0.35">
      <c r="A1316" s="5"/>
      <c r="B1316" s="5"/>
      <c r="C1316" s="22"/>
      <c r="D1316" s="5"/>
      <c r="E1316" s="5"/>
      <c r="F1316" s="5"/>
      <c r="G1316" s="19"/>
      <c r="H1316" s="5"/>
    </row>
    <row r="1317" spans="1:8" x14ac:dyDescent="0.35">
      <c r="A1317" s="5"/>
      <c r="B1317" s="5"/>
      <c r="C1317" s="22"/>
      <c r="D1317" s="5"/>
      <c r="E1317" s="5"/>
      <c r="F1317" s="5"/>
      <c r="G1317" s="19"/>
      <c r="H1317" s="5"/>
    </row>
    <row r="1318" spans="1:8" x14ac:dyDescent="0.35">
      <c r="A1318" s="5"/>
      <c r="B1318" s="5"/>
      <c r="C1318" s="22"/>
      <c r="D1318" s="5"/>
      <c r="E1318" s="5"/>
      <c r="F1318" s="5"/>
      <c r="G1318" s="19"/>
      <c r="H1318" s="5"/>
    </row>
    <row r="1319" spans="1:8" x14ac:dyDescent="0.35">
      <c r="A1319" s="5"/>
      <c r="B1319" s="5"/>
      <c r="C1319" s="22"/>
      <c r="D1319" s="5"/>
      <c r="E1319" s="5"/>
      <c r="F1319" s="5"/>
      <c r="G1319" s="19"/>
      <c r="H1319" s="5"/>
    </row>
    <row r="1320" spans="1:8" x14ac:dyDescent="0.35">
      <c r="A1320" s="5"/>
      <c r="B1320" s="5"/>
      <c r="C1320" s="22"/>
      <c r="D1320" s="5"/>
      <c r="E1320" s="5"/>
      <c r="F1320" s="5"/>
      <c r="G1320" s="19"/>
      <c r="H1320" s="5"/>
    </row>
    <row r="1321" spans="1:8" x14ac:dyDescent="0.35">
      <c r="A1321" s="5"/>
      <c r="B1321" s="5"/>
      <c r="C1321" s="22"/>
      <c r="D1321" s="5"/>
      <c r="E1321" s="5"/>
      <c r="F1321" s="5"/>
      <c r="G1321" s="19"/>
      <c r="H1321" s="5"/>
    </row>
    <row r="1322" spans="1:8" x14ac:dyDescent="0.35">
      <c r="A1322" s="5"/>
      <c r="B1322" s="5"/>
      <c r="C1322" s="22"/>
      <c r="D1322" s="5"/>
      <c r="E1322" s="5"/>
      <c r="F1322" s="5"/>
      <c r="G1322" s="19"/>
      <c r="H1322" s="5"/>
    </row>
    <row r="1323" spans="1:8" x14ac:dyDescent="0.35">
      <c r="A1323" s="5"/>
      <c r="B1323" s="5"/>
      <c r="C1323" s="22"/>
      <c r="D1323" s="5"/>
      <c r="E1323" s="5"/>
      <c r="F1323" s="5"/>
      <c r="G1323" s="19"/>
      <c r="H1323" s="5"/>
    </row>
    <row r="1324" spans="1:8" x14ac:dyDescent="0.35">
      <c r="A1324" s="5"/>
      <c r="B1324" s="5"/>
      <c r="C1324" s="22"/>
      <c r="D1324" s="5"/>
      <c r="E1324" s="5"/>
      <c r="F1324" s="5"/>
      <c r="G1324" s="19"/>
      <c r="H1324" s="5"/>
    </row>
    <row r="1325" spans="1:8" x14ac:dyDescent="0.35">
      <c r="A1325" s="5"/>
      <c r="B1325" s="5"/>
      <c r="C1325" s="22"/>
      <c r="D1325" s="5"/>
      <c r="E1325" s="5"/>
      <c r="F1325" s="5"/>
      <c r="G1325" s="19"/>
      <c r="H1325" s="5"/>
    </row>
    <row r="1326" spans="1:8" x14ac:dyDescent="0.35">
      <c r="A1326" s="5"/>
      <c r="B1326" s="5"/>
      <c r="C1326" s="22"/>
      <c r="D1326" s="5"/>
      <c r="E1326" s="5"/>
      <c r="F1326" s="5"/>
      <c r="G1326" s="19"/>
      <c r="H1326" s="5"/>
    </row>
    <row r="1327" spans="1:8" x14ac:dyDescent="0.35">
      <c r="A1327" s="5"/>
      <c r="B1327" s="5"/>
      <c r="C1327" s="22"/>
      <c r="D1327" s="5"/>
      <c r="E1327" s="5"/>
      <c r="F1327" s="5"/>
      <c r="G1327" s="19"/>
      <c r="H1327" s="5"/>
    </row>
    <row r="1328" spans="1:8" x14ac:dyDescent="0.35">
      <c r="A1328" s="5"/>
      <c r="B1328" s="5"/>
      <c r="C1328" s="22"/>
      <c r="D1328" s="5"/>
      <c r="E1328" s="5"/>
      <c r="F1328" s="5"/>
      <c r="G1328" s="19"/>
      <c r="H1328" s="5"/>
    </row>
    <row r="1329" spans="1:8" x14ac:dyDescent="0.35">
      <c r="A1329" s="5"/>
      <c r="B1329" s="5"/>
      <c r="C1329" s="22"/>
      <c r="D1329" s="5"/>
      <c r="E1329" s="5"/>
      <c r="F1329" s="5"/>
      <c r="G1329" s="19"/>
      <c r="H1329" s="5"/>
    </row>
    <row r="1330" spans="1:8" x14ac:dyDescent="0.35">
      <c r="A1330" s="5"/>
      <c r="B1330" s="5"/>
      <c r="C1330" s="22"/>
      <c r="D1330" s="5"/>
      <c r="E1330" s="5"/>
      <c r="F1330" s="5"/>
      <c r="G1330" s="19"/>
      <c r="H1330" s="5"/>
    </row>
    <row r="1331" spans="1:8" x14ac:dyDescent="0.35">
      <c r="A1331" s="5"/>
      <c r="B1331" s="5"/>
      <c r="C1331" s="22"/>
      <c r="D1331" s="5"/>
      <c r="E1331" s="5"/>
      <c r="F1331" s="5"/>
      <c r="G1331" s="19"/>
      <c r="H1331" s="5"/>
    </row>
    <row r="1332" spans="1:8" x14ac:dyDescent="0.35">
      <c r="A1332" s="5"/>
      <c r="B1332" s="5"/>
      <c r="C1332" s="22"/>
      <c r="D1332" s="5"/>
      <c r="E1332" s="5"/>
      <c r="F1332" s="5"/>
      <c r="G1332" s="19"/>
      <c r="H1332" s="5"/>
    </row>
    <row r="1333" spans="1:8" x14ac:dyDescent="0.35">
      <c r="A1333" s="5"/>
      <c r="B1333" s="5"/>
      <c r="C1333" s="22"/>
      <c r="D1333" s="5"/>
      <c r="E1333" s="5"/>
      <c r="F1333" s="5"/>
      <c r="G1333" s="19"/>
      <c r="H1333" s="5"/>
    </row>
    <row r="1334" spans="1:8" x14ac:dyDescent="0.35">
      <c r="A1334" s="5"/>
      <c r="B1334" s="5"/>
      <c r="C1334" s="22"/>
      <c r="D1334" s="5"/>
      <c r="E1334" s="5"/>
      <c r="F1334" s="5"/>
      <c r="G1334" s="19"/>
      <c r="H1334" s="5"/>
    </row>
    <row r="1335" spans="1:8" x14ac:dyDescent="0.35">
      <c r="A1335" s="5"/>
      <c r="B1335" s="5"/>
      <c r="C1335" s="22"/>
      <c r="D1335" s="5"/>
      <c r="E1335" s="5"/>
      <c r="F1335" s="5"/>
      <c r="G1335" s="19"/>
      <c r="H1335" s="5"/>
    </row>
    <row r="1336" spans="1:8" x14ac:dyDescent="0.35">
      <c r="A1336" s="5"/>
      <c r="B1336" s="5"/>
      <c r="C1336" s="22"/>
      <c r="D1336" s="5"/>
      <c r="E1336" s="5"/>
      <c r="F1336" s="5"/>
      <c r="G1336" s="19"/>
      <c r="H1336" s="5"/>
    </row>
    <row r="1337" spans="1:8" x14ac:dyDescent="0.35">
      <c r="A1337" s="5"/>
      <c r="B1337" s="5"/>
      <c r="C1337" s="22"/>
      <c r="D1337" s="5"/>
      <c r="E1337" s="5"/>
      <c r="F1337" s="5"/>
      <c r="G1337" s="19"/>
      <c r="H1337" s="5"/>
    </row>
    <row r="1338" spans="1:8" x14ac:dyDescent="0.35">
      <c r="A1338" s="5"/>
      <c r="B1338" s="5"/>
      <c r="C1338" s="22"/>
      <c r="D1338" s="5"/>
      <c r="E1338" s="5"/>
      <c r="F1338" s="5"/>
      <c r="G1338" s="19"/>
      <c r="H1338" s="5"/>
    </row>
    <row r="1339" spans="1:8" x14ac:dyDescent="0.35">
      <c r="A1339" s="5"/>
      <c r="B1339" s="5"/>
      <c r="C1339" s="22"/>
      <c r="D1339" s="5"/>
      <c r="E1339" s="5"/>
      <c r="F1339" s="5"/>
      <c r="G1339" s="19"/>
      <c r="H1339" s="5"/>
    </row>
    <row r="1340" spans="1:8" x14ac:dyDescent="0.35">
      <c r="A1340" s="5"/>
      <c r="B1340" s="5"/>
      <c r="C1340" s="22"/>
      <c r="D1340" s="5"/>
      <c r="E1340" s="5"/>
      <c r="F1340" s="5"/>
      <c r="G1340" s="19"/>
      <c r="H1340" s="5"/>
    </row>
    <row r="1341" spans="1:8" x14ac:dyDescent="0.35">
      <c r="A1341" s="5"/>
      <c r="B1341" s="5"/>
      <c r="C1341" s="22"/>
      <c r="D1341" s="5"/>
      <c r="E1341" s="5"/>
      <c r="F1341" s="5"/>
      <c r="G1341" s="19"/>
      <c r="H1341" s="5"/>
    </row>
    <row r="1342" spans="1:8" x14ac:dyDescent="0.35">
      <c r="A1342" s="5"/>
      <c r="B1342" s="5"/>
      <c r="C1342" s="22"/>
      <c r="D1342" s="5"/>
      <c r="E1342" s="5"/>
      <c r="F1342" s="5"/>
      <c r="G1342" s="19"/>
      <c r="H1342" s="5"/>
    </row>
    <row r="1343" spans="1:8" x14ac:dyDescent="0.35">
      <c r="A1343" s="5"/>
      <c r="B1343" s="5"/>
      <c r="C1343" s="22"/>
      <c r="D1343" s="5"/>
      <c r="E1343" s="5"/>
      <c r="F1343" s="5"/>
      <c r="G1343" s="19"/>
      <c r="H1343" s="5"/>
    </row>
    <row r="1344" spans="1:8" x14ac:dyDescent="0.35">
      <c r="A1344" s="5"/>
      <c r="B1344" s="5"/>
      <c r="C1344" s="22"/>
      <c r="D1344" s="5"/>
      <c r="E1344" s="5"/>
      <c r="F1344" s="5"/>
      <c r="G1344" s="19"/>
      <c r="H1344" s="5"/>
    </row>
    <row r="1345" spans="1:8" x14ac:dyDescent="0.35">
      <c r="A1345" s="5"/>
      <c r="B1345" s="5"/>
      <c r="C1345" s="22"/>
      <c r="D1345" s="5"/>
      <c r="E1345" s="5"/>
      <c r="F1345" s="5"/>
      <c r="G1345" s="19"/>
      <c r="H1345" s="5"/>
    </row>
    <row r="1346" spans="1:8" x14ac:dyDescent="0.35">
      <c r="A1346" s="5"/>
      <c r="B1346" s="5"/>
      <c r="C1346" s="22"/>
      <c r="D1346" s="5"/>
      <c r="E1346" s="5"/>
      <c r="F1346" s="5"/>
      <c r="G1346" s="19"/>
      <c r="H1346" s="5"/>
    </row>
    <row r="1347" spans="1:8" x14ac:dyDescent="0.35">
      <c r="A1347" s="5"/>
      <c r="B1347" s="5"/>
      <c r="C1347" s="22"/>
      <c r="D1347" s="5"/>
      <c r="E1347" s="5"/>
      <c r="F1347" s="5"/>
      <c r="G1347" s="19"/>
      <c r="H1347" s="5"/>
    </row>
    <row r="1348" spans="1:8" x14ac:dyDescent="0.35">
      <c r="A1348" s="5"/>
      <c r="B1348" s="5"/>
      <c r="C1348" s="22"/>
      <c r="D1348" s="5"/>
      <c r="E1348" s="5"/>
      <c r="F1348" s="5"/>
      <c r="G1348" s="19"/>
      <c r="H1348" s="5"/>
    </row>
    <row r="1349" spans="1:8" x14ac:dyDescent="0.35">
      <c r="A1349" s="5"/>
      <c r="B1349" s="5"/>
      <c r="C1349" s="22"/>
      <c r="D1349" s="5"/>
      <c r="E1349" s="5"/>
      <c r="F1349" s="5"/>
      <c r="G1349" s="19"/>
      <c r="H1349" s="5"/>
    </row>
    <row r="1350" spans="1:8" x14ac:dyDescent="0.35">
      <c r="A1350" s="5"/>
      <c r="B1350" s="5"/>
      <c r="C1350" s="22"/>
      <c r="D1350" s="5"/>
      <c r="E1350" s="5"/>
      <c r="F1350" s="5"/>
      <c r="G1350" s="19"/>
      <c r="H1350" s="5"/>
    </row>
    <row r="1351" spans="1:8" x14ac:dyDescent="0.35">
      <c r="A1351" s="5"/>
      <c r="B1351" s="5"/>
      <c r="C1351" s="22"/>
      <c r="D1351" s="5"/>
      <c r="E1351" s="5"/>
      <c r="F1351" s="5"/>
      <c r="G1351" s="19"/>
      <c r="H1351" s="5"/>
    </row>
    <row r="1352" spans="1:8" x14ac:dyDescent="0.35">
      <c r="A1352" s="5"/>
      <c r="B1352" s="5"/>
      <c r="C1352" s="22"/>
      <c r="D1352" s="5"/>
      <c r="E1352" s="5"/>
      <c r="F1352" s="5"/>
      <c r="G1352" s="19"/>
      <c r="H1352" s="5"/>
    </row>
    <row r="1353" spans="1:8" x14ac:dyDescent="0.35">
      <c r="A1353" s="5"/>
      <c r="B1353" s="5"/>
      <c r="C1353" s="22"/>
      <c r="D1353" s="5"/>
      <c r="E1353" s="5"/>
      <c r="F1353" s="5"/>
      <c r="G1353" s="19"/>
      <c r="H1353" s="5"/>
    </row>
    <row r="1354" spans="1:8" x14ac:dyDescent="0.35">
      <c r="A1354" s="5"/>
      <c r="B1354" s="5"/>
      <c r="C1354" s="22"/>
      <c r="D1354" s="5"/>
      <c r="E1354" s="5"/>
      <c r="F1354" s="5"/>
      <c r="G1354" s="19"/>
      <c r="H1354" s="5"/>
    </row>
    <row r="1355" spans="1:8" x14ac:dyDescent="0.35">
      <c r="A1355" s="5"/>
      <c r="B1355" s="5"/>
      <c r="C1355" s="22"/>
      <c r="D1355" s="5"/>
      <c r="E1355" s="5"/>
      <c r="F1355" s="5"/>
      <c r="G1355" s="19"/>
      <c r="H1355" s="5"/>
    </row>
    <row r="1356" spans="1:8" x14ac:dyDescent="0.35">
      <c r="A1356" s="5"/>
      <c r="B1356" s="5"/>
      <c r="C1356" s="22"/>
      <c r="D1356" s="5"/>
      <c r="E1356" s="5"/>
      <c r="F1356" s="5"/>
      <c r="G1356" s="19"/>
      <c r="H1356" s="5"/>
    </row>
    <row r="1357" spans="1:8" x14ac:dyDescent="0.35">
      <c r="A1357" s="5"/>
      <c r="B1357" s="5"/>
      <c r="C1357" s="22"/>
      <c r="D1357" s="5"/>
      <c r="E1357" s="5"/>
      <c r="F1357" s="5"/>
      <c r="G1357" s="19"/>
      <c r="H1357" s="5"/>
    </row>
    <row r="1358" spans="1:8" x14ac:dyDescent="0.35">
      <c r="A1358" s="5"/>
      <c r="B1358" s="5"/>
      <c r="C1358" s="22"/>
      <c r="D1358" s="5"/>
      <c r="E1358" s="5"/>
      <c r="F1358" s="5"/>
      <c r="G1358" s="19"/>
      <c r="H1358" s="5"/>
    </row>
    <row r="1359" spans="1:8" x14ac:dyDescent="0.35">
      <c r="A1359" s="5"/>
      <c r="B1359" s="5"/>
      <c r="C1359" s="22"/>
      <c r="D1359" s="5"/>
      <c r="E1359" s="5"/>
      <c r="F1359" s="5"/>
      <c r="G1359" s="19"/>
      <c r="H1359" s="5"/>
    </row>
    <row r="1360" spans="1:8" x14ac:dyDescent="0.35">
      <c r="A1360" s="5"/>
      <c r="B1360" s="5"/>
      <c r="C1360" s="22"/>
      <c r="D1360" s="5"/>
      <c r="E1360" s="5"/>
      <c r="F1360" s="5"/>
      <c r="G1360" s="19"/>
      <c r="H1360" s="5"/>
    </row>
    <row r="1361" spans="1:8" x14ac:dyDescent="0.35">
      <c r="A1361" s="5"/>
      <c r="B1361" s="5"/>
      <c r="C1361" s="22"/>
      <c r="D1361" s="5"/>
      <c r="E1361" s="5"/>
      <c r="F1361" s="5"/>
      <c r="G1361" s="19"/>
      <c r="H1361" s="5"/>
    </row>
    <row r="1362" spans="1:8" x14ac:dyDescent="0.35">
      <c r="A1362" s="5"/>
      <c r="B1362" s="5"/>
      <c r="C1362" s="22"/>
      <c r="D1362" s="5"/>
      <c r="E1362" s="5"/>
      <c r="F1362" s="5"/>
      <c r="G1362" s="19"/>
      <c r="H1362" s="5"/>
    </row>
    <row r="1363" spans="1:8" x14ac:dyDescent="0.35">
      <c r="A1363" s="5"/>
      <c r="B1363" s="5"/>
      <c r="C1363" s="22"/>
      <c r="D1363" s="5"/>
      <c r="E1363" s="5"/>
      <c r="F1363" s="5"/>
      <c r="G1363" s="19"/>
      <c r="H1363" s="5"/>
    </row>
    <row r="1364" spans="1:8" x14ac:dyDescent="0.35">
      <c r="A1364" s="5"/>
      <c r="B1364" s="5"/>
      <c r="C1364" s="22"/>
      <c r="D1364" s="5"/>
      <c r="E1364" s="5"/>
      <c r="F1364" s="5"/>
      <c r="G1364" s="19"/>
      <c r="H1364" s="5"/>
    </row>
    <row r="1365" spans="1:8" x14ac:dyDescent="0.35">
      <c r="A1365" s="5"/>
      <c r="B1365" s="5"/>
      <c r="C1365" s="22"/>
      <c r="D1365" s="5"/>
      <c r="E1365" s="5"/>
      <c r="F1365" s="5"/>
      <c r="G1365" s="19"/>
      <c r="H1365" s="5"/>
    </row>
    <row r="1366" spans="1:8" x14ac:dyDescent="0.35">
      <c r="A1366" s="5"/>
      <c r="B1366" s="5"/>
      <c r="C1366" s="22"/>
      <c r="D1366" s="5"/>
      <c r="E1366" s="5"/>
      <c r="F1366" s="5"/>
      <c r="G1366" s="19"/>
      <c r="H1366" s="5"/>
    </row>
    <row r="1367" spans="1:8" x14ac:dyDescent="0.35">
      <c r="A1367" s="5"/>
      <c r="B1367" s="5"/>
      <c r="C1367" s="22"/>
      <c r="D1367" s="5"/>
      <c r="E1367" s="5"/>
      <c r="F1367" s="5"/>
      <c r="G1367" s="19"/>
      <c r="H1367" s="5"/>
    </row>
    <row r="1368" spans="1:8" x14ac:dyDescent="0.35">
      <c r="A1368" s="5"/>
      <c r="B1368" s="5"/>
      <c r="C1368" s="22"/>
      <c r="D1368" s="5"/>
      <c r="E1368" s="5"/>
      <c r="F1368" s="5"/>
      <c r="G1368" s="19"/>
      <c r="H1368" s="5"/>
    </row>
    <row r="1369" spans="1:8" x14ac:dyDescent="0.35">
      <c r="A1369" s="5"/>
      <c r="B1369" s="5"/>
      <c r="C1369" s="22"/>
      <c r="D1369" s="5"/>
      <c r="E1369" s="5"/>
      <c r="F1369" s="5"/>
      <c r="G1369" s="19"/>
      <c r="H1369" s="5"/>
    </row>
    <row r="1370" spans="1:8" x14ac:dyDescent="0.35">
      <c r="A1370" s="5"/>
      <c r="B1370" s="5"/>
      <c r="C1370" s="22"/>
      <c r="D1370" s="5"/>
      <c r="E1370" s="5"/>
      <c r="F1370" s="5"/>
      <c r="G1370" s="19"/>
      <c r="H1370" s="5"/>
    </row>
    <row r="1371" spans="1:8" x14ac:dyDescent="0.35">
      <c r="A1371" s="5"/>
      <c r="B1371" s="5"/>
      <c r="C1371" s="22"/>
      <c r="D1371" s="5"/>
      <c r="E1371" s="5"/>
      <c r="F1371" s="5"/>
      <c r="G1371" s="19"/>
      <c r="H1371" s="5"/>
    </row>
    <row r="1372" spans="1:8" x14ac:dyDescent="0.35">
      <c r="A1372" s="5"/>
      <c r="B1372" s="5"/>
      <c r="C1372" s="22"/>
      <c r="D1372" s="5"/>
      <c r="E1372" s="5"/>
      <c r="F1372" s="5"/>
      <c r="G1372" s="19"/>
      <c r="H1372" s="5"/>
    </row>
    <row r="1373" spans="1:8" x14ac:dyDescent="0.35">
      <c r="A1373" s="5"/>
      <c r="B1373" s="5"/>
      <c r="C1373" s="22"/>
      <c r="D1373" s="5"/>
      <c r="E1373" s="5"/>
      <c r="F1373" s="5"/>
      <c r="G1373" s="19"/>
      <c r="H1373" s="5"/>
    </row>
    <row r="1374" spans="1:8" x14ac:dyDescent="0.35">
      <c r="A1374" s="5"/>
      <c r="B1374" s="5"/>
      <c r="C1374" s="22"/>
      <c r="D1374" s="5"/>
      <c r="E1374" s="5"/>
      <c r="F1374" s="5"/>
      <c r="G1374" s="19"/>
      <c r="H1374" s="5"/>
    </row>
    <row r="1375" spans="1:8" x14ac:dyDescent="0.35">
      <c r="A1375" s="5"/>
      <c r="B1375" s="5"/>
      <c r="C1375" s="22"/>
      <c r="D1375" s="5"/>
      <c r="E1375" s="5"/>
      <c r="F1375" s="5"/>
      <c r="G1375" s="19"/>
      <c r="H1375" s="5"/>
    </row>
    <row r="1376" spans="1:8" x14ac:dyDescent="0.35">
      <c r="A1376" s="5"/>
      <c r="B1376" s="5"/>
      <c r="C1376" s="22"/>
      <c r="D1376" s="5"/>
      <c r="E1376" s="5"/>
      <c r="F1376" s="5"/>
      <c r="G1376" s="19"/>
      <c r="H1376" s="5"/>
    </row>
    <row r="1377" spans="1:8" x14ac:dyDescent="0.35">
      <c r="A1377" s="5"/>
      <c r="B1377" s="5"/>
      <c r="C1377" s="22"/>
      <c r="D1377" s="5"/>
      <c r="E1377" s="5"/>
      <c r="F1377" s="5"/>
      <c r="G1377" s="19"/>
      <c r="H1377" s="5"/>
    </row>
    <row r="1378" spans="1:8" x14ac:dyDescent="0.35">
      <c r="A1378" s="5"/>
      <c r="B1378" s="5"/>
      <c r="C1378" s="22"/>
      <c r="D1378" s="5"/>
      <c r="E1378" s="5"/>
      <c r="F1378" s="5"/>
      <c r="G1378" s="19"/>
      <c r="H1378" s="5"/>
    </row>
    <row r="1379" spans="1:8" x14ac:dyDescent="0.35">
      <c r="A1379" s="5"/>
      <c r="B1379" s="5"/>
      <c r="C1379" s="22"/>
      <c r="D1379" s="5"/>
      <c r="E1379" s="5"/>
      <c r="F1379" s="5"/>
      <c r="G1379" s="19"/>
      <c r="H1379" s="5"/>
    </row>
    <row r="1380" spans="1:8" x14ac:dyDescent="0.35">
      <c r="A1380" s="5"/>
      <c r="B1380" s="5"/>
      <c r="C1380" s="22"/>
      <c r="D1380" s="5"/>
      <c r="E1380" s="5"/>
      <c r="F1380" s="5"/>
      <c r="G1380" s="19"/>
      <c r="H1380" s="5"/>
    </row>
    <row r="1381" spans="1:8" x14ac:dyDescent="0.35">
      <c r="A1381" s="5"/>
      <c r="B1381" s="5"/>
      <c r="C1381" s="22"/>
      <c r="D1381" s="5"/>
      <c r="E1381" s="5"/>
      <c r="F1381" s="5"/>
      <c r="G1381" s="19"/>
      <c r="H1381" s="5"/>
    </row>
    <row r="1382" spans="1:8" x14ac:dyDescent="0.35">
      <c r="A1382" s="5"/>
      <c r="B1382" s="5"/>
      <c r="C1382" s="22"/>
      <c r="D1382" s="5"/>
      <c r="E1382" s="5"/>
      <c r="F1382" s="5"/>
      <c r="G1382" s="19"/>
      <c r="H1382" s="5"/>
    </row>
    <row r="1383" spans="1:8" x14ac:dyDescent="0.35">
      <c r="A1383" s="5"/>
      <c r="B1383" s="5"/>
      <c r="C1383" s="22"/>
      <c r="D1383" s="5"/>
      <c r="E1383" s="5"/>
      <c r="F1383" s="5"/>
      <c r="G1383" s="19"/>
      <c r="H1383" s="5"/>
    </row>
    <row r="1384" spans="1:8" x14ac:dyDescent="0.35">
      <c r="A1384" s="5"/>
      <c r="B1384" s="5"/>
      <c r="C1384" s="22"/>
      <c r="D1384" s="5"/>
      <c r="E1384" s="5"/>
      <c r="F1384" s="5"/>
      <c r="G1384" s="19"/>
      <c r="H1384" s="5"/>
    </row>
    <row r="1385" spans="1:8" x14ac:dyDescent="0.35">
      <c r="A1385" s="5"/>
      <c r="B1385" s="5"/>
      <c r="C1385" s="22"/>
      <c r="D1385" s="5"/>
      <c r="E1385" s="5"/>
      <c r="F1385" s="5"/>
      <c r="G1385" s="19"/>
      <c r="H1385" s="5"/>
    </row>
    <row r="1386" spans="1:8" x14ac:dyDescent="0.35">
      <c r="A1386" s="5"/>
      <c r="B1386" s="5"/>
      <c r="C1386" s="22"/>
      <c r="D1386" s="5"/>
      <c r="E1386" s="5"/>
      <c r="F1386" s="5"/>
      <c r="G1386" s="19"/>
      <c r="H1386" s="5"/>
    </row>
    <row r="1387" spans="1:8" x14ac:dyDescent="0.35">
      <c r="A1387" s="5"/>
      <c r="B1387" s="5"/>
      <c r="C1387" s="22"/>
      <c r="D1387" s="5"/>
      <c r="E1387" s="5"/>
      <c r="F1387" s="5"/>
      <c r="G1387" s="19"/>
      <c r="H1387" s="5"/>
    </row>
    <row r="1388" spans="1:8" x14ac:dyDescent="0.35">
      <c r="A1388" s="5"/>
      <c r="B1388" s="5"/>
      <c r="C1388" s="22"/>
      <c r="D1388" s="5"/>
      <c r="E1388" s="5"/>
      <c r="F1388" s="5"/>
      <c r="G1388" s="19"/>
      <c r="H1388" s="5"/>
    </row>
    <row r="1389" spans="1:8" x14ac:dyDescent="0.35">
      <c r="A1389" s="5"/>
      <c r="B1389" s="5"/>
      <c r="C1389" s="22"/>
      <c r="D1389" s="5"/>
      <c r="E1389" s="5"/>
      <c r="F1389" s="5"/>
      <c r="G1389" s="19"/>
      <c r="H1389" s="5"/>
    </row>
    <row r="1390" spans="1:8" x14ac:dyDescent="0.35">
      <c r="A1390" s="5"/>
      <c r="B1390" s="5"/>
      <c r="C1390" s="22"/>
      <c r="D1390" s="5"/>
      <c r="E1390" s="5"/>
      <c r="F1390" s="5"/>
      <c r="G1390" s="19"/>
      <c r="H1390" s="5"/>
    </row>
    <row r="1391" spans="1:8" x14ac:dyDescent="0.35">
      <c r="A1391" s="5"/>
      <c r="B1391" s="5"/>
      <c r="C1391" s="22"/>
      <c r="D1391" s="5"/>
      <c r="E1391" s="5"/>
      <c r="F1391" s="5"/>
      <c r="G1391" s="19"/>
      <c r="H1391" s="5"/>
    </row>
    <row r="1392" spans="1:8" x14ac:dyDescent="0.35">
      <c r="A1392" s="5"/>
      <c r="B1392" s="5"/>
      <c r="C1392" s="22"/>
      <c r="D1392" s="5"/>
      <c r="E1392" s="5"/>
      <c r="F1392" s="5"/>
      <c r="G1392" s="19"/>
      <c r="H1392" s="5"/>
    </row>
    <row r="1393" spans="1:8" x14ac:dyDescent="0.35">
      <c r="A1393" s="5"/>
      <c r="B1393" s="5"/>
      <c r="C1393" s="22"/>
      <c r="D1393" s="5"/>
      <c r="E1393" s="5"/>
      <c r="F1393" s="5"/>
      <c r="G1393" s="19"/>
      <c r="H1393" s="5"/>
    </row>
    <row r="1394" spans="1:8" x14ac:dyDescent="0.35">
      <c r="A1394" s="5"/>
      <c r="B1394" s="5"/>
      <c r="C1394" s="22"/>
      <c r="D1394" s="5"/>
      <c r="E1394" s="5"/>
      <c r="F1394" s="5"/>
      <c r="G1394" s="19"/>
      <c r="H1394" s="5"/>
    </row>
    <row r="1395" spans="1:8" x14ac:dyDescent="0.35">
      <c r="A1395" s="5"/>
      <c r="B1395" s="5"/>
      <c r="C1395" s="22"/>
      <c r="D1395" s="5"/>
      <c r="E1395" s="5"/>
      <c r="F1395" s="5"/>
      <c r="G1395" s="19"/>
      <c r="H1395" s="5"/>
    </row>
    <row r="1396" spans="1:8" x14ac:dyDescent="0.35">
      <c r="A1396" s="5"/>
      <c r="B1396" s="5"/>
      <c r="C1396" s="22"/>
      <c r="D1396" s="5"/>
      <c r="E1396" s="5"/>
      <c r="F1396" s="5"/>
      <c r="G1396" s="19"/>
      <c r="H1396" s="5"/>
    </row>
    <row r="1397" spans="1:8" x14ac:dyDescent="0.35">
      <c r="A1397" s="5"/>
      <c r="B1397" s="5"/>
      <c r="C1397" s="22"/>
      <c r="D1397" s="5"/>
      <c r="E1397" s="5"/>
      <c r="F1397" s="5"/>
      <c r="G1397" s="19"/>
      <c r="H1397" s="5"/>
    </row>
    <row r="1398" spans="1:8" x14ac:dyDescent="0.35">
      <c r="A1398" s="5"/>
      <c r="B1398" s="5"/>
      <c r="C1398" s="22"/>
      <c r="D1398" s="5"/>
      <c r="E1398" s="5"/>
      <c r="F1398" s="5"/>
      <c r="G1398" s="19"/>
      <c r="H1398" s="5"/>
    </row>
    <row r="1399" spans="1:8" x14ac:dyDescent="0.35">
      <c r="A1399" s="5"/>
      <c r="B1399" s="5"/>
      <c r="C1399" s="22"/>
      <c r="D1399" s="5"/>
      <c r="E1399" s="5"/>
      <c r="F1399" s="5"/>
      <c r="G1399" s="19"/>
      <c r="H1399" s="5"/>
    </row>
    <row r="1400" spans="1:8" x14ac:dyDescent="0.35">
      <c r="A1400" s="5"/>
      <c r="B1400" s="5"/>
      <c r="C1400" s="22"/>
      <c r="D1400" s="5"/>
      <c r="E1400" s="5"/>
      <c r="F1400" s="5"/>
      <c r="G1400" s="19"/>
      <c r="H1400" s="5"/>
    </row>
    <row r="1401" spans="1:8" x14ac:dyDescent="0.35">
      <c r="A1401" s="5"/>
      <c r="B1401" s="5"/>
      <c r="C1401" s="22"/>
      <c r="D1401" s="5"/>
      <c r="E1401" s="5"/>
      <c r="F1401" s="5"/>
      <c r="G1401" s="19"/>
      <c r="H1401" s="5"/>
    </row>
    <row r="1402" spans="1:8" x14ac:dyDescent="0.35">
      <c r="A1402" s="5"/>
      <c r="B1402" s="5"/>
      <c r="C1402" s="22"/>
      <c r="D1402" s="5"/>
      <c r="E1402" s="5"/>
      <c r="F1402" s="5"/>
      <c r="G1402" s="19"/>
      <c r="H1402" s="5"/>
    </row>
    <row r="1403" spans="1:8" x14ac:dyDescent="0.35">
      <c r="A1403" s="5"/>
      <c r="B1403" s="5"/>
      <c r="C1403" s="22"/>
      <c r="D1403" s="5"/>
      <c r="E1403" s="5"/>
      <c r="F1403" s="5"/>
      <c r="G1403" s="19"/>
      <c r="H1403" s="5"/>
    </row>
    <row r="1404" spans="1:8" x14ac:dyDescent="0.35">
      <c r="A1404" s="5"/>
      <c r="B1404" s="5"/>
      <c r="C1404" s="22"/>
      <c r="D1404" s="5"/>
      <c r="E1404" s="5"/>
      <c r="F1404" s="5"/>
      <c r="G1404" s="19"/>
      <c r="H1404" s="5"/>
    </row>
    <row r="1405" spans="1:8" x14ac:dyDescent="0.35">
      <c r="A1405" s="5"/>
      <c r="B1405" s="5"/>
      <c r="C1405" s="22"/>
      <c r="D1405" s="5"/>
      <c r="E1405" s="5"/>
      <c r="F1405" s="5"/>
      <c r="G1405" s="19"/>
      <c r="H1405" s="5"/>
    </row>
    <row r="1406" spans="1:8" x14ac:dyDescent="0.35">
      <c r="A1406" s="5"/>
      <c r="B1406" s="5"/>
      <c r="C1406" s="22"/>
      <c r="D1406" s="5"/>
      <c r="E1406" s="5"/>
      <c r="F1406" s="5"/>
      <c r="G1406" s="19"/>
      <c r="H1406" s="5"/>
    </row>
    <row r="1407" spans="1:8" x14ac:dyDescent="0.35">
      <c r="A1407" s="5"/>
      <c r="B1407" s="5"/>
      <c r="C1407" s="22"/>
      <c r="D1407" s="5"/>
      <c r="E1407" s="5"/>
      <c r="F1407" s="5"/>
      <c r="G1407" s="19"/>
      <c r="H1407" s="5"/>
    </row>
    <row r="1408" spans="1:8" x14ac:dyDescent="0.35">
      <c r="A1408" s="5"/>
      <c r="B1408" s="5"/>
      <c r="C1408" s="22"/>
      <c r="D1408" s="5"/>
      <c r="E1408" s="5"/>
      <c r="F1408" s="5"/>
      <c r="G1408" s="19"/>
      <c r="H1408" s="5"/>
    </row>
    <row r="1409" spans="1:8" x14ac:dyDescent="0.35">
      <c r="A1409" s="5"/>
      <c r="B1409" s="5"/>
      <c r="C1409" s="22"/>
      <c r="D1409" s="5"/>
      <c r="E1409" s="5"/>
      <c r="F1409" s="5"/>
      <c r="G1409" s="19"/>
      <c r="H1409" s="5"/>
    </row>
    <row r="1410" spans="1:8" x14ac:dyDescent="0.35">
      <c r="A1410" s="5"/>
      <c r="B1410" s="5"/>
      <c r="C1410" s="22"/>
      <c r="D1410" s="5"/>
      <c r="E1410" s="5"/>
      <c r="F1410" s="5"/>
      <c r="G1410" s="19"/>
      <c r="H1410" s="5"/>
    </row>
    <row r="1411" spans="1:8" x14ac:dyDescent="0.35">
      <c r="A1411" s="5"/>
      <c r="B1411" s="5"/>
      <c r="C1411" s="22"/>
      <c r="D1411" s="5"/>
      <c r="E1411" s="5"/>
      <c r="F1411" s="5"/>
      <c r="G1411" s="19"/>
      <c r="H1411" s="5"/>
    </row>
    <row r="1412" spans="1:8" x14ac:dyDescent="0.35">
      <c r="A1412" s="5"/>
      <c r="B1412" s="5"/>
      <c r="C1412" s="22"/>
      <c r="D1412" s="5"/>
      <c r="E1412" s="5"/>
      <c r="F1412" s="5"/>
      <c r="G1412" s="19"/>
      <c r="H1412" s="5"/>
    </row>
    <row r="1413" spans="1:8" x14ac:dyDescent="0.35">
      <c r="A1413" s="5"/>
      <c r="B1413" s="5"/>
      <c r="C1413" s="22"/>
      <c r="D1413" s="5"/>
      <c r="E1413" s="5"/>
      <c r="F1413" s="5"/>
      <c r="G1413" s="19"/>
      <c r="H1413" s="5"/>
    </row>
    <row r="1414" spans="1:8" x14ac:dyDescent="0.35">
      <c r="A1414" s="5"/>
      <c r="B1414" s="5"/>
      <c r="C1414" s="22"/>
      <c r="D1414" s="5"/>
      <c r="E1414" s="5"/>
      <c r="F1414" s="5"/>
      <c r="G1414" s="19"/>
      <c r="H1414" s="5"/>
    </row>
    <row r="1415" spans="1:8" x14ac:dyDescent="0.35">
      <c r="A1415" s="5"/>
      <c r="B1415" s="5"/>
      <c r="C1415" s="22"/>
      <c r="D1415" s="5"/>
      <c r="E1415" s="5"/>
      <c r="F1415" s="5"/>
      <c r="G1415" s="19"/>
      <c r="H1415" s="5"/>
    </row>
    <row r="1416" spans="1:8" x14ac:dyDescent="0.35">
      <c r="A1416" s="5"/>
      <c r="B1416" s="5"/>
      <c r="C1416" s="22"/>
      <c r="D1416" s="5"/>
      <c r="E1416" s="5"/>
      <c r="F1416" s="5"/>
      <c r="G1416" s="19"/>
      <c r="H1416" s="5"/>
    </row>
    <row r="1417" spans="1:8" x14ac:dyDescent="0.35">
      <c r="A1417" s="5"/>
      <c r="B1417" s="5"/>
      <c r="C1417" s="22"/>
      <c r="D1417" s="5"/>
      <c r="E1417" s="5"/>
      <c r="F1417" s="5"/>
      <c r="G1417" s="19"/>
      <c r="H1417" s="5"/>
    </row>
    <row r="1418" spans="1:8" x14ac:dyDescent="0.35">
      <c r="A1418" s="5"/>
      <c r="B1418" s="5"/>
      <c r="C1418" s="22"/>
      <c r="D1418" s="5"/>
      <c r="E1418" s="5"/>
      <c r="F1418" s="5"/>
      <c r="G1418" s="19"/>
      <c r="H1418" s="5"/>
    </row>
    <row r="1419" spans="1:8" x14ac:dyDescent="0.35">
      <c r="A1419" s="5"/>
      <c r="B1419" s="5"/>
      <c r="C1419" s="22"/>
      <c r="D1419" s="5"/>
      <c r="E1419" s="5"/>
      <c r="F1419" s="5"/>
      <c r="G1419" s="19"/>
      <c r="H1419" s="5"/>
    </row>
    <row r="1420" spans="1:8" x14ac:dyDescent="0.35">
      <c r="A1420" s="5"/>
      <c r="B1420" s="5"/>
      <c r="C1420" s="22"/>
      <c r="D1420" s="5"/>
      <c r="E1420" s="5"/>
      <c r="F1420" s="5"/>
      <c r="G1420" s="19"/>
      <c r="H1420" s="5"/>
    </row>
    <row r="1421" spans="1:8" x14ac:dyDescent="0.35">
      <c r="A1421" s="5"/>
      <c r="B1421" s="5"/>
      <c r="C1421" s="22"/>
      <c r="D1421" s="5"/>
      <c r="E1421" s="5"/>
      <c r="F1421" s="5"/>
      <c r="G1421" s="19"/>
      <c r="H1421" s="5"/>
    </row>
    <row r="1422" spans="1:8" x14ac:dyDescent="0.35">
      <c r="A1422" s="5"/>
      <c r="B1422" s="5"/>
      <c r="C1422" s="22"/>
      <c r="D1422" s="5"/>
      <c r="E1422" s="5"/>
      <c r="F1422" s="5"/>
      <c r="G1422" s="19"/>
      <c r="H1422" s="5"/>
    </row>
    <row r="1423" spans="1:8" x14ac:dyDescent="0.35">
      <c r="A1423" s="5"/>
      <c r="B1423" s="5"/>
      <c r="C1423" s="22"/>
      <c r="D1423" s="5"/>
      <c r="E1423" s="5"/>
      <c r="F1423" s="5"/>
      <c r="G1423" s="19"/>
      <c r="H1423" s="5"/>
    </row>
    <row r="1424" spans="1:8" x14ac:dyDescent="0.35">
      <c r="A1424" s="5"/>
      <c r="B1424" s="5"/>
      <c r="C1424" s="22"/>
      <c r="D1424" s="5"/>
      <c r="E1424" s="5"/>
      <c r="F1424" s="5"/>
      <c r="G1424" s="19"/>
      <c r="H1424" s="5"/>
    </row>
    <row r="1425" spans="1:8" x14ac:dyDescent="0.35">
      <c r="A1425" s="5"/>
      <c r="B1425" s="5"/>
      <c r="C1425" s="22"/>
      <c r="D1425" s="5"/>
      <c r="E1425" s="5"/>
      <c r="F1425" s="5"/>
      <c r="G1425" s="19"/>
      <c r="H1425" s="5"/>
    </row>
    <row r="1426" spans="1:8" x14ac:dyDescent="0.35">
      <c r="A1426" s="5"/>
      <c r="B1426" s="5"/>
      <c r="C1426" s="22"/>
      <c r="D1426" s="5"/>
      <c r="E1426" s="5"/>
      <c r="F1426" s="5"/>
      <c r="G1426" s="19"/>
      <c r="H1426" s="5"/>
    </row>
    <row r="1427" spans="1:8" x14ac:dyDescent="0.35">
      <c r="A1427" s="5"/>
      <c r="B1427" s="5"/>
      <c r="C1427" s="22"/>
      <c r="D1427" s="5"/>
      <c r="E1427" s="5"/>
      <c r="F1427" s="5"/>
      <c r="G1427" s="19"/>
      <c r="H1427" s="5"/>
    </row>
    <row r="1428" spans="1:8" x14ac:dyDescent="0.35">
      <c r="A1428" s="5"/>
      <c r="B1428" s="5"/>
      <c r="C1428" s="22"/>
      <c r="D1428" s="5"/>
      <c r="E1428" s="5"/>
      <c r="F1428" s="5"/>
      <c r="G1428" s="19"/>
      <c r="H1428" s="5"/>
    </row>
    <row r="1429" spans="1:8" x14ac:dyDescent="0.35">
      <c r="A1429" s="5"/>
      <c r="B1429" s="5"/>
      <c r="C1429" s="22"/>
      <c r="D1429" s="5"/>
      <c r="E1429" s="5"/>
      <c r="F1429" s="5"/>
      <c r="G1429" s="19"/>
      <c r="H1429" s="5"/>
    </row>
    <row r="1430" spans="1:8" x14ac:dyDescent="0.35">
      <c r="A1430" s="5"/>
      <c r="B1430" s="5"/>
      <c r="C1430" s="22"/>
      <c r="D1430" s="5"/>
      <c r="E1430" s="5"/>
      <c r="F1430" s="5"/>
      <c r="G1430" s="19"/>
      <c r="H1430" s="5"/>
    </row>
    <row r="1431" spans="1:8" x14ac:dyDescent="0.35">
      <c r="A1431" s="5"/>
      <c r="B1431" s="5"/>
      <c r="C1431" s="22"/>
      <c r="D1431" s="5"/>
      <c r="E1431" s="5"/>
      <c r="F1431" s="5"/>
      <c r="G1431" s="19"/>
      <c r="H1431" s="5"/>
    </row>
    <row r="1432" spans="1:8" x14ac:dyDescent="0.35">
      <c r="A1432" s="5"/>
      <c r="B1432" s="5"/>
      <c r="C1432" s="22"/>
      <c r="D1432" s="5"/>
      <c r="E1432" s="5"/>
      <c r="F1432" s="5"/>
      <c r="G1432" s="19"/>
      <c r="H1432" s="5"/>
    </row>
    <row r="1433" spans="1:8" x14ac:dyDescent="0.35">
      <c r="A1433" s="5"/>
      <c r="B1433" s="5"/>
      <c r="C1433" s="22"/>
      <c r="D1433" s="5"/>
      <c r="E1433" s="5"/>
      <c r="F1433" s="5"/>
      <c r="G1433" s="19"/>
      <c r="H1433" s="5"/>
    </row>
    <row r="1434" spans="1:8" x14ac:dyDescent="0.35">
      <c r="A1434" s="5"/>
      <c r="B1434" s="5"/>
      <c r="C1434" s="22"/>
      <c r="D1434" s="5"/>
      <c r="E1434" s="5"/>
      <c r="F1434" s="5"/>
      <c r="G1434" s="19"/>
      <c r="H1434" s="5"/>
    </row>
    <row r="1435" spans="1:8" x14ac:dyDescent="0.35">
      <c r="A1435" s="5"/>
      <c r="B1435" s="5"/>
      <c r="C1435" s="22"/>
      <c r="D1435" s="5"/>
      <c r="E1435" s="5"/>
      <c r="F1435" s="5"/>
      <c r="G1435" s="19"/>
      <c r="H1435" s="5"/>
    </row>
    <row r="1436" spans="1:8" x14ac:dyDescent="0.35">
      <c r="A1436" s="5"/>
      <c r="B1436" s="5"/>
      <c r="C1436" s="22"/>
      <c r="D1436" s="5"/>
      <c r="E1436" s="5"/>
      <c r="F1436" s="5"/>
      <c r="G1436" s="19"/>
      <c r="H1436" s="5"/>
    </row>
    <row r="1437" spans="1:8" x14ac:dyDescent="0.35">
      <c r="A1437" s="5"/>
      <c r="B1437" s="5"/>
      <c r="C1437" s="22"/>
      <c r="D1437" s="5"/>
      <c r="E1437" s="5"/>
      <c r="F1437" s="5"/>
      <c r="G1437" s="19"/>
      <c r="H1437" s="5"/>
    </row>
    <row r="1438" spans="1:8" x14ac:dyDescent="0.35">
      <c r="A1438" s="5"/>
      <c r="B1438" s="5"/>
      <c r="C1438" s="22"/>
      <c r="D1438" s="5"/>
      <c r="E1438" s="5"/>
      <c r="F1438" s="5"/>
      <c r="G1438" s="19"/>
      <c r="H1438" s="5"/>
    </row>
    <row r="1439" spans="1:8" x14ac:dyDescent="0.35">
      <c r="A1439" s="5"/>
      <c r="B1439" s="5"/>
      <c r="C1439" s="22"/>
      <c r="D1439" s="5"/>
      <c r="E1439" s="5"/>
      <c r="F1439" s="5"/>
      <c r="G1439" s="19"/>
      <c r="H1439" s="5"/>
    </row>
    <row r="1440" spans="1:8" x14ac:dyDescent="0.35">
      <c r="A1440" s="5"/>
      <c r="B1440" s="5"/>
      <c r="C1440" s="22"/>
      <c r="D1440" s="5"/>
      <c r="E1440" s="5"/>
      <c r="F1440" s="5"/>
      <c r="G1440" s="19"/>
      <c r="H1440" s="5"/>
    </row>
    <row r="1441" spans="1:8" x14ac:dyDescent="0.35">
      <c r="A1441" s="5"/>
      <c r="B1441" s="5"/>
      <c r="C1441" s="22"/>
      <c r="D1441" s="5"/>
      <c r="E1441" s="5"/>
      <c r="F1441" s="5"/>
      <c r="G1441" s="19"/>
      <c r="H1441" s="5"/>
    </row>
    <row r="1442" spans="1:8" x14ac:dyDescent="0.35">
      <c r="A1442" s="5"/>
      <c r="B1442" s="5"/>
      <c r="C1442" s="22"/>
      <c r="D1442" s="5"/>
      <c r="E1442" s="5"/>
      <c r="F1442" s="5"/>
      <c r="G1442" s="19"/>
      <c r="H1442" s="5"/>
    </row>
    <row r="1443" spans="1:8" x14ac:dyDescent="0.35">
      <c r="A1443" s="5"/>
      <c r="B1443" s="5"/>
      <c r="C1443" s="22"/>
      <c r="D1443" s="5"/>
      <c r="E1443" s="5"/>
      <c r="F1443" s="5"/>
      <c r="G1443" s="19"/>
      <c r="H1443" s="5"/>
    </row>
    <row r="1444" spans="1:8" x14ac:dyDescent="0.35">
      <c r="A1444" s="5"/>
      <c r="B1444" s="5"/>
      <c r="C1444" s="22"/>
      <c r="D1444" s="5"/>
      <c r="E1444" s="5"/>
      <c r="F1444" s="5"/>
      <c r="G1444" s="19"/>
      <c r="H1444" s="5"/>
    </row>
    <row r="1445" spans="1:8" x14ac:dyDescent="0.35">
      <c r="A1445" s="5"/>
      <c r="B1445" s="5"/>
      <c r="C1445" s="22"/>
      <c r="D1445" s="5"/>
      <c r="E1445" s="5"/>
      <c r="F1445" s="5"/>
      <c r="G1445" s="19"/>
      <c r="H1445" s="5"/>
    </row>
    <row r="1446" spans="1:8" x14ac:dyDescent="0.35">
      <c r="A1446" s="5"/>
      <c r="B1446" s="5"/>
      <c r="C1446" s="22"/>
      <c r="D1446" s="5"/>
      <c r="E1446" s="5"/>
      <c r="F1446" s="5"/>
      <c r="G1446" s="19"/>
      <c r="H1446" s="5"/>
    </row>
    <row r="1447" spans="1:8" x14ac:dyDescent="0.35">
      <c r="A1447" s="5"/>
      <c r="B1447" s="5"/>
      <c r="C1447" s="22"/>
      <c r="D1447" s="5"/>
      <c r="E1447" s="5"/>
      <c r="F1447" s="5"/>
      <c r="G1447" s="19"/>
      <c r="H1447" s="5"/>
    </row>
    <row r="1448" spans="1:8" x14ac:dyDescent="0.35">
      <c r="A1448" s="5"/>
      <c r="B1448" s="5"/>
      <c r="C1448" s="22"/>
      <c r="D1448" s="5"/>
      <c r="E1448" s="5"/>
      <c r="F1448" s="5"/>
      <c r="G1448" s="19"/>
      <c r="H1448" s="5"/>
    </row>
    <row r="1449" spans="1:8" x14ac:dyDescent="0.35">
      <c r="A1449" s="5"/>
      <c r="B1449" s="5"/>
      <c r="C1449" s="22"/>
      <c r="D1449" s="5"/>
      <c r="E1449" s="5"/>
      <c r="F1449" s="5"/>
      <c r="G1449" s="19"/>
      <c r="H1449" s="5"/>
    </row>
    <row r="1450" spans="1:8" x14ac:dyDescent="0.35">
      <c r="A1450" s="5"/>
      <c r="B1450" s="5"/>
      <c r="C1450" s="22"/>
      <c r="D1450" s="5"/>
      <c r="E1450" s="5"/>
      <c r="F1450" s="5"/>
      <c r="G1450" s="19"/>
      <c r="H1450" s="5"/>
    </row>
    <row r="1451" spans="1:8" x14ac:dyDescent="0.35">
      <c r="A1451" s="5"/>
      <c r="B1451" s="5"/>
      <c r="C1451" s="22"/>
      <c r="D1451" s="5"/>
      <c r="E1451" s="5"/>
      <c r="F1451" s="5"/>
      <c r="G1451" s="19"/>
      <c r="H1451" s="5"/>
    </row>
    <row r="1452" spans="1:8" x14ac:dyDescent="0.35">
      <c r="A1452" s="5"/>
      <c r="B1452" s="5"/>
      <c r="C1452" s="22"/>
      <c r="D1452" s="5"/>
      <c r="E1452" s="5"/>
      <c r="F1452" s="5"/>
      <c r="G1452" s="19"/>
      <c r="H1452" s="5"/>
    </row>
    <row r="1453" spans="1:8" x14ac:dyDescent="0.35">
      <c r="A1453" s="5"/>
      <c r="B1453" s="5"/>
      <c r="C1453" s="22"/>
      <c r="D1453" s="5"/>
      <c r="E1453" s="5"/>
      <c r="F1453" s="5"/>
      <c r="G1453" s="19"/>
      <c r="H1453" s="5"/>
    </row>
    <row r="1454" spans="1:8" x14ac:dyDescent="0.35">
      <c r="A1454" s="5"/>
      <c r="B1454" s="5"/>
      <c r="C1454" s="22"/>
      <c r="D1454" s="5"/>
      <c r="E1454" s="5"/>
      <c r="F1454" s="5"/>
      <c r="G1454" s="19"/>
      <c r="H1454" s="5"/>
    </row>
    <row r="1455" spans="1:8" x14ac:dyDescent="0.35">
      <c r="A1455" s="5"/>
      <c r="B1455" s="5"/>
      <c r="C1455" s="22"/>
      <c r="D1455" s="5"/>
      <c r="E1455" s="5"/>
      <c r="F1455" s="5"/>
      <c r="G1455" s="19"/>
      <c r="H1455" s="5"/>
    </row>
    <row r="1456" spans="1:8" x14ac:dyDescent="0.35">
      <c r="A1456" s="5"/>
      <c r="B1456" s="5"/>
      <c r="C1456" s="22"/>
      <c r="D1456" s="5"/>
      <c r="E1456" s="5"/>
      <c r="F1456" s="5"/>
      <c r="G1456" s="19"/>
      <c r="H1456" s="5"/>
    </row>
    <row r="1457" spans="1:8" x14ac:dyDescent="0.35">
      <c r="A1457" s="5"/>
      <c r="B1457" s="5"/>
      <c r="C1457" s="22"/>
      <c r="D1457" s="5"/>
      <c r="E1457" s="5"/>
      <c r="F1457" s="5"/>
      <c r="G1457" s="19"/>
      <c r="H1457" s="5"/>
    </row>
    <row r="1458" spans="1:8" x14ac:dyDescent="0.35">
      <c r="A1458" s="5"/>
      <c r="B1458" s="5"/>
      <c r="C1458" s="22"/>
      <c r="D1458" s="5"/>
      <c r="E1458" s="5"/>
      <c r="F1458" s="5"/>
      <c r="G1458" s="19"/>
      <c r="H1458" s="5"/>
    </row>
    <row r="1459" spans="1:8" x14ac:dyDescent="0.35">
      <c r="A1459" s="5"/>
      <c r="B1459" s="5"/>
      <c r="C1459" s="22"/>
      <c r="D1459" s="5"/>
      <c r="E1459" s="5"/>
      <c r="F1459" s="5"/>
      <c r="G1459" s="19"/>
      <c r="H1459" s="5"/>
    </row>
    <row r="1460" spans="1:8" x14ac:dyDescent="0.35">
      <c r="A1460" s="5"/>
      <c r="B1460" s="5"/>
      <c r="C1460" s="22"/>
      <c r="D1460" s="5"/>
      <c r="E1460" s="5"/>
      <c r="F1460" s="5"/>
      <c r="G1460" s="19"/>
      <c r="H1460" s="5"/>
    </row>
    <row r="1461" spans="1:8" x14ac:dyDescent="0.35">
      <c r="A1461" s="5"/>
      <c r="B1461" s="5"/>
      <c r="C1461" s="22"/>
      <c r="D1461" s="5"/>
      <c r="E1461" s="5"/>
      <c r="F1461" s="5"/>
      <c r="G1461" s="19"/>
      <c r="H1461" s="5"/>
    </row>
    <row r="1462" spans="1:8" x14ac:dyDescent="0.35">
      <c r="A1462" s="5"/>
      <c r="B1462" s="5"/>
      <c r="C1462" s="22"/>
      <c r="D1462" s="5"/>
      <c r="E1462" s="5"/>
      <c r="F1462" s="5"/>
      <c r="G1462" s="19"/>
      <c r="H1462" s="5"/>
    </row>
    <row r="1463" spans="1:8" x14ac:dyDescent="0.35">
      <c r="A1463" s="5"/>
      <c r="B1463" s="5"/>
      <c r="C1463" s="22"/>
      <c r="D1463" s="5"/>
      <c r="E1463" s="5"/>
      <c r="F1463" s="5"/>
      <c r="G1463" s="19"/>
      <c r="H1463" s="5"/>
    </row>
    <row r="1464" spans="1:8" x14ac:dyDescent="0.35">
      <c r="A1464" s="5"/>
      <c r="B1464" s="5"/>
      <c r="C1464" s="22"/>
      <c r="D1464" s="5"/>
      <c r="E1464" s="5"/>
      <c r="F1464" s="5"/>
      <c r="G1464" s="19"/>
      <c r="H1464" s="5"/>
    </row>
    <row r="1465" spans="1:8" x14ac:dyDescent="0.35">
      <c r="A1465" s="5"/>
      <c r="B1465" s="5"/>
      <c r="C1465" s="22"/>
      <c r="D1465" s="5"/>
      <c r="E1465" s="5"/>
      <c r="F1465" s="5"/>
      <c r="G1465" s="19"/>
      <c r="H1465" s="5"/>
    </row>
    <row r="1466" spans="1:8" x14ac:dyDescent="0.35">
      <c r="A1466" s="5"/>
      <c r="B1466" s="5"/>
      <c r="C1466" s="22"/>
      <c r="D1466" s="5"/>
      <c r="E1466" s="5"/>
      <c r="F1466" s="5"/>
      <c r="G1466" s="19"/>
      <c r="H1466" s="5"/>
    </row>
    <row r="1467" spans="1:8" x14ac:dyDescent="0.35">
      <c r="A1467" s="5"/>
      <c r="B1467" s="5"/>
      <c r="C1467" s="22"/>
      <c r="D1467" s="5"/>
      <c r="E1467" s="5"/>
      <c r="F1467" s="5"/>
      <c r="G1467" s="19"/>
      <c r="H1467" s="5"/>
    </row>
    <row r="1468" spans="1:8" x14ac:dyDescent="0.35">
      <c r="A1468" s="5"/>
      <c r="B1468" s="5"/>
      <c r="C1468" s="22"/>
      <c r="D1468" s="5"/>
      <c r="E1468" s="5"/>
      <c r="F1468" s="5"/>
      <c r="G1468" s="19"/>
      <c r="H1468" s="5"/>
    </row>
    <row r="1469" spans="1:8" x14ac:dyDescent="0.35">
      <c r="A1469" s="5"/>
      <c r="B1469" s="5"/>
      <c r="C1469" s="22"/>
      <c r="D1469" s="5"/>
      <c r="E1469" s="5"/>
      <c r="F1469" s="5"/>
      <c r="G1469" s="19"/>
      <c r="H1469" s="5"/>
    </row>
    <row r="1470" spans="1:8" x14ac:dyDescent="0.35">
      <c r="A1470" s="5"/>
      <c r="B1470" s="5"/>
      <c r="C1470" s="22"/>
      <c r="D1470" s="5"/>
      <c r="E1470" s="5"/>
      <c r="F1470" s="5"/>
      <c r="G1470" s="19"/>
      <c r="H1470" s="5"/>
    </row>
    <row r="1471" spans="1:8" x14ac:dyDescent="0.35">
      <c r="A1471" s="5"/>
      <c r="B1471" s="5"/>
      <c r="C1471" s="22"/>
      <c r="D1471" s="5"/>
      <c r="E1471" s="5"/>
      <c r="F1471" s="5"/>
      <c r="G1471" s="19"/>
      <c r="H1471" s="5"/>
    </row>
    <row r="1472" spans="1:8" x14ac:dyDescent="0.35">
      <c r="A1472" s="5"/>
      <c r="B1472" s="5"/>
      <c r="C1472" s="22"/>
      <c r="D1472" s="5"/>
      <c r="E1472" s="5"/>
      <c r="F1472" s="5"/>
      <c r="G1472" s="19"/>
      <c r="H1472" s="5"/>
    </row>
    <row r="1473" spans="1:8" x14ac:dyDescent="0.35">
      <c r="A1473" s="5"/>
      <c r="B1473" s="5"/>
      <c r="C1473" s="22"/>
      <c r="D1473" s="5"/>
      <c r="E1473" s="5"/>
      <c r="F1473" s="5"/>
      <c r="G1473" s="19"/>
      <c r="H1473" s="5"/>
    </row>
    <row r="1474" spans="1:8" x14ac:dyDescent="0.35">
      <c r="A1474" s="5"/>
      <c r="B1474" s="5"/>
      <c r="C1474" s="22"/>
      <c r="D1474" s="5"/>
      <c r="E1474" s="5"/>
      <c r="F1474" s="5"/>
      <c r="G1474" s="19"/>
      <c r="H1474" s="5"/>
    </row>
    <row r="1475" spans="1:8" x14ac:dyDescent="0.35">
      <c r="A1475" s="5"/>
      <c r="B1475" s="5"/>
      <c r="C1475" s="22"/>
      <c r="D1475" s="5"/>
      <c r="E1475" s="5"/>
      <c r="F1475" s="5"/>
      <c r="G1475" s="19"/>
      <c r="H1475" s="5"/>
    </row>
    <row r="1476" spans="1:8" x14ac:dyDescent="0.35">
      <c r="A1476" s="5"/>
      <c r="B1476" s="5"/>
      <c r="C1476" s="22"/>
      <c r="D1476" s="5"/>
      <c r="E1476" s="5"/>
      <c r="F1476" s="5"/>
      <c r="G1476" s="19"/>
      <c r="H1476" s="5"/>
    </row>
    <row r="1477" spans="1:8" x14ac:dyDescent="0.35">
      <c r="A1477" s="5"/>
      <c r="B1477" s="5"/>
      <c r="C1477" s="22"/>
      <c r="D1477" s="5"/>
      <c r="E1477" s="5"/>
      <c r="F1477" s="5"/>
      <c r="G1477" s="19"/>
      <c r="H1477" s="5"/>
    </row>
    <row r="1478" spans="1:8" x14ac:dyDescent="0.35">
      <c r="A1478" s="5"/>
      <c r="B1478" s="5"/>
      <c r="C1478" s="22"/>
      <c r="D1478" s="5"/>
      <c r="E1478" s="5"/>
      <c r="F1478" s="5"/>
      <c r="G1478" s="19"/>
      <c r="H1478" s="5"/>
    </row>
    <row r="1479" spans="1:8" x14ac:dyDescent="0.35">
      <c r="A1479" s="5"/>
      <c r="B1479" s="5"/>
      <c r="C1479" s="22"/>
      <c r="D1479" s="5"/>
      <c r="E1479" s="5"/>
      <c r="F1479" s="5"/>
      <c r="G1479" s="19"/>
      <c r="H1479" s="5"/>
    </row>
    <row r="1480" spans="1:8" x14ac:dyDescent="0.35">
      <c r="A1480" s="5"/>
      <c r="B1480" s="5"/>
      <c r="C1480" s="22"/>
      <c r="D1480" s="5"/>
      <c r="E1480" s="5"/>
      <c r="F1480" s="5"/>
      <c r="G1480" s="19"/>
      <c r="H1480" s="5"/>
    </row>
    <row r="1481" spans="1:8" x14ac:dyDescent="0.35">
      <c r="A1481" s="5"/>
      <c r="B1481" s="5"/>
      <c r="C1481" s="22"/>
      <c r="D1481" s="5"/>
      <c r="E1481" s="5"/>
      <c r="F1481" s="5"/>
      <c r="G1481" s="19"/>
      <c r="H1481" s="5"/>
    </row>
    <row r="1482" spans="1:8" x14ac:dyDescent="0.35">
      <c r="A1482" s="5"/>
      <c r="B1482" s="5"/>
      <c r="C1482" s="22"/>
      <c r="D1482" s="5"/>
      <c r="E1482" s="5"/>
      <c r="F1482" s="5"/>
      <c r="G1482" s="19"/>
      <c r="H1482" s="5"/>
    </row>
    <row r="1483" spans="1:8" x14ac:dyDescent="0.35">
      <c r="A1483" s="5"/>
      <c r="B1483" s="5"/>
      <c r="C1483" s="22"/>
      <c r="D1483" s="5"/>
      <c r="E1483" s="5"/>
      <c r="F1483" s="5"/>
      <c r="G1483" s="19"/>
      <c r="H1483" s="5"/>
    </row>
    <row r="1484" spans="1:8" x14ac:dyDescent="0.35">
      <c r="A1484" s="5"/>
      <c r="B1484" s="5"/>
      <c r="C1484" s="22"/>
      <c r="D1484" s="5"/>
      <c r="E1484" s="5"/>
      <c r="F1484" s="5"/>
      <c r="G1484" s="19"/>
      <c r="H1484" s="5"/>
    </row>
    <row r="1485" spans="1:8" x14ac:dyDescent="0.35">
      <c r="A1485" s="5"/>
      <c r="B1485" s="5"/>
      <c r="C1485" s="22"/>
      <c r="D1485" s="5"/>
      <c r="E1485" s="5"/>
      <c r="F1485" s="5"/>
      <c r="G1485" s="19"/>
      <c r="H1485" s="5"/>
    </row>
    <row r="1486" spans="1:8" x14ac:dyDescent="0.35">
      <c r="A1486" s="5"/>
      <c r="B1486" s="5"/>
      <c r="C1486" s="22"/>
      <c r="D1486" s="5"/>
      <c r="E1486" s="5"/>
      <c r="F1486" s="5"/>
      <c r="G1486" s="19"/>
      <c r="H1486" s="5"/>
    </row>
    <row r="1487" spans="1:8" x14ac:dyDescent="0.35">
      <c r="A1487" s="5"/>
      <c r="B1487" s="5"/>
      <c r="C1487" s="22"/>
      <c r="D1487" s="5"/>
      <c r="E1487" s="5"/>
      <c r="F1487" s="5"/>
      <c r="G1487" s="19"/>
      <c r="H1487" s="5"/>
    </row>
    <row r="1488" spans="1:8" x14ac:dyDescent="0.35">
      <c r="A1488" s="5"/>
      <c r="B1488" s="5"/>
      <c r="C1488" s="22"/>
      <c r="D1488" s="5"/>
      <c r="E1488" s="5"/>
      <c r="F1488" s="5"/>
      <c r="G1488" s="19"/>
      <c r="H1488" s="5"/>
    </row>
    <row r="1489" spans="1:8" x14ac:dyDescent="0.35">
      <c r="A1489" s="5"/>
      <c r="B1489" s="5"/>
      <c r="C1489" s="22"/>
      <c r="D1489" s="5"/>
      <c r="E1489" s="5"/>
      <c r="F1489" s="5"/>
      <c r="G1489" s="19"/>
      <c r="H1489" s="5"/>
    </row>
    <row r="1490" spans="1:8" x14ac:dyDescent="0.35">
      <c r="A1490" s="5"/>
      <c r="B1490" s="5"/>
      <c r="C1490" s="22"/>
      <c r="D1490" s="5"/>
      <c r="E1490" s="5"/>
      <c r="F1490" s="5"/>
      <c r="G1490" s="19"/>
      <c r="H1490" s="5"/>
    </row>
    <row r="1491" spans="1:8" x14ac:dyDescent="0.35">
      <c r="A1491" s="5"/>
      <c r="B1491" s="5"/>
      <c r="C1491" s="22"/>
      <c r="D1491" s="5"/>
      <c r="E1491" s="5"/>
      <c r="F1491" s="5"/>
      <c r="G1491" s="19"/>
      <c r="H1491" s="5"/>
    </row>
    <row r="1492" spans="1:8" x14ac:dyDescent="0.35">
      <c r="A1492" s="5"/>
      <c r="B1492" s="5"/>
      <c r="C1492" s="22"/>
      <c r="D1492" s="5"/>
      <c r="E1492" s="5"/>
      <c r="F1492" s="5"/>
      <c r="G1492" s="19"/>
      <c r="H1492" s="5"/>
    </row>
    <row r="1493" spans="1:8" x14ac:dyDescent="0.35">
      <c r="A1493" s="5"/>
      <c r="B1493" s="5"/>
      <c r="C1493" s="22"/>
      <c r="D1493" s="5"/>
      <c r="E1493" s="5"/>
      <c r="F1493" s="5"/>
      <c r="G1493" s="19"/>
      <c r="H1493" s="5"/>
    </row>
    <row r="1494" spans="1:8" x14ac:dyDescent="0.35">
      <c r="A1494" s="5"/>
      <c r="B1494" s="5"/>
      <c r="C1494" s="22"/>
      <c r="D1494" s="5"/>
      <c r="E1494" s="5"/>
      <c r="F1494" s="5"/>
      <c r="G1494" s="19"/>
      <c r="H1494" s="5"/>
    </row>
    <row r="1495" spans="1:8" x14ac:dyDescent="0.35">
      <c r="A1495" s="5"/>
      <c r="B1495" s="5"/>
      <c r="C1495" s="22"/>
      <c r="D1495" s="5"/>
      <c r="E1495" s="5"/>
      <c r="F1495" s="5"/>
      <c r="G1495" s="19"/>
      <c r="H1495" s="5"/>
    </row>
    <row r="1496" spans="1:8" x14ac:dyDescent="0.35">
      <c r="A1496" s="5"/>
      <c r="B1496" s="5"/>
      <c r="C1496" s="22"/>
      <c r="D1496" s="5"/>
      <c r="E1496" s="5"/>
      <c r="F1496" s="5"/>
      <c r="G1496" s="19"/>
      <c r="H1496" s="5"/>
    </row>
    <row r="1497" spans="1:8" x14ac:dyDescent="0.35">
      <c r="A1497" s="5"/>
      <c r="B1497" s="5"/>
      <c r="C1497" s="22"/>
      <c r="D1497" s="5"/>
      <c r="E1497" s="5"/>
      <c r="F1497" s="5"/>
      <c r="G1497" s="19"/>
      <c r="H1497" s="5"/>
    </row>
    <row r="1498" spans="1:8" x14ac:dyDescent="0.35">
      <c r="A1498" s="5"/>
      <c r="B1498" s="5"/>
      <c r="C1498" s="22"/>
      <c r="D1498" s="5"/>
      <c r="E1498" s="5"/>
      <c r="F1498" s="5"/>
      <c r="G1498" s="19"/>
      <c r="H1498" s="5"/>
    </row>
    <row r="1499" spans="1:8" x14ac:dyDescent="0.35">
      <c r="A1499" s="5"/>
      <c r="B1499" s="5"/>
      <c r="C1499" s="22"/>
      <c r="D1499" s="5"/>
      <c r="E1499" s="5"/>
      <c r="F1499" s="5"/>
      <c r="G1499" s="19"/>
      <c r="H1499" s="5"/>
    </row>
    <row r="1500" spans="1:8" x14ac:dyDescent="0.35">
      <c r="A1500" s="5"/>
      <c r="B1500" s="5"/>
      <c r="C1500" s="22"/>
      <c r="D1500" s="5"/>
      <c r="E1500" s="5"/>
      <c r="F1500" s="5"/>
      <c r="G1500" s="19"/>
      <c r="H1500" s="5"/>
    </row>
    <row r="1501" spans="1:8" x14ac:dyDescent="0.35">
      <c r="A1501" s="5"/>
      <c r="B1501" s="5"/>
      <c r="C1501" s="22"/>
      <c r="D1501" s="5"/>
      <c r="E1501" s="5"/>
      <c r="F1501" s="5"/>
      <c r="G1501" s="19"/>
      <c r="H1501" s="5"/>
    </row>
    <row r="1502" spans="1:8" x14ac:dyDescent="0.35">
      <c r="A1502" s="5"/>
      <c r="B1502" s="5"/>
      <c r="C1502" s="22"/>
      <c r="D1502" s="5"/>
      <c r="E1502" s="5"/>
      <c r="F1502" s="5"/>
      <c r="G1502" s="19"/>
      <c r="H1502" s="5"/>
    </row>
    <row r="1503" spans="1:8" x14ac:dyDescent="0.35">
      <c r="A1503" s="5"/>
      <c r="B1503" s="5"/>
      <c r="C1503" s="22"/>
      <c r="D1503" s="5"/>
      <c r="E1503" s="5"/>
      <c r="F1503" s="5"/>
      <c r="G1503" s="19"/>
      <c r="H1503" s="5"/>
    </row>
    <row r="1504" spans="1:8" x14ac:dyDescent="0.35">
      <c r="A1504" s="5"/>
      <c r="B1504" s="5"/>
      <c r="C1504" s="22"/>
      <c r="D1504" s="5"/>
      <c r="E1504" s="5"/>
      <c r="F1504" s="5"/>
      <c r="G1504" s="19"/>
      <c r="H1504" s="5"/>
    </row>
    <row r="1505" spans="1:8" x14ac:dyDescent="0.35">
      <c r="A1505" s="5"/>
      <c r="B1505" s="5"/>
      <c r="C1505" s="22"/>
      <c r="D1505" s="5"/>
      <c r="E1505" s="5"/>
      <c r="F1505" s="5"/>
      <c r="G1505" s="19"/>
      <c r="H1505" s="5"/>
    </row>
    <row r="1506" spans="1:8" x14ac:dyDescent="0.35">
      <c r="A1506" s="5"/>
      <c r="B1506" s="5"/>
      <c r="C1506" s="22"/>
      <c r="D1506" s="5"/>
      <c r="E1506" s="5"/>
      <c r="F1506" s="5"/>
      <c r="G1506" s="19"/>
      <c r="H1506" s="5"/>
    </row>
    <row r="1507" spans="1:8" x14ac:dyDescent="0.35">
      <c r="A1507" s="5"/>
      <c r="B1507" s="5"/>
      <c r="C1507" s="22"/>
      <c r="D1507" s="5"/>
      <c r="E1507" s="5"/>
      <c r="F1507" s="5"/>
      <c r="G1507" s="19"/>
      <c r="H1507" s="5"/>
    </row>
    <row r="1508" spans="1:8" x14ac:dyDescent="0.35">
      <c r="A1508" s="5"/>
      <c r="B1508" s="5"/>
      <c r="C1508" s="22"/>
      <c r="D1508" s="5"/>
      <c r="E1508" s="5"/>
      <c r="F1508" s="5"/>
      <c r="G1508" s="19"/>
      <c r="H1508" s="5"/>
    </row>
    <row r="1509" spans="1:8" x14ac:dyDescent="0.35">
      <c r="A1509" s="5"/>
      <c r="B1509" s="5"/>
      <c r="C1509" s="22"/>
      <c r="D1509" s="5"/>
      <c r="E1509" s="5"/>
      <c r="F1509" s="5"/>
      <c r="G1509" s="19"/>
      <c r="H1509" s="5"/>
    </row>
    <row r="1510" spans="1:8" x14ac:dyDescent="0.35">
      <c r="A1510" s="5"/>
      <c r="B1510" s="5"/>
      <c r="C1510" s="22"/>
      <c r="D1510" s="5"/>
      <c r="E1510" s="5"/>
      <c r="F1510" s="5"/>
      <c r="G1510" s="19"/>
      <c r="H1510" s="5"/>
    </row>
    <row r="1511" spans="1:8" x14ac:dyDescent="0.35">
      <c r="A1511" s="5"/>
      <c r="B1511" s="5"/>
      <c r="C1511" s="22"/>
      <c r="D1511" s="5"/>
      <c r="E1511" s="5"/>
      <c r="F1511" s="5"/>
      <c r="G1511" s="19"/>
      <c r="H1511" s="5"/>
    </row>
    <row r="1512" spans="1:8" x14ac:dyDescent="0.35">
      <c r="A1512" s="5"/>
      <c r="B1512" s="5"/>
      <c r="C1512" s="22"/>
      <c r="D1512" s="5"/>
      <c r="E1512" s="5"/>
      <c r="F1512" s="5"/>
      <c r="G1512" s="19"/>
      <c r="H1512" s="5"/>
    </row>
    <row r="1513" spans="1:8" x14ac:dyDescent="0.35">
      <c r="A1513" s="5"/>
      <c r="B1513" s="5"/>
      <c r="C1513" s="22"/>
      <c r="D1513" s="5"/>
      <c r="E1513" s="5"/>
      <c r="F1513" s="5"/>
      <c r="G1513" s="19"/>
      <c r="H1513" s="5"/>
    </row>
    <row r="1514" spans="1:8" x14ac:dyDescent="0.35">
      <c r="A1514" s="5"/>
      <c r="B1514" s="5"/>
      <c r="C1514" s="22"/>
      <c r="D1514" s="5"/>
      <c r="E1514" s="5"/>
      <c r="F1514" s="5"/>
      <c r="G1514" s="19"/>
      <c r="H1514" s="5"/>
    </row>
    <row r="1515" spans="1:8" x14ac:dyDescent="0.35">
      <c r="A1515" s="5"/>
      <c r="B1515" s="5"/>
      <c r="C1515" s="22"/>
      <c r="D1515" s="5"/>
      <c r="E1515" s="5"/>
      <c r="F1515" s="5"/>
      <c r="G1515" s="19"/>
      <c r="H1515" s="5"/>
    </row>
    <row r="1516" spans="1:8" x14ac:dyDescent="0.35">
      <c r="A1516" s="5"/>
      <c r="B1516" s="5"/>
      <c r="C1516" s="22"/>
      <c r="D1516" s="5"/>
      <c r="E1516" s="5"/>
      <c r="F1516" s="5"/>
      <c r="G1516" s="19"/>
      <c r="H1516" s="5"/>
    </row>
    <row r="1517" spans="1:8" x14ac:dyDescent="0.35">
      <c r="A1517" s="5"/>
      <c r="B1517" s="5"/>
      <c r="C1517" s="22"/>
      <c r="D1517" s="5"/>
      <c r="E1517" s="5"/>
      <c r="F1517" s="5"/>
      <c r="G1517" s="19"/>
      <c r="H1517" s="5"/>
    </row>
    <row r="1518" spans="1:8" x14ac:dyDescent="0.35">
      <c r="A1518" s="5"/>
      <c r="B1518" s="5"/>
      <c r="C1518" s="22"/>
      <c r="D1518" s="5"/>
      <c r="E1518" s="23"/>
      <c r="F1518" s="5"/>
      <c r="G1518" s="19"/>
      <c r="H1518" s="5"/>
    </row>
    <row r="1519" spans="1:8" x14ac:dyDescent="0.35">
      <c r="A1519" s="5"/>
      <c r="B1519" s="5"/>
      <c r="C1519" s="22"/>
      <c r="D1519" s="5"/>
      <c r="E1519" s="5"/>
      <c r="F1519" s="5"/>
      <c r="G1519" s="19"/>
      <c r="H1519" s="5"/>
    </row>
    <row r="1520" spans="1:8" x14ac:dyDescent="0.35">
      <c r="A1520" s="5"/>
      <c r="B1520" s="5"/>
      <c r="C1520" s="22"/>
      <c r="D1520" s="5"/>
      <c r="E1520" s="5"/>
      <c r="F1520" s="5"/>
      <c r="G1520" s="19"/>
      <c r="H1520" s="5"/>
    </row>
    <row r="1521" spans="1:8" x14ac:dyDescent="0.35">
      <c r="A1521" s="5"/>
      <c r="B1521" s="5"/>
      <c r="C1521" s="22"/>
      <c r="D1521" s="5"/>
      <c r="E1521" s="5"/>
      <c r="F1521" s="5"/>
      <c r="G1521" s="19"/>
      <c r="H1521" s="5"/>
    </row>
    <row r="1522" spans="1:8" x14ac:dyDescent="0.35">
      <c r="A1522" s="5"/>
      <c r="B1522" s="5"/>
      <c r="C1522" s="22"/>
      <c r="D1522" s="5"/>
      <c r="E1522" s="5"/>
      <c r="F1522" s="5"/>
      <c r="G1522" s="19"/>
      <c r="H1522" s="5"/>
    </row>
    <row r="1523" spans="1:8" x14ac:dyDescent="0.35">
      <c r="A1523" s="5"/>
      <c r="B1523" s="5"/>
      <c r="C1523" s="22"/>
      <c r="D1523" s="5"/>
      <c r="E1523" s="5"/>
      <c r="F1523" s="5"/>
      <c r="G1523" s="19"/>
      <c r="H1523" s="5"/>
    </row>
    <row r="1524" spans="1:8" x14ac:dyDescent="0.35">
      <c r="A1524" s="5"/>
      <c r="B1524" s="5"/>
      <c r="C1524" s="22"/>
      <c r="D1524" s="5"/>
      <c r="E1524" s="5"/>
      <c r="F1524" s="5"/>
      <c r="G1524" s="19"/>
      <c r="H1524" s="5"/>
    </row>
    <row r="1525" spans="1:8" x14ac:dyDescent="0.35">
      <c r="A1525" s="5"/>
      <c r="B1525" s="5"/>
      <c r="C1525" s="22"/>
      <c r="D1525" s="5"/>
      <c r="E1525" s="5"/>
      <c r="F1525" s="5"/>
      <c r="G1525" s="19"/>
      <c r="H1525" s="5"/>
    </row>
    <row r="1526" spans="1:8" x14ac:dyDescent="0.35">
      <c r="A1526" s="5"/>
      <c r="B1526" s="5"/>
      <c r="C1526" s="22"/>
      <c r="D1526" s="5"/>
      <c r="E1526" s="5"/>
      <c r="F1526" s="5"/>
      <c r="G1526" s="19"/>
      <c r="H1526" s="5"/>
    </row>
    <row r="1527" spans="1:8" x14ac:dyDescent="0.35">
      <c r="A1527" s="5"/>
      <c r="B1527" s="5"/>
      <c r="C1527" s="22"/>
      <c r="D1527" s="5"/>
      <c r="E1527" s="5"/>
      <c r="F1527" s="5"/>
      <c r="G1527" s="19"/>
      <c r="H1527" s="5"/>
    </row>
    <row r="1528" spans="1:8" x14ac:dyDescent="0.35">
      <c r="A1528" s="5"/>
      <c r="B1528" s="5"/>
      <c r="C1528" s="22"/>
      <c r="D1528" s="5"/>
      <c r="E1528" s="5"/>
      <c r="F1528" s="5"/>
      <c r="G1528" s="19"/>
      <c r="H1528" s="5"/>
    </row>
    <row r="1529" spans="1:8" x14ac:dyDescent="0.35">
      <c r="A1529" s="5"/>
      <c r="B1529" s="5"/>
      <c r="C1529" s="22"/>
      <c r="D1529" s="5"/>
      <c r="E1529" s="5"/>
      <c r="F1529" s="5"/>
      <c r="G1529" s="19"/>
      <c r="H1529" s="5"/>
    </row>
    <row r="1530" spans="1:8" x14ac:dyDescent="0.35">
      <c r="A1530" s="5"/>
      <c r="B1530" s="5"/>
      <c r="C1530" s="22"/>
      <c r="D1530" s="5"/>
      <c r="E1530" s="5"/>
      <c r="F1530" s="5"/>
      <c r="G1530" s="19"/>
      <c r="H1530" s="5"/>
    </row>
    <row r="1531" spans="1:8" x14ac:dyDescent="0.35">
      <c r="A1531" s="5"/>
      <c r="B1531" s="5"/>
      <c r="C1531" s="22"/>
      <c r="D1531" s="5"/>
      <c r="E1531" s="5"/>
      <c r="F1531" s="5"/>
      <c r="G1531" s="19"/>
      <c r="H1531" s="5"/>
    </row>
    <row r="1532" spans="1:8" x14ac:dyDescent="0.35">
      <c r="A1532" s="5"/>
      <c r="B1532" s="5"/>
      <c r="C1532" s="22"/>
      <c r="D1532" s="5"/>
      <c r="E1532" s="5"/>
      <c r="F1532" s="5"/>
      <c r="G1532" s="19"/>
      <c r="H1532" s="5"/>
    </row>
    <row r="1533" spans="1:8" x14ac:dyDescent="0.35">
      <c r="A1533" s="5"/>
      <c r="B1533" s="5"/>
      <c r="C1533" s="22"/>
      <c r="D1533" s="5"/>
      <c r="E1533" s="5"/>
      <c r="F1533" s="5"/>
      <c r="G1533" s="19"/>
      <c r="H1533" s="5"/>
    </row>
    <row r="1534" spans="1:8" x14ac:dyDescent="0.35">
      <c r="A1534" s="5"/>
      <c r="B1534" s="5"/>
      <c r="C1534" s="22"/>
      <c r="D1534" s="5"/>
      <c r="E1534" s="5"/>
      <c r="F1534" s="5"/>
      <c r="G1534" s="19"/>
      <c r="H1534" s="5"/>
    </row>
    <row r="1535" spans="1:8" x14ac:dyDescent="0.35">
      <c r="A1535" s="5"/>
      <c r="B1535" s="5"/>
      <c r="C1535" s="22"/>
      <c r="D1535" s="5"/>
      <c r="E1535" s="5"/>
      <c r="F1535" s="5"/>
      <c r="G1535" s="19"/>
      <c r="H1535" s="5"/>
    </row>
    <row r="1536" spans="1:8" x14ac:dyDescent="0.35">
      <c r="A1536" s="5"/>
      <c r="B1536" s="5"/>
      <c r="C1536" s="22"/>
      <c r="D1536" s="5"/>
      <c r="E1536" s="5"/>
      <c r="F1536" s="5"/>
      <c r="G1536" s="19"/>
      <c r="H1536" s="5"/>
    </row>
    <row r="1537" spans="1:8" x14ac:dyDescent="0.35">
      <c r="A1537" s="5"/>
      <c r="B1537" s="5"/>
      <c r="C1537" s="22"/>
      <c r="D1537" s="5"/>
      <c r="E1537" s="5"/>
      <c r="F1537" s="5"/>
      <c r="G1537" s="19"/>
      <c r="H1537" s="5"/>
    </row>
    <row r="1538" spans="1:8" x14ac:dyDescent="0.35">
      <c r="A1538" s="5"/>
      <c r="B1538" s="5"/>
      <c r="C1538" s="22"/>
      <c r="D1538" s="5"/>
      <c r="E1538" s="5"/>
      <c r="F1538" s="5"/>
      <c r="G1538" s="19"/>
      <c r="H1538" s="5"/>
    </row>
    <row r="1539" spans="1:8" x14ac:dyDescent="0.35">
      <c r="A1539" s="5"/>
      <c r="B1539" s="5"/>
      <c r="C1539" s="22"/>
      <c r="D1539" s="5"/>
      <c r="E1539" s="23"/>
      <c r="F1539" s="5"/>
      <c r="G1539" s="19"/>
      <c r="H1539" s="5"/>
    </row>
    <row r="1540" spans="1:8" x14ac:dyDescent="0.35">
      <c r="A1540" s="5"/>
      <c r="B1540" s="5"/>
      <c r="C1540" s="22"/>
      <c r="D1540" s="5"/>
      <c r="E1540" s="5"/>
      <c r="F1540" s="5"/>
      <c r="G1540" s="19"/>
      <c r="H1540" s="5"/>
    </row>
    <row r="1541" spans="1:8" x14ac:dyDescent="0.35">
      <c r="A1541" s="5"/>
      <c r="B1541" s="5"/>
      <c r="C1541" s="22"/>
      <c r="D1541" s="5"/>
      <c r="E1541" s="5"/>
      <c r="F1541" s="5"/>
      <c r="G1541" s="19"/>
      <c r="H1541" s="5"/>
    </row>
    <row r="1542" spans="1:8" x14ac:dyDescent="0.35">
      <c r="A1542" s="5"/>
      <c r="B1542" s="5"/>
      <c r="C1542" s="22"/>
      <c r="D1542" s="5"/>
      <c r="E1542" s="5"/>
      <c r="F1542" s="5"/>
      <c r="G1542" s="19"/>
      <c r="H1542" s="5"/>
    </row>
    <row r="1543" spans="1:8" x14ac:dyDescent="0.35">
      <c r="A1543" s="5"/>
      <c r="B1543" s="5"/>
      <c r="C1543" s="22"/>
      <c r="D1543" s="5"/>
      <c r="E1543" s="5"/>
      <c r="F1543" s="5"/>
      <c r="G1543" s="19"/>
      <c r="H1543" s="5"/>
    </row>
    <row r="1544" spans="1:8" x14ac:dyDescent="0.35">
      <c r="A1544" s="5"/>
      <c r="B1544" s="5"/>
      <c r="C1544" s="22"/>
      <c r="D1544" s="5"/>
      <c r="E1544" s="5"/>
      <c r="F1544" s="5"/>
      <c r="G1544" s="19"/>
      <c r="H1544" s="5"/>
    </row>
    <row r="1545" spans="1:8" x14ac:dyDescent="0.35">
      <c r="A1545" s="5"/>
      <c r="B1545" s="5"/>
      <c r="C1545" s="22"/>
      <c r="D1545" s="5"/>
      <c r="E1545" s="5"/>
      <c r="F1545" s="5"/>
      <c r="G1545" s="19"/>
      <c r="H1545" s="5"/>
    </row>
    <row r="1546" spans="1:8" x14ac:dyDescent="0.35">
      <c r="A1546" s="5"/>
      <c r="B1546" s="5"/>
      <c r="C1546" s="22"/>
      <c r="D1546" s="5"/>
      <c r="E1546" s="5"/>
      <c r="F1546" s="5"/>
      <c r="G1546" s="19"/>
      <c r="H1546" s="5"/>
    </row>
    <row r="1547" spans="1:8" x14ac:dyDescent="0.35">
      <c r="A1547" s="5"/>
      <c r="B1547" s="5"/>
      <c r="C1547" s="22"/>
      <c r="D1547" s="5"/>
      <c r="E1547" s="5"/>
      <c r="F1547" s="5"/>
      <c r="G1547" s="19"/>
      <c r="H1547" s="5"/>
    </row>
    <row r="1548" spans="1:8" x14ac:dyDescent="0.35">
      <c r="A1548" s="5"/>
      <c r="B1548" s="5"/>
      <c r="C1548" s="22"/>
      <c r="D1548" s="5"/>
      <c r="E1548" s="5"/>
      <c r="F1548" s="5"/>
      <c r="G1548" s="19"/>
      <c r="H1548" s="5"/>
    </row>
    <row r="1549" spans="1:8" x14ac:dyDescent="0.35">
      <c r="A1549" s="5"/>
      <c r="B1549" s="5"/>
      <c r="C1549" s="22"/>
      <c r="D1549" s="5"/>
      <c r="E1549" s="5"/>
      <c r="F1549" s="5"/>
      <c r="G1549" s="19"/>
      <c r="H1549" s="5"/>
    </row>
    <row r="1550" spans="1:8" x14ac:dyDescent="0.35">
      <c r="A1550" s="5"/>
      <c r="B1550" s="5"/>
      <c r="C1550" s="22"/>
      <c r="D1550" s="5"/>
      <c r="E1550" s="5"/>
      <c r="F1550" s="5"/>
      <c r="G1550" s="19"/>
      <c r="H1550" s="5"/>
    </row>
    <row r="1551" spans="1:8" x14ac:dyDescent="0.35">
      <c r="A1551" s="5"/>
      <c r="B1551" s="5"/>
      <c r="C1551" s="22"/>
      <c r="D1551" s="5"/>
      <c r="E1551" s="5"/>
      <c r="F1551" s="5"/>
      <c r="G1551" s="19"/>
      <c r="H1551" s="5"/>
    </row>
    <row r="1552" spans="1:8" x14ac:dyDescent="0.35">
      <c r="A1552" s="5"/>
      <c r="B1552" s="5"/>
      <c r="C1552" s="22"/>
      <c r="D1552" s="5"/>
      <c r="E1552" s="5"/>
      <c r="F1552" s="5"/>
      <c r="G1552" s="19"/>
      <c r="H1552" s="5"/>
    </row>
    <row r="1553" spans="1:8" x14ac:dyDescent="0.35">
      <c r="A1553" s="5"/>
      <c r="B1553" s="5"/>
      <c r="C1553" s="22"/>
      <c r="D1553" s="5"/>
      <c r="E1553" s="5"/>
      <c r="F1553" s="5"/>
      <c r="G1553" s="19"/>
      <c r="H1553" s="5"/>
    </row>
    <row r="1554" spans="1:8" x14ac:dyDescent="0.35">
      <c r="A1554" s="5"/>
      <c r="B1554" s="5"/>
      <c r="C1554" s="22"/>
      <c r="D1554" s="5"/>
      <c r="E1554" s="5"/>
      <c r="F1554" s="5"/>
      <c r="G1554" s="19"/>
      <c r="H1554" s="5"/>
    </row>
    <row r="1555" spans="1:8" x14ac:dyDescent="0.35">
      <c r="A1555" s="5"/>
      <c r="B1555" s="5"/>
      <c r="C1555" s="22"/>
      <c r="D1555" s="5"/>
      <c r="E1555" s="5"/>
      <c r="F1555" s="5"/>
      <c r="G1555" s="19"/>
      <c r="H1555" s="5"/>
    </row>
    <row r="1556" spans="1:8" x14ac:dyDescent="0.35">
      <c r="A1556" s="5"/>
      <c r="B1556" s="5"/>
      <c r="C1556" s="22"/>
      <c r="D1556" s="5"/>
      <c r="E1556" s="5"/>
      <c r="F1556" s="5"/>
      <c r="G1556" s="19"/>
      <c r="H1556" s="5"/>
    </row>
    <row r="1557" spans="1:8" x14ac:dyDescent="0.35">
      <c r="A1557" s="5"/>
      <c r="B1557" s="5"/>
      <c r="C1557" s="22"/>
      <c r="D1557" s="5"/>
      <c r="E1557" s="5"/>
      <c r="F1557" s="5"/>
      <c r="G1557" s="19"/>
      <c r="H1557" s="5"/>
    </row>
    <row r="1558" spans="1:8" x14ac:dyDescent="0.35">
      <c r="A1558" s="5"/>
      <c r="B1558" s="5"/>
      <c r="C1558" s="22"/>
      <c r="D1558" s="5"/>
      <c r="E1558" s="5"/>
      <c r="F1558" s="5"/>
      <c r="G1558" s="19"/>
      <c r="H1558" s="5"/>
    </row>
    <row r="1559" spans="1:8" x14ac:dyDescent="0.35">
      <c r="A1559" s="5"/>
      <c r="B1559" s="5"/>
      <c r="C1559" s="22"/>
      <c r="D1559" s="5"/>
      <c r="E1559" s="5"/>
      <c r="F1559" s="5"/>
      <c r="G1559" s="19"/>
      <c r="H1559" s="5"/>
    </row>
    <row r="1560" spans="1:8" x14ac:dyDescent="0.35">
      <c r="A1560" s="5"/>
      <c r="B1560" s="5"/>
      <c r="C1560" s="22"/>
      <c r="D1560" s="5"/>
      <c r="E1560" s="5"/>
      <c r="F1560" s="5"/>
      <c r="G1560" s="19"/>
      <c r="H1560" s="5"/>
    </row>
    <row r="1561" spans="1:8" x14ac:dyDescent="0.35">
      <c r="A1561" s="5"/>
      <c r="B1561" s="5"/>
      <c r="C1561" s="22"/>
      <c r="D1561" s="5"/>
      <c r="E1561" s="5"/>
      <c r="F1561" s="5"/>
      <c r="G1561" s="19"/>
      <c r="H1561" s="5"/>
    </row>
    <row r="1562" spans="1:8" x14ac:dyDescent="0.35">
      <c r="A1562" s="5"/>
      <c r="B1562" s="5"/>
      <c r="C1562" s="22"/>
      <c r="D1562" s="5"/>
      <c r="E1562" s="5"/>
      <c r="F1562" s="5"/>
      <c r="G1562" s="19"/>
      <c r="H1562" s="5"/>
    </row>
    <row r="1563" spans="1:8" x14ac:dyDescent="0.35">
      <c r="A1563" s="5"/>
      <c r="B1563" s="5"/>
      <c r="C1563" s="22"/>
      <c r="D1563" s="5"/>
      <c r="E1563" s="5"/>
      <c r="F1563" s="5"/>
      <c r="G1563" s="19"/>
      <c r="H1563" s="5"/>
    </row>
    <row r="1564" spans="1:8" x14ac:dyDescent="0.35">
      <c r="A1564" s="5"/>
      <c r="B1564" s="5"/>
      <c r="C1564" s="22"/>
      <c r="D1564" s="5"/>
      <c r="E1564" s="5"/>
      <c r="F1564" s="5"/>
      <c r="G1564" s="19"/>
      <c r="H1564" s="5"/>
    </row>
    <row r="1565" spans="1:8" x14ac:dyDescent="0.35">
      <c r="A1565" s="5"/>
      <c r="B1565" s="5"/>
      <c r="C1565" s="22"/>
      <c r="D1565" s="5"/>
      <c r="E1565" s="5"/>
      <c r="F1565" s="5"/>
      <c r="G1565" s="19"/>
      <c r="H1565" s="5"/>
    </row>
    <row r="1566" spans="1:8" x14ac:dyDescent="0.35">
      <c r="A1566" s="5"/>
      <c r="B1566" s="5"/>
      <c r="C1566" s="22"/>
      <c r="D1566" s="5"/>
      <c r="E1566" s="5"/>
      <c r="F1566" s="5"/>
      <c r="G1566" s="19"/>
      <c r="H1566" s="5"/>
    </row>
    <row r="1567" spans="1:8" x14ac:dyDescent="0.35">
      <c r="A1567" s="5"/>
      <c r="B1567" s="5"/>
      <c r="C1567" s="22"/>
      <c r="D1567" s="5"/>
      <c r="E1567" s="5"/>
      <c r="F1567" s="5"/>
      <c r="G1567" s="19"/>
      <c r="H1567" s="5"/>
    </row>
    <row r="1568" spans="1:8" x14ac:dyDescent="0.35">
      <c r="A1568" s="5"/>
      <c r="B1568" s="5"/>
      <c r="C1568" s="22"/>
      <c r="D1568" s="5"/>
      <c r="E1568" s="5"/>
      <c r="F1568" s="5"/>
      <c r="G1568" s="19"/>
      <c r="H1568" s="5"/>
    </row>
    <row r="1569" spans="1:8" x14ac:dyDescent="0.35">
      <c r="A1569" s="5"/>
      <c r="B1569" s="5"/>
      <c r="C1569" s="22"/>
      <c r="D1569" s="5"/>
      <c r="E1569" s="5"/>
      <c r="F1569" s="5"/>
      <c r="G1569" s="19"/>
      <c r="H1569" s="5"/>
    </row>
    <row r="1570" spans="1:8" x14ac:dyDescent="0.35">
      <c r="A1570" s="5"/>
      <c r="B1570" s="5"/>
      <c r="C1570" s="22"/>
      <c r="D1570" s="5"/>
      <c r="E1570" s="5"/>
      <c r="F1570" s="5"/>
      <c r="G1570" s="19"/>
      <c r="H1570" s="5"/>
    </row>
    <row r="1571" spans="1:8" x14ac:dyDescent="0.35">
      <c r="A1571" s="5"/>
      <c r="B1571" s="5"/>
      <c r="C1571" s="22"/>
      <c r="D1571" s="5"/>
      <c r="E1571" s="5"/>
      <c r="F1571" s="5"/>
      <c r="G1571" s="19"/>
      <c r="H1571" s="5"/>
    </row>
    <row r="1572" spans="1:8" x14ac:dyDescent="0.35">
      <c r="A1572" s="5"/>
      <c r="B1572" s="5"/>
      <c r="C1572" s="22"/>
      <c r="D1572" s="5"/>
      <c r="E1572" s="5"/>
      <c r="F1572" s="5"/>
      <c r="G1572" s="19"/>
      <c r="H1572" s="5"/>
    </row>
    <row r="1573" spans="1:8" x14ac:dyDescent="0.35">
      <c r="A1573" s="5"/>
      <c r="B1573" s="5"/>
      <c r="C1573" s="22"/>
      <c r="D1573" s="5"/>
      <c r="E1573" s="5"/>
      <c r="F1573" s="5"/>
      <c r="G1573" s="19"/>
      <c r="H1573" s="5"/>
    </row>
    <row r="1574" spans="1:8" x14ac:dyDescent="0.35">
      <c r="A1574" s="5"/>
      <c r="B1574" s="5"/>
      <c r="C1574" s="22"/>
      <c r="D1574" s="5"/>
      <c r="E1574" s="5"/>
      <c r="F1574" s="5"/>
      <c r="G1574" s="19"/>
      <c r="H1574" s="5"/>
    </row>
    <row r="1575" spans="1:8" x14ac:dyDescent="0.35">
      <c r="A1575" s="5"/>
      <c r="B1575" s="5"/>
      <c r="C1575" s="22"/>
      <c r="D1575" s="5"/>
      <c r="E1575" s="5"/>
      <c r="F1575" s="5"/>
      <c r="G1575" s="19"/>
      <c r="H1575" s="5"/>
    </row>
    <row r="1576" spans="1:8" x14ac:dyDescent="0.35">
      <c r="A1576" s="5"/>
      <c r="B1576" s="5"/>
      <c r="C1576" s="22"/>
      <c r="D1576" s="5"/>
      <c r="E1576" s="5"/>
      <c r="F1576" s="5"/>
      <c r="G1576" s="19"/>
      <c r="H1576" s="5"/>
    </row>
    <row r="1577" spans="1:8" x14ac:dyDescent="0.35">
      <c r="A1577" s="5"/>
      <c r="B1577" s="5"/>
      <c r="C1577" s="22"/>
      <c r="D1577" s="5"/>
      <c r="E1577" s="5"/>
      <c r="F1577" s="5"/>
      <c r="G1577" s="19"/>
      <c r="H1577" s="5"/>
    </row>
    <row r="1578" spans="1:8" x14ac:dyDescent="0.35">
      <c r="A1578" s="5"/>
      <c r="B1578" s="5"/>
      <c r="C1578" s="22"/>
      <c r="D1578" s="5"/>
      <c r="E1578" s="5"/>
      <c r="F1578" s="5"/>
      <c r="G1578" s="19"/>
      <c r="H1578" s="5"/>
    </row>
    <row r="1579" spans="1:8" x14ac:dyDescent="0.35">
      <c r="A1579" s="5"/>
      <c r="B1579" s="5"/>
      <c r="C1579" s="22"/>
      <c r="D1579" s="5"/>
      <c r="E1579" s="5"/>
      <c r="F1579" s="5"/>
      <c r="G1579" s="19"/>
      <c r="H1579" s="5"/>
    </row>
    <row r="1580" spans="1:8" x14ac:dyDescent="0.35">
      <c r="A1580" s="5"/>
      <c r="B1580" s="5"/>
      <c r="C1580" s="22"/>
      <c r="D1580" s="5"/>
      <c r="E1580" s="5"/>
      <c r="F1580" s="5"/>
      <c r="G1580" s="19"/>
      <c r="H1580" s="5"/>
    </row>
    <row r="1581" spans="1:8" x14ac:dyDescent="0.35">
      <c r="A1581" s="5"/>
      <c r="B1581" s="5"/>
      <c r="C1581" s="22"/>
      <c r="D1581" s="5"/>
      <c r="E1581" s="5"/>
      <c r="F1581" s="5"/>
      <c r="G1581" s="19"/>
      <c r="H1581" s="5"/>
    </row>
    <row r="1582" spans="1:8" x14ac:dyDescent="0.35">
      <c r="A1582" s="5"/>
      <c r="B1582" s="5"/>
      <c r="C1582" s="22"/>
      <c r="D1582" s="5"/>
      <c r="E1582" s="5"/>
      <c r="F1582" s="5"/>
      <c r="G1582" s="19"/>
      <c r="H1582" s="5"/>
    </row>
    <row r="1583" spans="1:8" x14ac:dyDescent="0.35">
      <c r="A1583" s="5"/>
      <c r="B1583" s="5"/>
      <c r="C1583" s="22"/>
      <c r="D1583" s="5"/>
      <c r="E1583" s="5"/>
      <c r="F1583" s="5"/>
      <c r="G1583" s="19"/>
      <c r="H1583" s="5"/>
    </row>
    <row r="1584" spans="1:8" x14ac:dyDescent="0.35">
      <c r="A1584" s="5"/>
      <c r="B1584" s="5"/>
      <c r="C1584" s="22"/>
      <c r="D1584" s="5"/>
      <c r="E1584" s="5"/>
      <c r="F1584" s="5"/>
      <c r="G1584" s="19"/>
      <c r="H1584" s="5"/>
    </row>
    <row r="1585" spans="1:8" x14ac:dyDescent="0.35">
      <c r="A1585" s="5"/>
      <c r="B1585" s="5"/>
      <c r="C1585" s="22"/>
      <c r="D1585" s="5"/>
      <c r="E1585" s="5"/>
      <c r="F1585" s="5"/>
      <c r="G1585" s="19"/>
      <c r="H1585" s="5"/>
    </row>
    <row r="1586" spans="1:8" x14ac:dyDescent="0.35">
      <c r="A1586" s="5"/>
      <c r="B1586" s="5"/>
      <c r="C1586" s="22"/>
      <c r="D1586" s="5"/>
      <c r="E1586" s="5"/>
      <c r="F1586" s="5"/>
      <c r="G1586" s="19"/>
      <c r="H1586" s="5"/>
    </row>
    <row r="1587" spans="1:8" x14ac:dyDescent="0.35">
      <c r="A1587" s="5"/>
      <c r="B1587" s="5"/>
      <c r="C1587" s="22"/>
      <c r="D1587" s="5"/>
      <c r="E1587" s="5"/>
      <c r="F1587" s="5"/>
      <c r="G1587" s="19"/>
      <c r="H1587" s="5"/>
    </row>
    <row r="1588" spans="1:8" x14ac:dyDescent="0.35">
      <c r="A1588" s="5"/>
      <c r="B1588" s="5"/>
      <c r="C1588" s="22"/>
      <c r="D1588" s="5"/>
      <c r="E1588" s="5"/>
      <c r="F1588" s="5"/>
      <c r="G1588" s="19"/>
      <c r="H1588" s="5"/>
    </row>
    <row r="1589" spans="1:8" x14ac:dyDescent="0.35">
      <c r="A1589" s="5"/>
      <c r="B1589" s="5"/>
      <c r="C1589" s="22"/>
      <c r="D1589" s="5"/>
      <c r="E1589" s="5"/>
      <c r="F1589" s="5"/>
      <c r="G1589" s="19"/>
      <c r="H1589" s="5"/>
    </row>
    <row r="1590" spans="1:8" x14ac:dyDescent="0.35">
      <c r="A1590" s="5"/>
      <c r="B1590" s="5"/>
      <c r="C1590" s="22"/>
      <c r="D1590" s="5"/>
      <c r="E1590" s="5"/>
      <c r="F1590" s="5"/>
      <c r="G1590" s="19"/>
      <c r="H1590" s="5"/>
    </row>
    <row r="1591" spans="1:8" x14ac:dyDescent="0.35">
      <c r="A1591" s="5"/>
      <c r="B1591" s="5"/>
      <c r="C1591" s="22"/>
      <c r="D1591" s="5"/>
      <c r="E1591" s="5"/>
      <c r="F1591" s="5"/>
      <c r="G1591" s="19"/>
      <c r="H1591" s="5"/>
    </row>
    <row r="1592" spans="1:8" x14ac:dyDescent="0.35">
      <c r="A1592" s="5"/>
      <c r="B1592" s="5"/>
      <c r="C1592" s="22"/>
      <c r="D1592" s="5"/>
      <c r="E1592" s="5"/>
      <c r="F1592" s="5"/>
      <c r="G1592" s="19"/>
      <c r="H1592" s="5"/>
    </row>
    <row r="1593" spans="1:8" x14ac:dyDescent="0.35">
      <c r="A1593" s="5"/>
      <c r="B1593" s="5"/>
      <c r="C1593" s="22"/>
      <c r="D1593" s="5"/>
      <c r="E1593" s="5"/>
      <c r="F1593" s="5"/>
      <c r="G1593" s="19"/>
      <c r="H1593" s="5"/>
    </row>
    <row r="1594" spans="1:8" x14ac:dyDescent="0.35">
      <c r="A1594" s="5"/>
      <c r="B1594" s="5"/>
      <c r="C1594" s="22"/>
      <c r="D1594" s="5"/>
      <c r="E1594" s="5"/>
      <c r="F1594" s="5"/>
      <c r="G1594" s="19"/>
      <c r="H1594" s="5"/>
    </row>
    <row r="1595" spans="1:8" x14ac:dyDescent="0.35">
      <c r="A1595" s="5"/>
      <c r="B1595" s="5"/>
      <c r="C1595" s="22"/>
      <c r="D1595" s="5"/>
      <c r="E1595" s="23"/>
      <c r="F1595" s="5"/>
      <c r="G1595" s="19"/>
      <c r="H1595" s="5"/>
    </row>
    <row r="1596" spans="1:8" x14ac:dyDescent="0.35">
      <c r="A1596" s="5"/>
      <c r="B1596" s="5"/>
      <c r="C1596" s="22"/>
      <c r="D1596" s="5"/>
      <c r="E1596" s="5"/>
      <c r="F1596" s="5"/>
      <c r="G1596" s="19"/>
      <c r="H1596" s="5"/>
    </row>
    <row r="1597" spans="1:8" x14ac:dyDescent="0.35">
      <c r="A1597" s="5"/>
      <c r="B1597" s="5"/>
      <c r="C1597" s="22"/>
      <c r="D1597" s="5"/>
      <c r="E1597" s="5"/>
      <c r="F1597" s="5"/>
      <c r="G1597" s="19"/>
      <c r="H1597" s="5"/>
    </row>
    <row r="1598" spans="1:8" x14ac:dyDescent="0.35">
      <c r="A1598" s="5"/>
      <c r="B1598" s="5"/>
      <c r="C1598" s="22"/>
      <c r="D1598" s="5"/>
      <c r="E1598" s="5"/>
      <c r="F1598" s="5"/>
      <c r="G1598" s="19"/>
      <c r="H1598" s="5"/>
    </row>
    <row r="1599" spans="1:8" x14ac:dyDescent="0.35">
      <c r="A1599" s="5"/>
      <c r="B1599" s="5"/>
      <c r="C1599" s="22"/>
      <c r="D1599" s="5"/>
      <c r="E1599" s="5"/>
      <c r="F1599" s="5"/>
      <c r="G1599" s="19"/>
      <c r="H1599" s="5"/>
    </row>
    <row r="1600" spans="1:8" x14ac:dyDescent="0.35">
      <c r="A1600" s="5"/>
      <c r="B1600" s="5"/>
      <c r="C1600" s="22"/>
      <c r="D1600" s="5"/>
      <c r="E1600" s="5"/>
      <c r="F1600" s="5"/>
      <c r="G1600" s="19"/>
      <c r="H1600" s="5"/>
    </row>
    <row r="1601" spans="1:8" x14ac:dyDescent="0.35">
      <c r="A1601" s="5"/>
      <c r="B1601" s="5"/>
      <c r="C1601" s="22"/>
      <c r="D1601" s="5"/>
      <c r="E1601" s="5"/>
      <c r="F1601" s="5"/>
      <c r="G1601" s="19"/>
      <c r="H1601" s="5"/>
    </row>
    <row r="1602" spans="1:8" x14ac:dyDescent="0.35">
      <c r="A1602" s="5"/>
      <c r="B1602" s="5"/>
      <c r="C1602" s="22"/>
      <c r="D1602" s="5"/>
      <c r="E1602" s="5"/>
      <c r="F1602" s="5"/>
      <c r="G1602" s="19"/>
      <c r="H1602" s="5"/>
    </row>
    <row r="1603" spans="1:8" x14ac:dyDescent="0.35">
      <c r="A1603" s="5"/>
      <c r="B1603" s="5"/>
      <c r="C1603" s="22"/>
      <c r="D1603" s="5"/>
      <c r="E1603" s="5"/>
      <c r="F1603" s="5"/>
      <c r="G1603" s="19"/>
      <c r="H1603" s="5"/>
    </row>
    <row r="1604" spans="1:8" x14ac:dyDescent="0.35">
      <c r="A1604" s="5"/>
      <c r="B1604" s="5"/>
      <c r="C1604" s="22"/>
      <c r="D1604" s="5"/>
      <c r="E1604" s="5"/>
      <c r="F1604" s="5"/>
      <c r="G1604" s="19"/>
      <c r="H1604" s="5"/>
    </row>
    <row r="1605" spans="1:8" x14ac:dyDescent="0.35">
      <c r="A1605" s="5"/>
      <c r="B1605" s="5"/>
      <c r="C1605" s="22"/>
      <c r="D1605" s="5"/>
      <c r="E1605" s="5"/>
      <c r="F1605" s="5"/>
      <c r="G1605" s="19"/>
      <c r="H1605" s="5"/>
    </row>
    <row r="1606" spans="1:8" x14ac:dyDescent="0.35">
      <c r="A1606" s="5"/>
      <c r="B1606" s="5"/>
      <c r="C1606" s="22"/>
      <c r="D1606" s="5"/>
      <c r="E1606" s="5"/>
      <c r="F1606" s="5"/>
      <c r="G1606" s="19"/>
      <c r="H1606" s="5"/>
    </row>
    <row r="1607" spans="1:8" x14ac:dyDescent="0.35">
      <c r="A1607" s="5"/>
      <c r="B1607" s="5"/>
      <c r="C1607" s="22"/>
      <c r="D1607" s="5"/>
      <c r="E1607" s="5"/>
      <c r="F1607" s="5"/>
      <c r="G1607" s="19"/>
      <c r="H1607" s="5"/>
    </row>
    <row r="1608" spans="1:8" x14ac:dyDescent="0.35">
      <c r="A1608" s="5"/>
      <c r="B1608" s="5"/>
      <c r="C1608" s="22"/>
      <c r="D1608" s="5"/>
      <c r="E1608" s="23"/>
      <c r="F1608" s="5"/>
      <c r="G1608" s="19"/>
      <c r="H1608" s="5"/>
    </row>
    <row r="1609" spans="1:8" x14ac:dyDescent="0.35">
      <c r="A1609" s="5"/>
      <c r="B1609" s="5"/>
      <c r="C1609" s="22"/>
      <c r="D1609" s="5"/>
      <c r="E1609" s="5"/>
      <c r="F1609" s="5"/>
      <c r="G1609" s="19"/>
      <c r="H1609" s="5"/>
    </row>
    <row r="1610" spans="1:8" x14ac:dyDescent="0.35">
      <c r="A1610" s="5"/>
      <c r="B1610" s="5"/>
      <c r="C1610" s="22"/>
      <c r="D1610" s="5"/>
      <c r="E1610" s="5"/>
      <c r="F1610" s="5"/>
      <c r="G1610" s="19"/>
      <c r="H1610" s="5"/>
    </row>
    <row r="1611" spans="1:8" x14ac:dyDescent="0.35">
      <c r="A1611" s="5"/>
      <c r="B1611" s="5"/>
      <c r="C1611" s="22"/>
      <c r="D1611" s="5"/>
      <c r="E1611" s="5"/>
      <c r="F1611" s="5"/>
      <c r="G1611" s="19"/>
      <c r="H1611" s="5"/>
    </row>
    <row r="1612" spans="1:8" x14ac:dyDescent="0.35">
      <c r="A1612" s="5"/>
      <c r="B1612" s="5"/>
      <c r="C1612" s="22"/>
      <c r="D1612" s="5"/>
      <c r="E1612" s="5"/>
      <c r="F1612" s="5"/>
      <c r="G1612" s="19"/>
      <c r="H1612" s="5"/>
    </row>
    <row r="1613" spans="1:8" x14ac:dyDescent="0.35">
      <c r="A1613" s="5"/>
      <c r="B1613" s="5"/>
      <c r="C1613" s="22"/>
      <c r="D1613" s="5"/>
      <c r="E1613" s="5"/>
      <c r="F1613" s="5"/>
      <c r="G1613" s="19"/>
      <c r="H1613" s="5"/>
    </row>
    <row r="1614" spans="1:8" x14ac:dyDescent="0.35">
      <c r="A1614" s="5"/>
      <c r="B1614" s="5"/>
      <c r="C1614" s="22"/>
      <c r="D1614" s="5"/>
      <c r="E1614" s="5"/>
      <c r="F1614" s="5"/>
      <c r="G1614" s="19"/>
      <c r="H1614" s="5"/>
    </row>
    <row r="1615" spans="1:8" x14ac:dyDescent="0.35">
      <c r="A1615" s="5"/>
      <c r="B1615" s="5"/>
      <c r="C1615" s="22"/>
      <c r="D1615" s="5"/>
      <c r="E1615" s="5"/>
      <c r="F1615" s="5"/>
      <c r="G1615" s="19"/>
      <c r="H1615" s="5"/>
    </row>
    <row r="1616" spans="1:8" x14ac:dyDescent="0.35">
      <c r="A1616" s="5"/>
      <c r="B1616" s="5"/>
      <c r="C1616" s="22"/>
      <c r="D1616" s="5"/>
      <c r="E1616" s="5"/>
      <c r="F1616" s="5"/>
      <c r="G1616" s="19"/>
      <c r="H1616" s="5"/>
    </row>
    <row r="1617" spans="1:8" x14ac:dyDescent="0.35">
      <c r="A1617" s="5"/>
      <c r="B1617" s="5"/>
      <c r="C1617" s="22"/>
      <c r="D1617" s="5"/>
      <c r="E1617" s="5"/>
      <c r="F1617" s="5"/>
      <c r="G1617" s="19"/>
      <c r="H1617" s="5"/>
    </row>
    <row r="1618" spans="1:8" x14ac:dyDescent="0.35">
      <c r="A1618" s="5"/>
      <c r="B1618" s="5"/>
      <c r="C1618" s="22"/>
      <c r="D1618" s="5"/>
      <c r="E1618" s="5"/>
      <c r="F1618" s="5"/>
      <c r="G1618" s="19"/>
      <c r="H1618" s="5"/>
    </row>
    <row r="1619" spans="1:8" x14ac:dyDescent="0.35">
      <c r="A1619" s="5"/>
      <c r="B1619" s="5"/>
      <c r="C1619" s="22"/>
      <c r="D1619" s="5"/>
      <c r="E1619" s="5"/>
      <c r="F1619" s="5"/>
      <c r="G1619" s="19"/>
      <c r="H1619" s="5"/>
    </row>
    <row r="1620" spans="1:8" x14ac:dyDescent="0.35">
      <c r="A1620" s="5"/>
      <c r="B1620" s="5"/>
      <c r="C1620" s="22"/>
      <c r="D1620" s="5"/>
      <c r="E1620" s="5"/>
      <c r="F1620" s="5"/>
      <c r="G1620" s="19"/>
      <c r="H1620" s="5"/>
    </row>
    <row r="1621" spans="1:8" x14ac:dyDescent="0.35">
      <c r="A1621" s="5"/>
      <c r="B1621" s="5"/>
      <c r="C1621" s="22"/>
      <c r="D1621" s="5"/>
      <c r="E1621" s="5"/>
      <c r="F1621" s="5"/>
      <c r="G1621" s="19"/>
      <c r="H1621" s="5"/>
    </row>
    <row r="1622" spans="1:8" x14ac:dyDescent="0.35">
      <c r="A1622" s="5"/>
      <c r="B1622" s="5"/>
      <c r="C1622" s="22"/>
      <c r="D1622" s="5"/>
      <c r="E1622" s="5"/>
      <c r="F1622" s="5"/>
      <c r="G1622" s="19"/>
      <c r="H1622" s="5"/>
    </row>
    <row r="1623" spans="1:8" x14ac:dyDescent="0.35">
      <c r="A1623" s="5"/>
      <c r="B1623" s="5"/>
      <c r="C1623" s="22"/>
      <c r="D1623" s="5"/>
      <c r="E1623" s="5"/>
      <c r="F1623" s="5"/>
      <c r="G1623" s="19"/>
      <c r="H1623" s="5"/>
    </row>
    <row r="1624" spans="1:8" x14ac:dyDescent="0.35">
      <c r="A1624" s="5"/>
      <c r="B1624" s="5"/>
      <c r="C1624" s="22"/>
      <c r="D1624" s="5"/>
      <c r="E1624" s="5"/>
      <c r="F1624" s="5"/>
      <c r="G1624" s="19"/>
      <c r="H1624" s="5"/>
    </row>
    <row r="1625" spans="1:8" x14ac:dyDescent="0.35">
      <c r="A1625" s="5"/>
      <c r="B1625" s="5"/>
      <c r="C1625" s="22"/>
      <c r="D1625" s="5"/>
      <c r="E1625" s="5"/>
      <c r="F1625" s="5"/>
      <c r="G1625" s="19"/>
      <c r="H1625" s="5"/>
    </row>
    <row r="1626" spans="1:8" x14ac:dyDescent="0.35">
      <c r="A1626" s="5"/>
      <c r="B1626" s="5"/>
      <c r="C1626" s="22"/>
      <c r="D1626" s="5"/>
      <c r="E1626" s="5"/>
      <c r="F1626" s="5"/>
      <c r="G1626" s="19"/>
      <c r="H1626" s="5"/>
    </row>
    <row r="1627" spans="1:8" x14ac:dyDescent="0.35">
      <c r="A1627" s="5"/>
      <c r="B1627" s="5"/>
      <c r="C1627" s="22"/>
      <c r="D1627" s="5"/>
      <c r="E1627" s="5"/>
      <c r="F1627" s="5"/>
      <c r="G1627" s="19"/>
      <c r="H1627" s="5"/>
    </row>
    <row r="1628" spans="1:8" x14ac:dyDescent="0.35">
      <c r="A1628" s="5"/>
      <c r="B1628" s="5"/>
      <c r="C1628" s="22"/>
      <c r="D1628" s="5"/>
      <c r="E1628" s="5"/>
      <c r="F1628" s="5"/>
      <c r="G1628" s="19"/>
      <c r="H1628" s="5"/>
    </row>
    <row r="1629" spans="1:8" x14ac:dyDescent="0.35">
      <c r="A1629" s="5"/>
      <c r="B1629" s="5"/>
      <c r="C1629" s="22"/>
      <c r="D1629" s="5"/>
      <c r="E1629" s="5"/>
      <c r="F1629" s="5"/>
      <c r="G1629" s="19"/>
      <c r="H1629" s="5"/>
    </row>
    <row r="1630" spans="1:8" x14ac:dyDescent="0.35">
      <c r="A1630" s="5"/>
      <c r="B1630" s="5"/>
      <c r="C1630" s="22"/>
      <c r="D1630" s="5"/>
      <c r="E1630" s="5"/>
      <c r="F1630" s="5"/>
      <c r="G1630" s="19"/>
      <c r="H1630" s="5"/>
    </row>
    <row r="1631" spans="1:8" x14ac:dyDescent="0.35">
      <c r="A1631" s="5"/>
      <c r="B1631" s="5"/>
      <c r="C1631" s="22"/>
      <c r="D1631" s="5"/>
      <c r="E1631" s="5"/>
      <c r="F1631" s="5"/>
      <c r="G1631" s="19"/>
      <c r="H1631" s="5"/>
    </row>
    <row r="1632" spans="1:8" x14ac:dyDescent="0.35">
      <c r="A1632" s="5"/>
      <c r="B1632" s="5"/>
      <c r="C1632" s="22"/>
      <c r="D1632" s="5"/>
      <c r="E1632" s="5"/>
      <c r="F1632" s="5"/>
      <c r="G1632" s="19"/>
      <c r="H1632" s="5"/>
    </row>
    <row r="1633" spans="1:8" x14ac:dyDescent="0.35">
      <c r="A1633" s="5"/>
      <c r="B1633" s="5"/>
      <c r="C1633" s="22"/>
      <c r="D1633" s="5"/>
      <c r="E1633" s="5"/>
      <c r="F1633" s="5"/>
      <c r="G1633" s="19"/>
      <c r="H1633" s="5"/>
    </row>
    <row r="1634" spans="1:8" x14ac:dyDescent="0.35">
      <c r="A1634" s="5"/>
      <c r="B1634" s="5"/>
      <c r="C1634" s="22"/>
      <c r="D1634" s="5"/>
      <c r="E1634" s="5"/>
      <c r="F1634" s="5"/>
      <c r="G1634" s="19"/>
      <c r="H1634" s="5"/>
    </row>
    <row r="1635" spans="1:8" x14ac:dyDescent="0.35">
      <c r="A1635" s="5"/>
      <c r="B1635" s="5"/>
      <c r="C1635" s="22"/>
      <c r="D1635" s="5"/>
      <c r="E1635" s="5"/>
      <c r="F1635" s="5"/>
      <c r="G1635" s="19"/>
      <c r="H1635" s="5"/>
    </row>
    <row r="1636" spans="1:8" x14ac:dyDescent="0.35">
      <c r="A1636" s="5"/>
      <c r="B1636" s="5"/>
      <c r="C1636" s="22"/>
      <c r="D1636" s="5"/>
      <c r="E1636" s="5"/>
      <c r="F1636" s="5"/>
      <c r="G1636" s="19"/>
      <c r="H1636" s="5"/>
    </row>
    <row r="1637" spans="1:8" x14ac:dyDescent="0.35">
      <c r="A1637" s="5"/>
      <c r="B1637" s="5"/>
      <c r="C1637" s="22"/>
      <c r="D1637" s="5"/>
      <c r="E1637" s="5"/>
      <c r="F1637" s="5"/>
      <c r="G1637" s="19"/>
      <c r="H1637" s="5"/>
    </row>
    <row r="1638" spans="1:8" x14ac:dyDescent="0.35">
      <c r="A1638" s="5"/>
      <c r="B1638" s="5"/>
      <c r="C1638" s="22"/>
      <c r="D1638" s="5"/>
      <c r="E1638" s="5"/>
      <c r="F1638" s="5"/>
      <c r="G1638" s="19"/>
      <c r="H1638" s="5"/>
    </row>
    <row r="1639" spans="1:8" x14ac:dyDescent="0.35">
      <c r="A1639" s="5"/>
      <c r="B1639" s="5"/>
      <c r="C1639" s="22"/>
      <c r="D1639" s="5"/>
      <c r="E1639" s="5"/>
      <c r="F1639" s="5"/>
      <c r="G1639" s="19"/>
      <c r="H1639" s="5"/>
    </row>
    <row r="1640" spans="1:8" x14ac:dyDescent="0.35">
      <c r="A1640" s="5"/>
      <c r="B1640" s="5"/>
      <c r="C1640" s="22"/>
      <c r="D1640" s="5"/>
      <c r="E1640" s="5"/>
      <c r="F1640" s="5"/>
      <c r="G1640" s="19"/>
      <c r="H1640" s="5"/>
    </row>
    <row r="1641" spans="1:8" x14ac:dyDescent="0.35">
      <c r="A1641" s="5"/>
      <c r="B1641" s="5"/>
      <c r="C1641" s="22"/>
      <c r="D1641" s="5"/>
      <c r="E1641" s="5"/>
      <c r="F1641" s="5"/>
      <c r="G1641" s="19"/>
      <c r="H1641" s="5"/>
    </row>
    <row r="1642" spans="1:8" x14ac:dyDescent="0.35">
      <c r="A1642" s="5"/>
      <c r="B1642" s="5"/>
      <c r="C1642" s="22"/>
      <c r="D1642" s="5"/>
      <c r="E1642" s="5"/>
      <c r="F1642" s="5"/>
      <c r="G1642" s="19"/>
      <c r="H1642" s="5"/>
    </row>
    <row r="1643" spans="1:8" x14ac:dyDescent="0.35">
      <c r="A1643" s="5"/>
      <c r="B1643" s="5"/>
      <c r="C1643" s="22"/>
      <c r="D1643" s="5"/>
      <c r="E1643" s="5"/>
      <c r="F1643" s="5"/>
      <c r="G1643" s="19"/>
      <c r="H1643" s="5"/>
    </row>
    <row r="1644" spans="1:8" x14ac:dyDescent="0.35">
      <c r="A1644" s="5"/>
      <c r="B1644" s="5"/>
      <c r="C1644" s="22"/>
      <c r="D1644" s="5"/>
      <c r="E1644" s="5"/>
      <c r="F1644" s="5"/>
      <c r="G1644" s="19"/>
      <c r="H1644" s="5"/>
    </row>
    <row r="1645" spans="1:8" x14ac:dyDescent="0.35">
      <c r="A1645" s="5"/>
      <c r="B1645" s="5"/>
      <c r="C1645" s="22"/>
      <c r="D1645" s="5"/>
      <c r="E1645" s="5"/>
      <c r="F1645" s="5"/>
      <c r="G1645" s="19"/>
      <c r="H1645" s="5"/>
    </row>
    <row r="1646" spans="1:8" x14ac:dyDescent="0.35">
      <c r="A1646" s="5"/>
      <c r="B1646" s="5"/>
      <c r="C1646" s="22"/>
      <c r="D1646" s="5"/>
      <c r="E1646" s="5"/>
      <c r="F1646" s="5"/>
      <c r="G1646" s="19"/>
      <c r="H1646" s="5"/>
    </row>
    <row r="1647" spans="1:8" x14ac:dyDescent="0.35">
      <c r="A1647" s="5"/>
      <c r="B1647" s="5"/>
      <c r="C1647" s="22"/>
      <c r="D1647" s="5"/>
      <c r="E1647" s="5"/>
      <c r="F1647" s="5"/>
      <c r="G1647" s="19"/>
      <c r="H1647" s="5"/>
    </row>
    <row r="1648" spans="1:8" x14ac:dyDescent="0.35">
      <c r="A1648" s="5"/>
      <c r="B1648" s="5"/>
      <c r="C1648" s="22"/>
      <c r="D1648" s="5"/>
      <c r="E1648" s="5"/>
      <c r="F1648" s="5"/>
      <c r="G1648" s="19"/>
      <c r="H1648" s="5"/>
    </row>
    <row r="1649" spans="1:8" x14ac:dyDescent="0.35">
      <c r="A1649" s="5"/>
      <c r="B1649" s="5"/>
      <c r="C1649" s="22"/>
      <c r="D1649" s="5"/>
      <c r="E1649" s="5"/>
      <c r="F1649" s="5"/>
      <c r="G1649" s="19"/>
      <c r="H1649" s="5"/>
    </row>
    <row r="1650" spans="1:8" x14ac:dyDescent="0.35">
      <c r="A1650" s="5"/>
      <c r="B1650" s="5"/>
      <c r="C1650" s="22"/>
      <c r="D1650" s="5"/>
      <c r="E1650" s="5"/>
      <c r="F1650" s="5"/>
      <c r="G1650" s="19"/>
      <c r="H1650" s="5"/>
    </row>
    <row r="1651" spans="1:8" x14ac:dyDescent="0.35">
      <c r="A1651" s="5"/>
      <c r="B1651" s="5"/>
      <c r="C1651" s="22"/>
      <c r="D1651" s="5"/>
      <c r="E1651" s="5"/>
      <c r="F1651" s="5"/>
      <c r="G1651" s="19"/>
      <c r="H1651" s="5"/>
    </row>
    <row r="1652" spans="1:8" x14ac:dyDescent="0.35">
      <c r="A1652" s="5"/>
      <c r="B1652" s="5"/>
      <c r="C1652" s="22"/>
      <c r="D1652" s="5"/>
      <c r="E1652" s="5"/>
      <c r="F1652" s="5"/>
      <c r="G1652" s="19"/>
      <c r="H1652" s="5"/>
    </row>
    <row r="1653" spans="1:8" x14ac:dyDescent="0.35">
      <c r="A1653" s="5"/>
      <c r="B1653" s="5"/>
      <c r="C1653" s="22"/>
      <c r="D1653" s="5"/>
      <c r="E1653" s="5"/>
      <c r="F1653" s="5"/>
      <c r="G1653" s="19"/>
      <c r="H1653" s="5"/>
    </row>
    <row r="1654" spans="1:8" x14ac:dyDescent="0.35">
      <c r="A1654" s="5"/>
      <c r="B1654" s="5"/>
      <c r="C1654" s="22"/>
      <c r="D1654" s="5"/>
      <c r="E1654" s="5"/>
      <c r="F1654" s="5"/>
      <c r="G1654" s="19"/>
      <c r="H1654" s="5"/>
    </row>
    <row r="1655" spans="1:8" x14ac:dyDescent="0.35">
      <c r="A1655" s="5"/>
      <c r="B1655" s="5"/>
      <c r="C1655" s="22"/>
      <c r="D1655" s="5"/>
      <c r="E1655" s="5"/>
      <c r="F1655" s="5"/>
      <c r="G1655" s="19"/>
      <c r="H1655" s="5"/>
    </row>
    <row r="1656" spans="1:8" x14ac:dyDescent="0.35">
      <c r="A1656" s="5"/>
      <c r="B1656" s="5"/>
      <c r="C1656" s="22"/>
      <c r="D1656" s="5"/>
      <c r="E1656" s="5"/>
      <c r="F1656" s="5"/>
      <c r="G1656" s="19"/>
      <c r="H1656" s="5"/>
    </row>
    <row r="1657" spans="1:8" x14ac:dyDescent="0.35">
      <c r="A1657" s="5"/>
      <c r="B1657" s="5"/>
      <c r="C1657" s="22"/>
      <c r="D1657" s="5"/>
      <c r="E1657" s="5"/>
      <c r="F1657" s="5"/>
      <c r="G1657" s="19"/>
      <c r="H1657" s="5"/>
    </row>
    <row r="1658" spans="1:8" x14ac:dyDescent="0.35">
      <c r="A1658" s="5"/>
      <c r="B1658" s="5"/>
      <c r="C1658" s="22"/>
      <c r="D1658" s="5"/>
      <c r="E1658" s="5"/>
      <c r="F1658" s="5"/>
      <c r="G1658" s="19"/>
      <c r="H1658" s="5"/>
    </row>
    <row r="1659" spans="1:8" x14ac:dyDescent="0.35">
      <c r="A1659" s="5"/>
      <c r="B1659" s="5"/>
      <c r="C1659" s="22"/>
      <c r="D1659" s="5"/>
      <c r="E1659" s="5"/>
      <c r="F1659" s="5"/>
      <c r="G1659" s="19"/>
      <c r="H1659" s="5"/>
    </row>
    <row r="1660" spans="1:8" x14ac:dyDescent="0.35">
      <c r="A1660" s="5"/>
      <c r="B1660" s="5"/>
      <c r="C1660" s="22"/>
      <c r="D1660" s="5"/>
      <c r="E1660" s="5"/>
      <c r="F1660" s="5"/>
      <c r="G1660" s="19"/>
      <c r="H1660" s="5"/>
    </row>
    <row r="1661" spans="1:8" x14ac:dyDescent="0.35">
      <c r="A1661" s="5"/>
      <c r="B1661" s="5"/>
      <c r="C1661" s="22"/>
      <c r="D1661" s="5"/>
      <c r="E1661" s="5"/>
      <c r="F1661" s="5"/>
      <c r="G1661" s="19"/>
      <c r="H1661" s="5"/>
    </row>
    <row r="1662" spans="1:8" x14ac:dyDescent="0.35">
      <c r="A1662" s="5"/>
      <c r="B1662" s="5"/>
      <c r="C1662" s="22"/>
      <c r="D1662" s="5"/>
      <c r="E1662" s="5"/>
      <c r="F1662" s="5"/>
      <c r="G1662" s="19"/>
      <c r="H1662" s="5"/>
    </row>
    <row r="1663" spans="1:8" x14ac:dyDescent="0.35">
      <c r="A1663" s="5"/>
      <c r="B1663" s="5"/>
      <c r="C1663" s="22"/>
      <c r="D1663" s="5"/>
      <c r="E1663" s="5"/>
      <c r="F1663" s="5"/>
      <c r="G1663" s="19"/>
      <c r="H1663" s="5"/>
    </row>
    <row r="1664" spans="1:8" x14ac:dyDescent="0.35">
      <c r="A1664" s="5"/>
      <c r="B1664" s="5"/>
      <c r="C1664" s="22"/>
      <c r="D1664" s="5"/>
      <c r="E1664" s="5"/>
      <c r="F1664" s="5"/>
      <c r="G1664" s="19"/>
      <c r="H1664" s="5"/>
    </row>
    <row r="1665" spans="1:8" x14ac:dyDescent="0.35">
      <c r="A1665" s="5"/>
      <c r="B1665" s="5"/>
      <c r="C1665" s="22"/>
      <c r="D1665" s="5"/>
      <c r="E1665" s="5"/>
      <c r="F1665" s="5"/>
      <c r="G1665" s="19"/>
      <c r="H1665" s="5"/>
    </row>
    <row r="1666" spans="1:8" x14ac:dyDescent="0.35">
      <c r="A1666" s="5"/>
      <c r="B1666" s="5"/>
      <c r="C1666" s="22"/>
      <c r="D1666" s="5"/>
      <c r="E1666" s="5"/>
      <c r="F1666" s="5"/>
      <c r="G1666" s="19"/>
      <c r="H1666" s="5"/>
    </row>
    <row r="1667" spans="1:8" x14ac:dyDescent="0.35">
      <c r="A1667" s="5"/>
      <c r="B1667" s="5"/>
      <c r="C1667" s="22"/>
      <c r="D1667" s="5"/>
      <c r="E1667" s="5"/>
      <c r="F1667" s="5"/>
      <c r="G1667" s="19"/>
      <c r="H1667" s="5"/>
    </row>
    <row r="1668" spans="1:8" x14ac:dyDescent="0.35">
      <c r="A1668" s="5"/>
      <c r="B1668" s="5"/>
      <c r="C1668" s="22"/>
      <c r="D1668" s="5"/>
      <c r="E1668" s="5"/>
      <c r="F1668" s="5"/>
      <c r="G1668" s="19"/>
      <c r="H1668" s="5"/>
    </row>
    <row r="1669" spans="1:8" x14ac:dyDescent="0.35">
      <c r="A1669" s="5"/>
      <c r="B1669" s="5"/>
      <c r="C1669" s="22"/>
      <c r="D1669" s="5"/>
      <c r="E1669" s="5"/>
      <c r="F1669" s="5"/>
      <c r="G1669" s="19"/>
      <c r="H1669" s="5"/>
    </row>
    <row r="1670" spans="1:8" x14ac:dyDescent="0.35">
      <c r="A1670" s="5"/>
      <c r="B1670" s="5"/>
      <c r="C1670" s="22"/>
      <c r="D1670" s="5"/>
      <c r="E1670" s="5"/>
      <c r="F1670" s="5"/>
      <c r="G1670" s="19"/>
      <c r="H1670" s="5"/>
    </row>
    <row r="1671" spans="1:8" x14ac:dyDescent="0.35">
      <c r="A1671" s="5"/>
      <c r="B1671" s="5"/>
      <c r="C1671" s="22"/>
      <c r="D1671" s="5"/>
      <c r="E1671" s="5"/>
      <c r="F1671" s="5"/>
      <c r="G1671" s="19"/>
      <c r="H1671" s="5"/>
    </row>
    <row r="1672" spans="1:8" x14ac:dyDescent="0.35">
      <c r="A1672" s="5"/>
      <c r="B1672" s="5"/>
      <c r="C1672" s="22"/>
      <c r="D1672" s="5"/>
      <c r="E1672" s="5"/>
      <c r="F1672" s="5"/>
      <c r="G1672" s="19"/>
      <c r="H1672" s="5"/>
    </row>
    <row r="1673" spans="1:8" x14ac:dyDescent="0.35">
      <c r="A1673" s="5"/>
      <c r="B1673" s="5"/>
      <c r="C1673" s="22"/>
      <c r="D1673" s="5"/>
      <c r="E1673" s="5"/>
      <c r="F1673" s="5"/>
      <c r="G1673" s="19"/>
      <c r="H1673" s="5"/>
    </row>
    <row r="1674" spans="1:8" x14ac:dyDescent="0.35">
      <c r="A1674" s="5"/>
      <c r="B1674" s="5"/>
      <c r="C1674" s="22"/>
      <c r="D1674" s="5"/>
      <c r="E1674" s="5"/>
      <c r="F1674" s="5"/>
      <c r="G1674" s="19"/>
      <c r="H1674" s="5"/>
    </row>
    <row r="1675" spans="1:8" x14ac:dyDescent="0.35">
      <c r="A1675" s="5"/>
      <c r="B1675" s="5"/>
      <c r="C1675" s="22"/>
      <c r="D1675" s="5"/>
      <c r="E1675" s="5"/>
      <c r="F1675" s="5"/>
      <c r="G1675" s="19"/>
      <c r="H1675" s="5"/>
    </row>
    <row r="1676" spans="1:8" x14ac:dyDescent="0.35">
      <c r="A1676" s="5"/>
      <c r="B1676" s="5"/>
      <c r="C1676" s="22"/>
      <c r="D1676" s="5"/>
      <c r="E1676" s="5"/>
      <c r="F1676" s="5"/>
      <c r="G1676" s="19"/>
      <c r="H1676" s="5"/>
    </row>
    <row r="1677" spans="1:8" x14ac:dyDescent="0.35">
      <c r="A1677" s="5"/>
      <c r="B1677" s="5"/>
      <c r="C1677" s="22"/>
      <c r="D1677" s="5"/>
      <c r="E1677" s="5"/>
      <c r="F1677" s="5"/>
      <c r="G1677" s="19"/>
      <c r="H1677" s="5"/>
    </row>
    <row r="1678" spans="1:8" x14ac:dyDescent="0.35">
      <c r="A1678" s="5"/>
      <c r="B1678" s="5"/>
      <c r="C1678" s="22"/>
      <c r="D1678" s="5"/>
      <c r="E1678" s="5"/>
      <c r="F1678" s="5"/>
      <c r="G1678" s="19"/>
      <c r="H1678" s="5"/>
    </row>
    <row r="1679" spans="1:8" x14ac:dyDescent="0.35">
      <c r="A1679" s="5"/>
      <c r="B1679" s="5"/>
      <c r="C1679" s="22"/>
      <c r="D1679" s="5"/>
      <c r="E1679" s="5"/>
      <c r="F1679" s="5"/>
      <c r="G1679" s="19"/>
      <c r="H1679" s="5"/>
    </row>
    <row r="1680" spans="1:8" x14ac:dyDescent="0.35">
      <c r="A1680" s="5"/>
      <c r="B1680" s="5"/>
      <c r="C1680" s="22"/>
      <c r="D1680" s="5"/>
      <c r="E1680" s="5"/>
      <c r="F1680" s="5"/>
      <c r="G1680" s="19"/>
      <c r="H1680" s="5"/>
    </row>
    <row r="1681" spans="1:8" x14ac:dyDescent="0.35">
      <c r="A1681" s="5"/>
      <c r="B1681" s="5"/>
      <c r="C1681" s="22"/>
      <c r="D1681" s="5"/>
      <c r="E1681" s="5"/>
      <c r="F1681" s="5"/>
      <c r="G1681" s="19"/>
      <c r="H1681" s="5"/>
    </row>
    <row r="1682" spans="1:8" x14ac:dyDescent="0.35">
      <c r="A1682" s="5"/>
      <c r="B1682" s="5"/>
      <c r="C1682" s="22"/>
      <c r="D1682" s="5"/>
      <c r="E1682" s="5"/>
      <c r="F1682" s="5"/>
      <c r="G1682" s="19"/>
      <c r="H1682" s="5"/>
    </row>
    <row r="1683" spans="1:8" x14ac:dyDescent="0.35">
      <c r="A1683" s="5"/>
      <c r="B1683" s="5"/>
      <c r="C1683" s="22"/>
      <c r="D1683" s="5"/>
      <c r="E1683" s="5"/>
      <c r="F1683" s="5"/>
      <c r="G1683" s="19"/>
      <c r="H1683" s="5"/>
    </row>
    <row r="1684" spans="1:8" x14ac:dyDescent="0.35">
      <c r="A1684" s="5"/>
      <c r="B1684" s="5"/>
      <c r="C1684" s="22"/>
      <c r="D1684" s="5"/>
      <c r="E1684" s="5"/>
      <c r="F1684" s="5"/>
      <c r="G1684" s="19"/>
      <c r="H1684" s="5"/>
    </row>
    <row r="1685" spans="1:8" x14ac:dyDescent="0.35">
      <c r="A1685" s="5"/>
      <c r="B1685" s="5"/>
      <c r="C1685" s="22"/>
      <c r="D1685" s="5"/>
      <c r="E1685" s="5"/>
      <c r="F1685" s="5"/>
      <c r="G1685" s="19"/>
      <c r="H1685" s="5"/>
    </row>
    <row r="1686" spans="1:8" x14ac:dyDescent="0.35">
      <c r="A1686" s="5"/>
      <c r="B1686" s="5"/>
      <c r="C1686" s="22"/>
      <c r="D1686" s="5"/>
      <c r="E1686" s="5"/>
      <c r="F1686" s="5"/>
      <c r="G1686" s="19"/>
      <c r="H1686" s="5"/>
    </row>
    <row r="1687" spans="1:8" x14ac:dyDescent="0.35">
      <c r="A1687" s="5"/>
      <c r="B1687" s="5"/>
      <c r="C1687" s="22"/>
      <c r="D1687" s="5"/>
      <c r="E1687" s="5"/>
      <c r="F1687" s="5"/>
      <c r="G1687" s="19"/>
      <c r="H1687" s="5"/>
    </row>
    <row r="1688" spans="1:8" x14ac:dyDescent="0.35">
      <c r="A1688" s="5"/>
      <c r="B1688" s="5"/>
      <c r="C1688" s="22"/>
      <c r="D1688" s="5"/>
      <c r="E1688" s="5"/>
      <c r="F1688" s="5"/>
      <c r="G1688" s="19"/>
      <c r="H1688" s="5"/>
    </row>
    <row r="1689" spans="1:8" x14ac:dyDescent="0.35">
      <c r="A1689" s="5"/>
      <c r="B1689" s="5"/>
      <c r="C1689" s="22"/>
      <c r="D1689" s="5"/>
      <c r="E1689" s="5"/>
      <c r="F1689" s="5"/>
      <c r="G1689" s="19"/>
      <c r="H1689" s="5"/>
    </row>
    <row r="1690" spans="1:8" x14ac:dyDescent="0.35">
      <c r="A1690" s="5"/>
      <c r="B1690" s="5"/>
      <c r="C1690" s="22"/>
      <c r="D1690" s="5"/>
      <c r="E1690" s="5"/>
      <c r="F1690" s="5"/>
      <c r="G1690" s="19"/>
      <c r="H1690" s="5"/>
    </row>
    <row r="1691" spans="1:8" x14ac:dyDescent="0.35">
      <c r="A1691" s="5"/>
      <c r="B1691" s="5"/>
      <c r="C1691" s="22"/>
      <c r="D1691" s="5"/>
      <c r="E1691" s="5"/>
      <c r="F1691" s="5"/>
      <c r="G1691" s="19"/>
      <c r="H1691" s="5"/>
    </row>
    <row r="1692" spans="1:8" x14ac:dyDescent="0.35">
      <c r="A1692" s="5"/>
      <c r="B1692" s="5"/>
      <c r="C1692" s="22"/>
      <c r="D1692" s="5"/>
      <c r="E1692" s="5"/>
      <c r="F1692" s="5"/>
      <c r="G1692" s="19"/>
      <c r="H1692" s="5"/>
    </row>
    <row r="1693" spans="1:8" x14ac:dyDescent="0.35">
      <c r="A1693" s="5"/>
      <c r="B1693" s="5"/>
      <c r="C1693" s="22"/>
      <c r="D1693" s="5"/>
      <c r="E1693" s="23"/>
      <c r="F1693" s="5"/>
      <c r="G1693" s="19"/>
      <c r="H1693" s="5"/>
    </row>
    <row r="1694" spans="1:8" x14ac:dyDescent="0.35">
      <c r="A1694" s="5"/>
      <c r="B1694" s="5"/>
      <c r="C1694" s="22"/>
      <c r="D1694" s="5"/>
      <c r="E1694" s="5"/>
      <c r="F1694" s="5"/>
      <c r="G1694" s="19"/>
      <c r="H1694" s="5"/>
    </row>
    <row r="1695" spans="1:8" x14ac:dyDescent="0.35">
      <c r="A1695" s="5"/>
      <c r="B1695" s="5"/>
      <c r="C1695" s="22"/>
      <c r="D1695" s="5"/>
      <c r="E1695" s="5"/>
      <c r="F1695" s="5"/>
      <c r="G1695" s="19"/>
      <c r="H1695" s="5"/>
    </row>
    <row r="1696" spans="1:8" x14ac:dyDescent="0.35">
      <c r="A1696" s="5"/>
      <c r="B1696" s="5"/>
      <c r="C1696" s="22"/>
      <c r="D1696" s="5"/>
      <c r="E1696" s="5"/>
      <c r="F1696" s="5"/>
      <c r="G1696" s="19"/>
      <c r="H1696" s="5"/>
    </row>
    <row r="1697" spans="1:8" x14ac:dyDescent="0.35">
      <c r="A1697" s="5"/>
      <c r="B1697" s="5"/>
      <c r="C1697" s="22"/>
      <c r="D1697" s="5"/>
      <c r="E1697" s="5"/>
      <c r="F1697" s="5"/>
      <c r="G1697" s="19"/>
      <c r="H1697" s="5"/>
    </row>
    <row r="1698" spans="1:8" x14ac:dyDescent="0.35">
      <c r="A1698" s="5"/>
      <c r="B1698" s="5"/>
      <c r="C1698" s="22"/>
      <c r="D1698" s="5"/>
      <c r="E1698" s="5"/>
      <c r="F1698" s="5"/>
      <c r="G1698" s="19"/>
      <c r="H1698" s="5"/>
    </row>
    <row r="1699" spans="1:8" x14ac:dyDescent="0.35">
      <c r="A1699" s="5"/>
      <c r="B1699" s="5"/>
      <c r="C1699" s="22"/>
      <c r="D1699" s="5"/>
      <c r="E1699" s="5"/>
      <c r="F1699" s="5"/>
      <c r="G1699" s="19"/>
      <c r="H1699" s="5"/>
    </row>
    <row r="1700" spans="1:8" x14ac:dyDescent="0.35">
      <c r="A1700" s="5"/>
      <c r="B1700" s="5"/>
      <c r="C1700" s="22"/>
      <c r="D1700" s="5"/>
      <c r="E1700" s="5"/>
      <c r="F1700" s="5"/>
      <c r="G1700" s="19"/>
      <c r="H1700" s="5"/>
    </row>
    <row r="1701" spans="1:8" x14ac:dyDescent="0.35">
      <c r="A1701" s="5"/>
      <c r="B1701" s="5"/>
      <c r="C1701" s="22"/>
      <c r="D1701" s="5"/>
      <c r="E1701" s="5"/>
      <c r="F1701" s="5"/>
      <c r="G1701" s="19"/>
      <c r="H1701" s="5"/>
    </row>
    <row r="1702" spans="1:8" x14ac:dyDescent="0.35">
      <c r="A1702" s="5"/>
      <c r="B1702" s="5"/>
      <c r="C1702" s="22"/>
      <c r="D1702" s="5"/>
      <c r="E1702" s="5"/>
      <c r="F1702" s="5"/>
      <c r="G1702" s="19"/>
      <c r="H1702" s="5"/>
    </row>
    <row r="1703" spans="1:8" x14ac:dyDescent="0.35">
      <c r="A1703" s="5"/>
      <c r="B1703" s="5"/>
      <c r="C1703" s="22"/>
      <c r="D1703" s="5"/>
      <c r="E1703" s="5"/>
      <c r="F1703" s="5"/>
      <c r="G1703" s="19"/>
      <c r="H1703" s="5"/>
    </row>
    <row r="1704" spans="1:8" x14ac:dyDescent="0.35">
      <c r="A1704" s="5"/>
      <c r="B1704" s="5"/>
      <c r="C1704" s="22"/>
      <c r="D1704" s="5"/>
      <c r="E1704" s="5"/>
      <c r="F1704" s="5"/>
      <c r="G1704" s="19"/>
      <c r="H1704" s="5"/>
    </row>
    <row r="1705" spans="1:8" x14ac:dyDescent="0.35">
      <c r="A1705" s="5"/>
      <c r="B1705" s="5"/>
      <c r="C1705" s="22"/>
      <c r="D1705" s="5"/>
      <c r="E1705" s="5"/>
      <c r="F1705" s="5"/>
      <c r="G1705" s="19"/>
      <c r="H1705" s="5"/>
    </row>
    <row r="1706" spans="1:8" x14ac:dyDescent="0.35">
      <c r="A1706" s="5"/>
      <c r="B1706" s="5"/>
      <c r="C1706" s="22"/>
      <c r="D1706" s="5"/>
      <c r="E1706" s="5"/>
      <c r="F1706" s="5"/>
      <c r="G1706" s="19"/>
      <c r="H1706" s="5"/>
    </row>
    <row r="1707" spans="1:8" x14ac:dyDescent="0.35">
      <c r="A1707" s="5"/>
      <c r="B1707" s="5"/>
      <c r="C1707" s="22"/>
      <c r="D1707" s="5"/>
      <c r="E1707" s="5"/>
      <c r="F1707" s="5"/>
      <c r="G1707" s="19"/>
      <c r="H1707" s="5"/>
    </row>
    <row r="1708" spans="1:8" x14ac:dyDescent="0.35">
      <c r="A1708" s="5"/>
      <c r="B1708" s="5"/>
      <c r="C1708" s="22"/>
      <c r="D1708" s="5"/>
      <c r="E1708" s="5"/>
      <c r="F1708" s="5"/>
      <c r="G1708" s="19"/>
      <c r="H1708" s="5"/>
    </row>
    <row r="1709" spans="1:8" x14ac:dyDescent="0.35">
      <c r="A1709" s="5"/>
      <c r="B1709" s="5"/>
      <c r="C1709" s="22"/>
      <c r="D1709" s="5"/>
      <c r="E1709" s="5"/>
      <c r="F1709" s="5"/>
      <c r="G1709" s="19"/>
      <c r="H1709" s="5"/>
    </row>
    <row r="1710" spans="1:8" x14ac:dyDescent="0.35">
      <c r="A1710" s="5"/>
      <c r="B1710" s="5"/>
      <c r="C1710" s="22"/>
      <c r="D1710" s="5"/>
      <c r="E1710" s="5"/>
      <c r="F1710" s="5"/>
      <c r="G1710" s="19"/>
      <c r="H1710" s="5"/>
    </row>
    <row r="1711" spans="1:8" x14ac:dyDescent="0.35">
      <c r="A1711" s="5"/>
      <c r="B1711" s="5"/>
      <c r="C1711" s="22"/>
      <c r="D1711" s="5"/>
      <c r="E1711" s="5"/>
      <c r="F1711" s="5"/>
      <c r="G1711" s="19"/>
      <c r="H1711" s="5"/>
    </row>
    <row r="1712" spans="1:8" x14ac:dyDescent="0.35">
      <c r="A1712" s="5"/>
      <c r="B1712" s="5"/>
      <c r="C1712" s="22"/>
      <c r="D1712" s="5"/>
      <c r="E1712" s="5"/>
      <c r="F1712" s="5"/>
      <c r="G1712" s="19"/>
      <c r="H1712" s="5"/>
    </row>
    <row r="1713" spans="1:8" x14ac:dyDescent="0.35">
      <c r="A1713" s="5"/>
      <c r="B1713" s="5"/>
      <c r="C1713" s="22"/>
      <c r="D1713" s="5"/>
      <c r="E1713" s="5"/>
      <c r="F1713" s="5"/>
      <c r="G1713" s="19"/>
      <c r="H1713" s="5"/>
    </row>
    <row r="1714" spans="1:8" x14ac:dyDescent="0.35">
      <c r="A1714" s="5"/>
      <c r="B1714" s="5"/>
      <c r="C1714" s="22"/>
      <c r="D1714" s="5"/>
      <c r="E1714" s="5"/>
      <c r="F1714" s="5"/>
      <c r="G1714" s="19"/>
      <c r="H1714" s="5"/>
    </row>
    <row r="1715" spans="1:8" x14ac:dyDescent="0.35">
      <c r="A1715" s="5"/>
      <c r="B1715" s="5"/>
      <c r="C1715" s="22"/>
      <c r="D1715" s="5"/>
      <c r="E1715" s="5"/>
      <c r="F1715" s="5"/>
      <c r="G1715" s="19"/>
      <c r="H1715" s="5"/>
    </row>
    <row r="1716" spans="1:8" x14ac:dyDescent="0.35">
      <c r="A1716" s="5"/>
      <c r="B1716" s="5"/>
      <c r="C1716" s="22"/>
      <c r="D1716" s="5"/>
      <c r="E1716" s="5"/>
      <c r="F1716" s="5"/>
      <c r="G1716" s="19"/>
      <c r="H1716" s="5"/>
    </row>
    <row r="1717" spans="1:8" x14ac:dyDescent="0.35">
      <c r="A1717" s="5"/>
      <c r="B1717" s="5"/>
      <c r="C1717" s="22"/>
      <c r="D1717" s="5"/>
      <c r="E1717" s="5"/>
      <c r="F1717" s="5"/>
      <c r="G1717" s="19"/>
      <c r="H1717" s="5"/>
    </row>
    <row r="1718" spans="1:8" x14ac:dyDescent="0.35">
      <c r="A1718" s="5"/>
      <c r="B1718" s="5"/>
      <c r="C1718" s="22"/>
      <c r="D1718" s="5"/>
      <c r="E1718" s="5"/>
      <c r="F1718" s="5"/>
      <c r="G1718" s="19"/>
      <c r="H1718" s="5"/>
    </row>
    <row r="1719" spans="1:8" x14ac:dyDescent="0.35">
      <c r="A1719" s="5"/>
      <c r="B1719" s="5"/>
      <c r="C1719" s="22"/>
      <c r="D1719" s="5"/>
      <c r="E1719" s="5"/>
      <c r="F1719" s="5"/>
      <c r="G1719" s="19"/>
      <c r="H1719" s="5"/>
    </row>
    <row r="1720" spans="1:8" x14ac:dyDescent="0.35">
      <c r="A1720" s="5"/>
      <c r="B1720" s="5"/>
      <c r="C1720" s="22"/>
      <c r="D1720" s="5"/>
      <c r="E1720" s="5"/>
      <c r="F1720" s="5"/>
      <c r="G1720" s="19"/>
      <c r="H1720" s="5"/>
    </row>
    <row r="1721" spans="1:8" x14ac:dyDescent="0.35">
      <c r="A1721" s="5"/>
      <c r="B1721" s="5"/>
      <c r="C1721" s="22"/>
      <c r="D1721" s="5"/>
      <c r="E1721" s="5"/>
      <c r="F1721" s="5"/>
      <c r="G1721" s="19"/>
      <c r="H1721" s="5"/>
    </row>
    <row r="1722" spans="1:8" x14ac:dyDescent="0.35">
      <c r="A1722" s="5"/>
      <c r="B1722" s="5"/>
      <c r="C1722" s="22"/>
      <c r="D1722" s="5"/>
      <c r="E1722" s="23"/>
      <c r="F1722" s="5"/>
      <c r="G1722" s="19"/>
      <c r="H1722" s="5"/>
    </row>
    <row r="1723" spans="1:8" x14ac:dyDescent="0.35">
      <c r="A1723" s="5"/>
      <c r="B1723" s="5"/>
      <c r="C1723" s="22"/>
      <c r="D1723" s="5"/>
      <c r="E1723" s="5"/>
      <c r="F1723" s="5"/>
      <c r="G1723" s="19"/>
      <c r="H1723" s="5"/>
    </row>
    <row r="1724" spans="1:8" x14ac:dyDescent="0.35">
      <c r="A1724" s="5"/>
      <c r="B1724" s="5"/>
      <c r="C1724" s="22"/>
      <c r="D1724" s="5"/>
      <c r="E1724" s="5"/>
      <c r="F1724" s="5"/>
      <c r="G1724" s="19"/>
      <c r="H1724" s="5"/>
    </row>
    <row r="1725" spans="1:8" x14ac:dyDescent="0.35">
      <c r="A1725" s="5"/>
      <c r="B1725" s="5"/>
      <c r="C1725" s="22"/>
      <c r="D1725" s="5"/>
      <c r="E1725" s="5"/>
      <c r="F1725" s="5"/>
      <c r="G1725" s="19"/>
      <c r="H1725" s="5"/>
    </row>
    <row r="1726" spans="1:8" x14ac:dyDescent="0.35">
      <c r="A1726" s="5"/>
      <c r="B1726" s="5"/>
      <c r="C1726" s="22"/>
      <c r="D1726" s="5"/>
      <c r="E1726" s="5"/>
      <c r="F1726" s="5"/>
      <c r="G1726" s="19"/>
      <c r="H1726" s="5"/>
    </row>
    <row r="1727" spans="1:8" x14ac:dyDescent="0.35">
      <c r="A1727" s="5"/>
      <c r="B1727" s="5"/>
      <c r="C1727" s="22"/>
      <c r="D1727" s="5"/>
      <c r="E1727" s="5"/>
      <c r="F1727" s="5"/>
      <c r="G1727" s="19"/>
      <c r="H1727" s="5"/>
    </row>
    <row r="1728" spans="1:8" x14ac:dyDescent="0.35">
      <c r="A1728" s="5"/>
      <c r="B1728" s="5"/>
      <c r="C1728" s="22"/>
      <c r="D1728" s="5"/>
      <c r="E1728" s="5"/>
      <c r="F1728" s="5"/>
      <c r="G1728" s="19"/>
      <c r="H1728" s="5"/>
    </row>
    <row r="1729" spans="1:8" x14ac:dyDescent="0.35">
      <c r="A1729" s="5"/>
      <c r="B1729" s="5"/>
      <c r="C1729" s="22"/>
      <c r="D1729" s="5"/>
      <c r="E1729" s="5"/>
      <c r="F1729" s="5"/>
      <c r="G1729" s="19"/>
      <c r="H1729" s="5"/>
    </row>
    <row r="1730" spans="1:8" x14ac:dyDescent="0.35">
      <c r="A1730" s="5"/>
      <c r="B1730" s="5"/>
      <c r="C1730" s="22"/>
      <c r="D1730" s="5"/>
      <c r="E1730" s="5"/>
      <c r="F1730" s="5"/>
      <c r="G1730" s="19"/>
      <c r="H1730" s="5"/>
    </row>
    <row r="1731" spans="1:8" x14ac:dyDescent="0.35">
      <c r="A1731" s="5"/>
      <c r="B1731" s="5"/>
      <c r="C1731" s="22"/>
      <c r="D1731" s="5"/>
      <c r="E1731" s="5"/>
      <c r="F1731" s="5"/>
      <c r="G1731" s="19"/>
      <c r="H1731" s="5"/>
    </row>
    <row r="1732" spans="1:8" x14ac:dyDescent="0.35">
      <c r="A1732" s="5"/>
      <c r="B1732" s="5"/>
      <c r="C1732" s="22"/>
      <c r="D1732" s="5"/>
      <c r="E1732" s="5"/>
      <c r="F1732" s="5"/>
      <c r="G1732" s="19"/>
      <c r="H1732" s="5"/>
    </row>
    <row r="1733" spans="1:8" x14ac:dyDescent="0.35">
      <c r="A1733" s="5"/>
      <c r="B1733" s="5"/>
      <c r="C1733" s="22"/>
      <c r="D1733" s="5"/>
      <c r="E1733" s="5"/>
      <c r="F1733" s="5"/>
      <c r="G1733" s="19"/>
      <c r="H1733" s="5"/>
    </row>
    <row r="1734" spans="1:8" x14ac:dyDescent="0.35">
      <c r="A1734" s="5"/>
      <c r="B1734" s="5"/>
      <c r="C1734" s="22"/>
      <c r="D1734" s="5"/>
      <c r="E1734" s="5"/>
      <c r="F1734" s="5"/>
      <c r="G1734" s="19"/>
      <c r="H1734" s="5"/>
    </row>
    <row r="1735" spans="1:8" x14ac:dyDescent="0.35">
      <c r="A1735" s="5"/>
      <c r="B1735" s="5"/>
      <c r="C1735" s="22"/>
      <c r="D1735" s="5"/>
      <c r="E1735" s="5"/>
      <c r="F1735" s="5"/>
      <c r="G1735" s="19"/>
      <c r="H1735" s="5"/>
    </row>
    <row r="1736" spans="1:8" x14ac:dyDescent="0.35">
      <c r="A1736" s="5"/>
      <c r="B1736" s="5"/>
      <c r="C1736" s="22"/>
      <c r="D1736" s="5"/>
      <c r="E1736" s="5"/>
      <c r="F1736" s="5"/>
      <c r="G1736" s="19"/>
      <c r="H1736" s="5"/>
    </row>
    <row r="1737" spans="1:8" x14ac:dyDescent="0.35">
      <c r="A1737" s="5"/>
      <c r="B1737" s="5"/>
      <c r="C1737" s="22"/>
      <c r="D1737" s="5"/>
      <c r="E1737" s="5"/>
      <c r="F1737" s="5"/>
      <c r="G1737" s="19"/>
      <c r="H1737" s="5"/>
    </row>
    <row r="1738" spans="1:8" x14ac:dyDescent="0.35">
      <c r="A1738" s="5"/>
      <c r="B1738" s="5"/>
      <c r="C1738" s="22"/>
      <c r="D1738" s="5"/>
      <c r="E1738" s="5"/>
      <c r="F1738" s="5"/>
      <c r="G1738" s="19"/>
      <c r="H1738" s="5"/>
    </row>
    <row r="1739" spans="1:8" x14ac:dyDescent="0.35">
      <c r="A1739" s="5"/>
      <c r="B1739" s="5"/>
      <c r="C1739" s="22"/>
      <c r="D1739" s="5"/>
      <c r="E1739" s="5"/>
      <c r="F1739" s="5"/>
      <c r="G1739" s="19"/>
      <c r="H1739" s="5"/>
    </row>
    <row r="1740" spans="1:8" x14ac:dyDescent="0.35">
      <c r="A1740" s="5"/>
      <c r="B1740" s="5"/>
      <c r="C1740" s="22"/>
      <c r="D1740" s="5"/>
      <c r="E1740" s="5"/>
      <c r="F1740" s="5"/>
      <c r="G1740" s="19"/>
      <c r="H1740" s="5"/>
    </row>
    <row r="1741" spans="1:8" x14ac:dyDescent="0.35">
      <c r="A1741" s="5"/>
      <c r="B1741" s="5"/>
      <c r="C1741" s="22"/>
      <c r="D1741" s="5"/>
      <c r="E1741" s="5"/>
      <c r="F1741" s="5"/>
      <c r="G1741" s="19"/>
      <c r="H1741" s="5"/>
    </row>
    <row r="1742" spans="1:8" x14ac:dyDescent="0.35">
      <c r="A1742" s="5"/>
      <c r="B1742" s="5"/>
      <c r="C1742" s="22"/>
      <c r="D1742" s="5"/>
      <c r="E1742" s="5"/>
      <c r="F1742" s="5"/>
      <c r="G1742" s="19"/>
      <c r="H1742" s="5"/>
    </row>
    <row r="1743" spans="1:8" x14ac:dyDescent="0.35">
      <c r="A1743" s="5"/>
      <c r="B1743" s="5"/>
      <c r="C1743" s="22"/>
      <c r="D1743" s="5"/>
      <c r="E1743" s="5"/>
      <c r="F1743" s="5"/>
      <c r="G1743" s="19"/>
      <c r="H1743" s="5"/>
    </row>
    <row r="1744" spans="1:8" x14ac:dyDescent="0.35">
      <c r="A1744" s="5"/>
      <c r="B1744" s="5"/>
      <c r="C1744" s="22"/>
      <c r="D1744" s="5"/>
      <c r="E1744" s="5"/>
      <c r="F1744" s="5"/>
      <c r="G1744" s="19"/>
      <c r="H1744" s="5"/>
    </row>
    <row r="1745" spans="1:8" x14ac:dyDescent="0.35">
      <c r="A1745" s="5"/>
      <c r="B1745" s="5"/>
      <c r="C1745" s="22"/>
      <c r="D1745" s="5"/>
      <c r="E1745" s="5"/>
      <c r="F1745" s="5"/>
      <c r="G1745" s="19"/>
      <c r="H1745" s="5"/>
    </row>
    <row r="1746" spans="1:8" x14ac:dyDescent="0.35">
      <c r="A1746" s="5"/>
      <c r="B1746" s="5"/>
      <c r="C1746" s="22"/>
      <c r="D1746" s="5"/>
      <c r="E1746" s="5"/>
      <c r="F1746" s="5"/>
      <c r="G1746" s="19"/>
      <c r="H1746" s="5"/>
    </row>
    <row r="1747" spans="1:8" x14ac:dyDescent="0.35">
      <c r="A1747" s="5"/>
      <c r="B1747" s="5"/>
      <c r="C1747" s="22"/>
      <c r="D1747" s="5"/>
      <c r="E1747" s="5"/>
      <c r="F1747" s="5"/>
      <c r="G1747" s="19"/>
      <c r="H1747" s="5"/>
    </row>
    <row r="1748" spans="1:8" x14ac:dyDescent="0.35">
      <c r="A1748" s="5"/>
      <c r="B1748" s="5"/>
      <c r="C1748" s="22"/>
      <c r="D1748" s="5"/>
      <c r="E1748" s="5"/>
      <c r="F1748" s="5"/>
      <c r="G1748" s="19"/>
      <c r="H1748" s="5"/>
    </row>
    <row r="1749" spans="1:8" x14ac:dyDescent="0.35">
      <c r="A1749" s="5"/>
      <c r="B1749" s="5"/>
      <c r="C1749" s="22"/>
      <c r="D1749" s="5"/>
      <c r="E1749" s="5"/>
      <c r="F1749" s="5"/>
      <c r="G1749" s="19"/>
      <c r="H1749" s="5"/>
    </row>
    <row r="1750" spans="1:8" x14ac:dyDescent="0.35">
      <c r="A1750" s="5"/>
      <c r="B1750" s="5"/>
      <c r="C1750" s="22"/>
      <c r="D1750" s="5"/>
      <c r="E1750" s="5"/>
      <c r="F1750" s="5"/>
      <c r="G1750" s="19"/>
      <c r="H1750" s="5"/>
    </row>
    <row r="1751" spans="1:8" x14ac:dyDescent="0.35">
      <c r="A1751" s="5"/>
      <c r="B1751" s="5"/>
      <c r="C1751" s="22"/>
      <c r="D1751" s="5"/>
      <c r="E1751" s="5"/>
      <c r="F1751" s="5"/>
      <c r="G1751" s="19"/>
      <c r="H1751" s="5"/>
    </row>
    <row r="1752" spans="1:8" x14ac:dyDescent="0.35">
      <c r="A1752" s="5"/>
      <c r="B1752" s="5"/>
      <c r="C1752" s="22"/>
      <c r="D1752" s="5"/>
      <c r="E1752" s="5"/>
      <c r="F1752" s="5"/>
      <c r="G1752" s="19"/>
      <c r="H1752" s="5"/>
    </row>
    <row r="1753" spans="1:8" x14ac:dyDescent="0.35">
      <c r="A1753" s="5"/>
      <c r="B1753" s="5"/>
      <c r="C1753" s="22"/>
      <c r="D1753" s="5"/>
      <c r="E1753" s="5"/>
      <c r="F1753" s="5"/>
      <c r="G1753" s="19"/>
      <c r="H1753" s="5"/>
    </row>
    <row r="1754" spans="1:8" x14ac:dyDescent="0.35">
      <c r="A1754" s="5"/>
      <c r="B1754" s="5"/>
      <c r="C1754" s="22"/>
      <c r="D1754" s="5"/>
      <c r="E1754" s="5"/>
      <c r="F1754" s="5"/>
      <c r="G1754" s="19"/>
      <c r="H1754" s="5"/>
    </row>
    <row r="1755" spans="1:8" x14ac:dyDescent="0.35">
      <c r="A1755" s="5"/>
      <c r="B1755" s="5"/>
      <c r="C1755" s="22"/>
      <c r="D1755" s="5"/>
      <c r="E1755" s="5"/>
      <c r="F1755" s="5"/>
      <c r="G1755" s="19"/>
      <c r="H1755" s="5"/>
    </row>
    <row r="1756" spans="1:8" x14ac:dyDescent="0.35">
      <c r="A1756" s="5"/>
      <c r="B1756" s="5"/>
      <c r="C1756" s="22"/>
      <c r="D1756" s="5"/>
      <c r="E1756" s="5"/>
      <c r="F1756" s="5"/>
      <c r="G1756" s="19"/>
      <c r="H1756" s="5"/>
    </row>
    <row r="1757" spans="1:8" x14ac:dyDescent="0.35">
      <c r="A1757" s="5"/>
      <c r="B1757" s="5"/>
      <c r="C1757" s="22"/>
      <c r="D1757" s="5"/>
      <c r="E1757" s="5"/>
      <c r="F1757" s="5"/>
      <c r="G1757" s="19"/>
      <c r="H1757" s="5"/>
    </row>
    <row r="1758" spans="1:8" x14ac:dyDescent="0.35">
      <c r="A1758" s="5"/>
      <c r="B1758" s="5"/>
      <c r="C1758" s="22"/>
      <c r="D1758" s="5"/>
      <c r="E1758" s="5"/>
      <c r="F1758" s="5"/>
      <c r="G1758" s="19"/>
      <c r="H1758" s="5"/>
    </row>
    <row r="1759" spans="1:8" x14ac:dyDescent="0.35">
      <c r="A1759" s="5"/>
      <c r="B1759" s="5"/>
      <c r="C1759" s="22"/>
      <c r="D1759" s="5"/>
      <c r="E1759" s="5"/>
      <c r="F1759" s="5"/>
      <c r="G1759" s="19"/>
      <c r="H1759" s="5"/>
    </row>
    <row r="1760" spans="1:8" x14ac:dyDescent="0.35">
      <c r="A1760" s="5"/>
      <c r="B1760" s="5"/>
      <c r="C1760" s="22"/>
      <c r="D1760" s="5"/>
      <c r="E1760" s="5"/>
      <c r="F1760" s="5"/>
      <c r="G1760" s="19"/>
      <c r="H1760" s="5"/>
    </row>
    <row r="1761" spans="1:8" x14ac:dyDescent="0.35">
      <c r="A1761" s="5"/>
      <c r="B1761" s="5"/>
      <c r="C1761" s="22"/>
      <c r="D1761" s="5"/>
      <c r="E1761" s="5"/>
      <c r="F1761" s="5"/>
      <c r="G1761" s="19"/>
      <c r="H1761" s="5"/>
    </row>
    <row r="1762" spans="1:8" x14ac:dyDescent="0.35">
      <c r="A1762" s="5"/>
      <c r="B1762" s="5"/>
      <c r="C1762" s="22"/>
      <c r="D1762" s="5"/>
      <c r="E1762" s="5"/>
      <c r="F1762" s="5"/>
      <c r="G1762" s="19"/>
      <c r="H1762" s="5"/>
    </row>
    <row r="1763" spans="1:8" x14ac:dyDescent="0.35">
      <c r="A1763" s="5"/>
      <c r="B1763" s="5"/>
      <c r="C1763" s="22"/>
      <c r="D1763" s="5"/>
      <c r="E1763" s="5"/>
      <c r="F1763" s="5"/>
      <c r="G1763" s="19"/>
      <c r="H1763" s="5"/>
    </row>
    <row r="1764" spans="1:8" x14ac:dyDescent="0.35">
      <c r="A1764" s="5"/>
      <c r="B1764" s="5"/>
      <c r="C1764" s="22"/>
      <c r="D1764" s="5"/>
      <c r="E1764" s="5"/>
      <c r="F1764" s="5"/>
      <c r="G1764" s="19"/>
      <c r="H1764" s="5"/>
    </row>
    <row r="1765" spans="1:8" x14ac:dyDescent="0.35">
      <c r="A1765" s="5"/>
      <c r="B1765" s="5"/>
      <c r="C1765" s="22"/>
      <c r="D1765" s="5"/>
      <c r="E1765" s="5"/>
      <c r="F1765" s="5"/>
      <c r="G1765" s="19"/>
      <c r="H1765" s="5"/>
    </row>
    <row r="1766" spans="1:8" x14ac:dyDescent="0.35">
      <c r="A1766" s="5"/>
      <c r="B1766" s="5"/>
      <c r="C1766" s="22"/>
      <c r="D1766" s="5"/>
      <c r="E1766" s="5"/>
      <c r="F1766" s="5"/>
      <c r="G1766" s="19"/>
      <c r="H1766" s="5"/>
    </row>
    <row r="1767" spans="1:8" x14ac:dyDescent="0.35">
      <c r="A1767" s="5"/>
      <c r="B1767" s="5"/>
      <c r="C1767" s="22"/>
      <c r="D1767" s="5"/>
      <c r="E1767" s="5"/>
      <c r="F1767" s="5"/>
      <c r="G1767" s="19"/>
      <c r="H1767" s="5"/>
    </row>
    <row r="1768" spans="1:8" x14ac:dyDescent="0.35">
      <c r="A1768" s="5"/>
      <c r="B1768" s="5"/>
      <c r="C1768" s="22"/>
      <c r="D1768" s="5"/>
      <c r="E1768" s="5"/>
      <c r="F1768" s="5"/>
      <c r="G1768" s="19"/>
      <c r="H1768" s="5"/>
    </row>
    <row r="1769" spans="1:8" x14ac:dyDescent="0.35">
      <c r="A1769" s="5"/>
      <c r="B1769" s="5"/>
      <c r="C1769" s="22"/>
      <c r="D1769" s="5"/>
      <c r="E1769" s="23"/>
      <c r="F1769" s="5"/>
      <c r="G1769" s="19"/>
      <c r="H1769" s="5"/>
    </row>
    <row r="1770" spans="1:8" x14ac:dyDescent="0.35">
      <c r="A1770" s="5"/>
      <c r="B1770" s="5"/>
      <c r="C1770" s="22"/>
      <c r="D1770" s="5"/>
      <c r="E1770" s="5"/>
      <c r="F1770" s="5"/>
      <c r="G1770" s="19"/>
      <c r="H1770" s="5"/>
    </row>
    <row r="1771" spans="1:8" x14ac:dyDescent="0.35">
      <c r="A1771" s="5"/>
      <c r="B1771" s="5"/>
      <c r="C1771" s="22"/>
      <c r="D1771" s="5"/>
      <c r="E1771" s="5"/>
      <c r="F1771" s="5"/>
      <c r="G1771" s="19"/>
      <c r="H1771" s="5"/>
    </row>
    <row r="1772" spans="1:8" x14ac:dyDescent="0.35">
      <c r="A1772" s="5"/>
      <c r="B1772" s="5"/>
      <c r="C1772" s="22"/>
      <c r="D1772" s="5"/>
      <c r="E1772" s="5"/>
      <c r="F1772" s="5"/>
      <c r="G1772" s="19"/>
      <c r="H1772" s="5"/>
    </row>
    <row r="1773" spans="1:8" x14ac:dyDescent="0.35">
      <c r="A1773" s="5"/>
      <c r="B1773" s="5"/>
      <c r="C1773" s="22"/>
      <c r="D1773" s="5"/>
      <c r="E1773" s="5"/>
      <c r="F1773" s="5"/>
      <c r="G1773" s="19"/>
      <c r="H1773" s="5"/>
    </row>
    <row r="1774" spans="1:8" x14ac:dyDescent="0.35">
      <c r="A1774" s="5"/>
      <c r="B1774" s="5"/>
      <c r="C1774" s="22"/>
      <c r="D1774" s="5"/>
      <c r="E1774" s="5"/>
      <c r="F1774" s="5"/>
      <c r="G1774" s="19"/>
      <c r="H1774" s="5"/>
    </row>
    <row r="1775" spans="1:8" x14ac:dyDescent="0.35">
      <c r="A1775" s="5"/>
      <c r="B1775" s="5"/>
      <c r="C1775" s="22"/>
      <c r="D1775" s="5"/>
      <c r="E1775" s="5"/>
      <c r="F1775" s="5"/>
      <c r="G1775" s="19"/>
      <c r="H1775" s="5"/>
    </row>
    <row r="1776" spans="1:8" x14ac:dyDescent="0.35">
      <c r="A1776" s="5"/>
      <c r="B1776" s="5"/>
      <c r="C1776" s="22"/>
      <c r="D1776" s="5"/>
      <c r="E1776" s="5"/>
      <c r="F1776" s="5"/>
      <c r="G1776" s="19"/>
      <c r="H1776" s="5"/>
    </row>
    <row r="1777" spans="1:8" x14ac:dyDescent="0.35">
      <c r="A1777" s="5"/>
      <c r="B1777" s="5"/>
      <c r="C1777" s="22"/>
      <c r="D1777" s="5"/>
      <c r="E1777" s="5"/>
      <c r="F1777" s="5"/>
      <c r="G1777" s="19"/>
      <c r="H1777" s="5"/>
    </row>
    <row r="1778" spans="1:8" x14ac:dyDescent="0.35">
      <c r="A1778" s="5"/>
      <c r="B1778" s="5"/>
      <c r="C1778" s="22"/>
      <c r="D1778" s="5"/>
      <c r="E1778" s="5"/>
      <c r="F1778" s="5"/>
      <c r="G1778" s="19"/>
      <c r="H1778" s="5"/>
    </row>
    <row r="1779" spans="1:8" x14ac:dyDescent="0.35">
      <c r="A1779" s="5"/>
      <c r="B1779" s="5"/>
      <c r="C1779" s="22"/>
      <c r="D1779" s="5"/>
      <c r="E1779" s="5"/>
      <c r="F1779" s="5"/>
      <c r="G1779" s="19"/>
      <c r="H1779" s="5"/>
    </row>
    <row r="1780" spans="1:8" x14ac:dyDescent="0.35">
      <c r="A1780" s="5"/>
      <c r="B1780" s="5"/>
      <c r="C1780" s="22"/>
      <c r="D1780" s="5"/>
      <c r="E1780" s="5"/>
      <c r="F1780" s="5"/>
      <c r="G1780" s="19"/>
      <c r="H1780" s="5"/>
    </row>
    <row r="1781" spans="1:8" x14ac:dyDescent="0.35">
      <c r="A1781" s="5"/>
      <c r="B1781" s="5"/>
      <c r="C1781" s="22"/>
      <c r="D1781" s="5"/>
      <c r="E1781" s="5"/>
      <c r="F1781" s="5"/>
      <c r="G1781" s="19"/>
      <c r="H1781" s="5"/>
    </row>
    <row r="1782" spans="1:8" x14ac:dyDescent="0.35">
      <c r="A1782" s="5"/>
      <c r="B1782" s="5"/>
      <c r="C1782" s="22"/>
      <c r="D1782" s="5"/>
      <c r="E1782" s="5"/>
      <c r="F1782" s="5"/>
      <c r="G1782" s="19"/>
      <c r="H1782" s="5"/>
    </row>
    <row r="1783" spans="1:8" x14ac:dyDescent="0.35">
      <c r="A1783" s="5"/>
      <c r="B1783" s="5"/>
      <c r="C1783" s="22"/>
      <c r="D1783" s="5"/>
      <c r="E1783" s="5"/>
      <c r="F1783" s="5"/>
      <c r="G1783" s="19"/>
      <c r="H1783" s="5"/>
    </row>
    <row r="1784" spans="1:8" x14ac:dyDescent="0.35">
      <c r="A1784" s="5"/>
      <c r="B1784" s="5"/>
      <c r="C1784" s="22"/>
      <c r="D1784" s="5"/>
      <c r="E1784" s="5"/>
      <c r="F1784" s="5"/>
      <c r="G1784" s="19"/>
      <c r="H1784" s="5"/>
    </row>
    <row r="1785" spans="1:8" x14ac:dyDescent="0.35">
      <c r="A1785" s="5"/>
      <c r="B1785" s="5"/>
      <c r="C1785" s="22"/>
      <c r="D1785" s="5"/>
      <c r="E1785" s="5"/>
      <c r="F1785" s="5"/>
      <c r="G1785" s="19"/>
      <c r="H1785" s="5"/>
    </row>
    <row r="1786" spans="1:8" x14ac:dyDescent="0.35">
      <c r="A1786" s="5"/>
      <c r="B1786" s="5"/>
      <c r="C1786" s="22"/>
      <c r="D1786" s="5"/>
      <c r="E1786" s="5"/>
      <c r="F1786" s="5"/>
      <c r="G1786" s="19"/>
      <c r="H1786" s="5"/>
    </row>
    <row r="1787" spans="1:8" x14ac:dyDescent="0.35">
      <c r="A1787" s="5"/>
      <c r="B1787" s="5"/>
      <c r="C1787" s="22"/>
      <c r="D1787" s="5"/>
      <c r="E1787" s="5"/>
      <c r="F1787" s="5"/>
      <c r="G1787" s="19"/>
      <c r="H1787" s="5"/>
    </row>
    <row r="1788" spans="1:8" x14ac:dyDescent="0.35">
      <c r="A1788" s="5"/>
      <c r="B1788" s="5"/>
      <c r="C1788" s="22"/>
      <c r="D1788" s="5"/>
      <c r="E1788" s="5"/>
      <c r="F1788" s="5"/>
      <c r="G1788" s="19"/>
      <c r="H1788" s="5"/>
    </row>
    <row r="1789" spans="1:8" x14ac:dyDescent="0.35">
      <c r="A1789" s="5"/>
      <c r="B1789" s="5"/>
      <c r="C1789" s="22"/>
      <c r="D1789" s="5"/>
      <c r="E1789" s="5"/>
      <c r="F1789" s="5"/>
      <c r="G1789" s="19"/>
      <c r="H1789" s="5"/>
    </row>
    <row r="1790" spans="1:8" x14ac:dyDescent="0.35">
      <c r="A1790" s="5"/>
      <c r="B1790" s="5"/>
      <c r="C1790" s="22"/>
      <c r="D1790" s="5"/>
      <c r="E1790" s="5"/>
      <c r="F1790" s="5"/>
      <c r="G1790" s="19"/>
      <c r="H1790" s="5"/>
    </row>
    <row r="1791" spans="1:8" x14ac:dyDescent="0.35">
      <c r="A1791" s="5"/>
      <c r="B1791" s="5"/>
      <c r="C1791" s="22"/>
      <c r="D1791" s="5"/>
      <c r="E1791" s="5"/>
      <c r="F1791" s="5"/>
      <c r="G1791" s="19"/>
      <c r="H1791" s="5"/>
    </row>
    <row r="1792" spans="1:8" x14ac:dyDescent="0.35">
      <c r="A1792" s="5"/>
      <c r="B1792" s="5"/>
      <c r="C1792" s="22"/>
      <c r="D1792" s="5"/>
      <c r="E1792" s="5"/>
      <c r="F1792" s="5"/>
      <c r="G1792" s="19"/>
      <c r="H1792" s="5"/>
    </row>
    <row r="1793" spans="1:8" x14ac:dyDescent="0.35">
      <c r="A1793" s="5"/>
      <c r="B1793" s="5"/>
      <c r="C1793" s="22"/>
      <c r="D1793" s="5"/>
      <c r="E1793" s="5"/>
      <c r="F1793" s="5"/>
      <c r="G1793" s="19"/>
      <c r="H1793" s="5"/>
    </row>
    <row r="1794" spans="1:8" x14ac:dyDescent="0.35">
      <c r="A1794" s="5"/>
      <c r="B1794" s="5"/>
      <c r="C1794" s="22"/>
      <c r="D1794" s="5"/>
      <c r="E1794" s="5"/>
      <c r="F1794" s="5"/>
      <c r="G1794" s="19"/>
      <c r="H1794" s="5"/>
    </row>
    <row r="1795" spans="1:8" x14ac:dyDescent="0.35">
      <c r="A1795" s="5"/>
      <c r="B1795" s="5"/>
      <c r="C1795" s="22"/>
      <c r="D1795" s="5"/>
      <c r="E1795" s="5"/>
      <c r="F1795" s="5"/>
      <c r="G1795" s="19"/>
      <c r="H1795" s="5"/>
    </row>
    <row r="1796" spans="1:8" x14ac:dyDescent="0.35">
      <c r="A1796" s="5"/>
      <c r="B1796" s="5"/>
      <c r="C1796" s="22"/>
      <c r="D1796" s="5"/>
      <c r="E1796" s="5"/>
      <c r="F1796" s="5"/>
      <c r="G1796" s="19"/>
      <c r="H1796" s="5"/>
    </row>
    <row r="1797" spans="1:8" x14ac:dyDescent="0.35">
      <c r="A1797" s="5"/>
      <c r="B1797" s="5"/>
      <c r="C1797" s="22"/>
      <c r="D1797" s="5"/>
      <c r="E1797" s="5"/>
      <c r="F1797" s="5"/>
      <c r="G1797" s="19"/>
      <c r="H1797" s="5"/>
    </row>
    <row r="1798" spans="1:8" x14ac:dyDescent="0.35">
      <c r="A1798" s="5"/>
      <c r="B1798" s="5"/>
      <c r="C1798" s="22"/>
      <c r="D1798" s="5"/>
      <c r="E1798" s="5"/>
      <c r="F1798" s="5"/>
      <c r="G1798" s="19"/>
      <c r="H1798" s="5"/>
    </row>
    <row r="1799" spans="1:8" x14ac:dyDescent="0.35">
      <c r="A1799" s="5"/>
      <c r="B1799" s="5"/>
      <c r="C1799" s="22"/>
      <c r="D1799" s="5"/>
      <c r="E1799" s="5"/>
      <c r="F1799" s="5"/>
      <c r="G1799" s="19"/>
      <c r="H1799" s="5"/>
    </row>
    <row r="1800" spans="1:8" x14ac:dyDescent="0.35">
      <c r="A1800" s="5"/>
      <c r="B1800" s="5"/>
      <c r="C1800" s="22"/>
      <c r="D1800" s="5"/>
      <c r="E1800" s="5"/>
      <c r="F1800" s="5"/>
      <c r="G1800" s="19"/>
      <c r="H1800" s="5"/>
    </row>
    <row r="1801" spans="1:8" x14ac:dyDescent="0.35">
      <c r="A1801" s="5"/>
      <c r="B1801" s="5"/>
      <c r="C1801" s="22"/>
      <c r="D1801" s="5"/>
      <c r="E1801" s="5"/>
      <c r="F1801" s="5"/>
      <c r="G1801" s="19"/>
      <c r="H1801" s="5"/>
    </row>
    <row r="1802" spans="1:8" x14ac:dyDescent="0.35">
      <c r="A1802" s="5"/>
      <c r="B1802" s="5"/>
      <c r="C1802" s="22"/>
      <c r="D1802" s="5"/>
      <c r="E1802" s="5"/>
      <c r="F1802" s="5"/>
      <c r="G1802" s="19"/>
      <c r="H1802" s="5"/>
    </row>
    <row r="1803" spans="1:8" x14ac:dyDescent="0.35">
      <c r="A1803" s="5"/>
      <c r="B1803" s="5"/>
      <c r="C1803" s="22"/>
      <c r="D1803" s="5"/>
      <c r="E1803" s="5"/>
      <c r="F1803" s="5"/>
      <c r="G1803" s="19"/>
      <c r="H1803" s="5"/>
    </row>
    <row r="1804" spans="1:8" x14ac:dyDescent="0.35">
      <c r="A1804" s="5"/>
      <c r="B1804" s="5"/>
      <c r="C1804" s="22"/>
      <c r="D1804" s="5"/>
      <c r="E1804" s="5"/>
      <c r="F1804" s="5"/>
      <c r="G1804" s="19"/>
      <c r="H1804" s="5"/>
    </row>
    <row r="1805" spans="1:8" x14ac:dyDescent="0.35">
      <c r="A1805" s="5"/>
      <c r="B1805" s="5"/>
      <c r="C1805" s="22"/>
      <c r="D1805" s="5"/>
      <c r="E1805" s="5"/>
      <c r="F1805" s="5"/>
      <c r="G1805" s="19"/>
      <c r="H1805" s="5"/>
    </row>
    <row r="1806" spans="1:8" x14ac:dyDescent="0.35">
      <c r="A1806" s="5"/>
      <c r="B1806" s="5"/>
      <c r="C1806" s="22"/>
      <c r="D1806" s="5"/>
      <c r="E1806" s="5"/>
      <c r="F1806" s="5"/>
      <c r="G1806" s="19"/>
      <c r="H1806" s="5"/>
    </row>
    <row r="1807" spans="1:8" x14ac:dyDescent="0.35">
      <c r="A1807" s="5"/>
      <c r="B1807" s="5"/>
      <c r="C1807" s="22"/>
      <c r="D1807" s="5"/>
      <c r="E1807" s="5"/>
      <c r="F1807" s="5"/>
      <c r="G1807" s="19"/>
      <c r="H1807" s="5"/>
    </row>
    <row r="1808" spans="1:8" x14ac:dyDescent="0.35">
      <c r="A1808" s="5"/>
      <c r="B1808" s="5"/>
      <c r="C1808" s="22"/>
      <c r="D1808" s="5"/>
      <c r="E1808" s="5"/>
      <c r="F1808" s="5"/>
      <c r="G1808" s="19"/>
      <c r="H1808" s="5"/>
    </row>
    <row r="1809" spans="1:8" x14ac:dyDescent="0.35">
      <c r="A1809" s="5"/>
      <c r="B1809" s="5"/>
      <c r="C1809" s="22"/>
      <c r="D1809" s="5"/>
      <c r="E1809" s="5"/>
      <c r="F1809" s="5"/>
      <c r="G1809" s="19"/>
      <c r="H1809" s="5"/>
    </row>
    <row r="1810" spans="1:8" x14ac:dyDescent="0.35">
      <c r="A1810" s="5"/>
      <c r="B1810" s="5"/>
      <c r="C1810" s="22"/>
      <c r="D1810" s="5"/>
      <c r="E1810" s="5"/>
      <c r="F1810" s="5"/>
      <c r="G1810" s="19"/>
      <c r="H1810" s="5"/>
    </row>
    <row r="1811" spans="1:8" x14ac:dyDescent="0.35">
      <c r="A1811" s="5"/>
      <c r="B1811" s="5"/>
      <c r="C1811" s="22"/>
      <c r="D1811" s="5"/>
      <c r="E1811" s="5"/>
      <c r="F1811" s="5"/>
      <c r="G1811" s="19"/>
      <c r="H1811" s="5"/>
    </row>
    <row r="1812" spans="1:8" x14ac:dyDescent="0.35">
      <c r="A1812" s="5"/>
      <c r="B1812" s="5"/>
      <c r="C1812" s="22"/>
      <c r="D1812" s="5"/>
      <c r="E1812" s="5"/>
      <c r="F1812" s="5"/>
      <c r="G1812" s="19"/>
      <c r="H1812" s="5"/>
    </row>
    <row r="1813" spans="1:8" x14ac:dyDescent="0.35">
      <c r="A1813" s="5"/>
      <c r="B1813" s="5"/>
      <c r="C1813" s="22"/>
      <c r="D1813" s="5"/>
      <c r="E1813" s="23"/>
      <c r="F1813" s="5"/>
      <c r="G1813" s="19"/>
      <c r="H1813" s="5"/>
    </row>
    <row r="1814" spans="1:8" x14ac:dyDescent="0.35">
      <c r="A1814" s="5"/>
      <c r="B1814" s="5"/>
      <c r="C1814" s="22"/>
      <c r="D1814" s="5"/>
      <c r="E1814" s="5"/>
      <c r="F1814" s="5"/>
      <c r="G1814" s="19"/>
      <c r="H1814" s="5"/>
    </row>
    <row r="1815" spans="1:8" x14ac:dyDescent="0.35">
      <c r="A1815" s="5"/>
      <c r="B1815" s="5"/>
      <c r="C1815" s="22"/>
      <c r="D1815" s="5"/>
      <c r="E1815" s="5"/>
      <c r="F1815" s="5"/>
      <c r="G1815" s="19"/>
      <c r="H1815" s="5"/>
    </row>
    <row r="1816" spans="1:8" x14ac:dyDescent="0.35">
      <c r="A1816" s="5"/>
      <c r="B1816" s="5"/>
      <c r="C1816" s="22"/>
      <c r="D1816" s="5"/>
      <c r="E1816" s="5"/>
      <c r="F1816" s="5"/>
      <c r="G1816" s="19"/>
      <c r="H1816" s="5"/>
    </row>
    <row r="1817" spans="1:8" x14ac:dyDescent="0.35">
      <c r="A1817" s="5"/>
      <c r="B1817" s="5"/>
      <c r="C1817" s="22"/>
      <c r="D1817" s="5"/>
      <c r="E1817" s="5"/>
      <c r="F1817" s="5"/>
      <c r="G1817" s="19"/>
      <c r="H1817" s="5"/>
    </row>
    <row r="1818" spans="1:8" x14ac:dyDescent="0.35">
      <c r="A1818" s="5"/>
      <c r="B1818" s="5"/>
      <c r="C1818" s="22"/>
      <c r="D1818" s="5"/>
      <c r="E1818" s="5"/>
      <c r="F1818" s="5"/>
      <c r="G1818" s="19"/>
      <c r="H1818" s="5"/>
    </row>
    <row r="1819" spans="1:8" x14ac:dyDescent="0.35">
      <c r="A1819" s="5"/>
      <c r="B1819" s="5"/>
      <c r="C1819" s="22"/>
      <c r="D1819" s="5"/>
      <c r="E1819" s="5"/>
      <c r="F1819" s="5"/>
      <c r="G1819" s="19"/>
      <c r="H1819" s="5"/>
    </row>
    <row r="1820" spans="1:8" x14ac:dyDescent="0.35">
      <c r="A1820" s="5"/>
      <c r="B1820" s="5"/>
      <c r="C1820" s="22"/>
      <c r="D1820" s="5"/>
      <c r="E1820" s="5"/>
      <c r="F1820" s="5"/>
      <c r="G1820" s="19"/>
      <c r="H1820" s="5"/>
    </row>
    <row r="1821" spans="1:8" x14ac:dyDescent="0.35">
      <c r="A1821" s="5"/>
      <c r="B1821" s="5"/>
      <c r="C1821" s="22"/>
      <c r="D1821" s="5"/>
      <c r="E1821" s="5"/>
      <c r="F1821" s="5"/>
      <c r="G1821" s="19"/>
      <c r="H1821" s="5"/>
    </row>
    <row r="1822" spans="1:8" x14ac:dyDescent="0.35">
      <c r="A1822" s="5"/>
      <c r="B1822" s="5"/>
      <c r="C1822" s="22"/>
      <c r="D1822" s="5"/>
      <c r="E1822" s="5"/>
      <c r="F1822" s="5"/>
      <c r="G1822" s="19"/>
      <c r="H1822" s="5"/>
    </row>
    <row r="1823" spans="1:8" x14ac:dyDescent="0.35">
      <c r="A1823" s="5"/>
      <c r="B1823" s="5"/>
      <c r="C1823" s="22"/>
      <c r="D1823" s="5"/>
      <c r="E1823" s="5"/>
      <c r="F1823" s="5"/>
      <c r="G1823" s="19"/>
      <c r="H1823" s="5"/>
    </row>
    <row r="1824" spans="1:8" x14ac:dyDescent="0.35">
      <c r="A1824" s="5"/>
      <c r="B1824" s="5"/>
      <c r="C1824" s="22"/>
      <c r="D1824" s="5"/>
      <c r="E1824" s="5"/>
      <c r="F1824" s="5"/>
      <c r="G1824" s="19"/>
      <c r="H1824" s="5"/>
    </row>
    <row r="1825" spans="1:8" x14ac:dyDescent="0.35">
      <c r="A1825" s="5"/>
      <c r="B1825" s="5"/>
      <c r="C1825" s="22"/>
      <c r="D1825" s="5"/>
      <c r="E1825" s="5"/>
      <c r="F1825" s="5"/>
      <c r="G1825" s="19"/>
      <c r="H1825" s="5"/>
    </row>
    <row r="1826" spans="1:8" x14ac:dyDescent="0.35">
      <c r="A1826" s="5"/>
      <c r="B1826" s="5"/>
      <c r="C1826" s="22"/>
      <c r="D1826" s="5"/>
      <c r="E1826" s="5"/>
      <c r="F1826" s="5"/>
      <c r="G1826" s="19"/>
      <c r="H1826" s="5"/>
    </row>
    <row r="1827" spans="1:8" x14ac:dyDescent="0.35">
      <c r="A1827" s="5"/>
      <c r="B1827" s="5"/>
      <c r="C1827" s="22"/>
      <c r="D1827" s="5"/>
      <c r="E1827" s="5"/>
      <c r="F1827" s="5"/>
      <c r="G1827" s="19"/>
      <c r="H1827" s="5"/>
    </row>
    <row r="1828" spans="1:8" x14ac:dyDescent="0.35">
      <c r="A1828" s="5"/>
      <c r="B1828" s="5"/>
      <c r="C1828" s="22"/>
      <c r="D1828" s="5"/>
      <c r="E1828" s="5"/>
      <c r="F1828" s="5"/>
      <c r="G1828" s="19"/>
      <c r="H1828" s="5"/>
    </row>
    <row r="1829" spans="1:8" x14ac:dyDescent="0.35">
      <c r="A1829" s="5"/>
      <c r="B1829" s="5"/>
      <c r="C1829" s="22"/>
      <c r="D1829" s="5"/>
      <c r="E1829" s="5"/>
      <c r="F1829" s="5"/>
      <c r="G1829" s="19"/>
      <c r="H1829" s="5"/>
    </row>
    <row r="1830" spans="1:8" x14ac:dyDescent="0.35">
      <c r="A1830" s="5"/>
      <c r="B1830" s="5"/>
      <c r="C1830" s="22"/>
      <c r="D1830" s="5"/>
      <c r="E1830" s="5"/>
      <c r="F1830" s="5"/>
      <c r="G1830" s="19"/>
      <c r="H1830" s="5"/>
    </row>
    <row r="1831" spans="1:8" x14ac:dyDescent="0.35">
      <c r="A1831" s="5"/>
      <c r="B1831" s="5"/>
      <c r="C1831" s="22"/>
      <c r="D1831" s="5"/>
      <c r="E1831" s="5"/>
      <c r="F1831" s="5"/>
      <c r="G1831" s="19"/>
      <c r="H1831" s="5"/>
    </row>
    <row r="1832" spans="1:8" x14ac:dyDescent="0.35">
      <c r="A1832" s="5"/>
      <c r="B1832" s="5"/>
      <c r="C1832" s="22"/>
      <c r="D1832" s="5"/>
      <c r="E1832" s="5"/>
      <c r="F1832" s="5"/>
      <c r="G1832" s="19"/>
      <c r="H1832" s="5"/>
    </row>
    <row r="1833" spans="1:8" x14ac:dyDescent="0.35">
      <c r="A1833" s="5"/>
      <c r="B1833" s="5"/>
      <c r="C1833" s="22"/>
      <c r="D1833" s="5"/>
      <c r="E1833" s="5"/>
      <c r="F1833" s="5"/>
      <c r="G1833" s="19"/>
      <c r="H1833" s="5"/>
    </row>
    <row r="1834" spans="1:8" x14ac:dyDescent="0.35">
      <c r="A1834" s="5"/>
      <c r="B1834" s="5"/>
      <c r="C1834" s="22"/>
      <c r="D1834" s="5"/>
      <c r="E1834" s="5"/>
      <c r="F1834" s="5"/>
      <c r="G1834" s="19"/>
      <c r="H1834" s="5"/>
    </row>
    <row r="1835" spans="1:8" x14ac:dyDescent="0.35">
      <c r="A1835" s="5"/>
      <c r="B1835" s="5"/>
      <c r="C1835" s="22"/>
      <c r="D1835" s="5"/>
      <c r="E1835" s="5"/>
      <c r="F1835" s="5"/>
      <c r="G1835" s="19"/>
      <c r="H1835" s="5"/>
    </row>
    <row r="1836" spans="1:8" x14ac:dyDescent="0.35">
      <c r="A1836" s="5"/>
      <c r="B1836" s="5"/>
      <c r="C1836" s="22"/>
      <c r="D1836" s="5"/>
      <c r="E1836" s="5"/>
      <c r="F1836" s="5"/>
      <c r="G1836" s="19"/>
      <c r="H1836" s="5"/>
    </row>
    <row r="1837" spans="1:8" x14ac:dyDescent="0.35">
      <c r="A1837" s="5"/>
      <c r="B1837" s="5"/>
      <c r="C1837" s="22"/>
      <c r="D1837" s="5"/>
      <c r="E1837" s="5"/>
      <c r="F1837" s="5"/>
      <c r="G1837" s="19"/>
      <c r="H1837" s="5"/>
    </row>
    <row r="1838" spans="1:8" x14ac:dyDescent="0.35">
      <c r="A1838" s="5"/>
      <c r="B1838" s="5"/>
      <c r="C1838" s="22"/>
      <c r="D1838" s="5"/>
      <c r="E1838" s="5"/>
      <c r="F1838" s="5"/>
      <c r="G1838" s="19"/>
      <c r="H1838" s="5"/>
    </row>
    <row r="1839" spans="1:8" x14ac:dyDescent="0.35">
      <c r="A1839" s="5"/>
      <c r="B1839" s="5"/>
      <c r="C1839" s="22"/>
      <c r="D1839" s="5"/>
      <c r="E1839" s="5"/>
      <c r="F1839" s="5"/>
      <c r="G1839" s="19"/>
      <c r="H1839" s="5"/>
    </row>
    <row r="1840" spans="1:8" x14ac:dyDescent="0.35">
      <c r="A1840" s="5"/>
      <c r="B1840" s="5"/>
      <c r="C1840" s="22"/>
      <c r="D1840" s="5"/>
      <c r="E1840" s="5"/>
      <c r="F1840" s="5"/>
      <c r="G1840" s="19"/>
      <c r="H1840" s="5"/>
    </row>
    <row r="1841" spans="1:8" x14ac:dyDescent="0.35">
      <c r="A1841" s="5"/>
      <c r="B1841" s="5"/>
      <c r="C1841" s="22"/>
      <c r="D1841" s="5"/>
      <c r="E1841" s="5"/>
      <c r="F1841" s="5"/>
      <c r="G1841" s="19"/>
      <c r="H1841" s="5"/>
    </row>
    <row r="1842" spans="1:8" x14ac:dyDescent="0.35">
      <c r="A1842" s="5"/>
      <c r="B1842" s="5"/>
      <c r="C1842" s="22"/>
      <c r="D1842" s="5"/>
      <c r="E1842" s="5"/>
      <c r="F1842" s="5"/>
      <c r="G1842" s="19"/>
      <c r="H1842" s="5"/>
    </row>
    <row r="1843" spans="1:8" x14ac:dyDescent="0.35">
      <c r="A1843" s="5"/>
      <c r="B1843" s="5"/>
      <c r="C1843" s="22"/>
      <c r="D1843" s="5"/>
      <c r="E1843" s="5"/>
      <c r="F1843" s="5"/>
      <c r="G1843" s="19"/>
      <c r="H1843" s="5"/>
    </row>
    <row r="1844" spans="1:8" x14ac:dyDescent="0.35">
      <c r="A1844" s="5"/>
      <c r="B1844" s="5"/>
      <c r="C1844" s="22"/>
      <c r="D1844" s="5"/>
      <c r="E1844" s="5"/>
      <c r="F1844" s="5"/>
      <c r="G1844" s="19"/>
      <c r="H1844" s="5"/>
    </row>
    <row r="1845" spans="1:8" x14ac:dyDescent="0.35">
      <c r="A1845" s="5"/>
      <c r="B1845" s="5"/>
      <c r="C1845" s="22"/>
      <c r="D1845" s="5"/>
      <c r="E1845" s="5"/>
      <c r="F1845" s="5"/>
      <c r="G1845" s="19"/>
      <c r="H1845" s="5"/>
    </row>
    <row r="1846" spans="1:8" x14ac:dyDescent="0.35">
      <c r="A1846" s="5"/>
      <c r="B1846" s="5"/>
      <c r="C1846" s="22"/>
      <c r="D1846" s="5"/>
      <c r="E1846" s="5"/>
      <c r="F1846" s="5"/>
      <c r="G1846" s="19"/>
      <c r="H1846" s="5"/>
    </row>
    <row r="1847" spans="1:8" x14ac:dyDescent="0.35">
      <c r="A1847" s="5"/>
      <c r="B1847" s="5"/>
      <c r="C1847" s="22"/>
      <c r="D1847" s="5"/>
      <c r="E1847" s="5"/>
      <c r="F1847" s="5"/>
      <c r="G1847" s="19"/>
      <c r="H1847" s="5"/>
    </row>
    <row r="1848" spans="1:8" x14ac:dyDescent="0.35">
      <c r="A1848" s="5"/>
      <c r="B1848" s="5"/>
      <c r="C1848" s="22"/>
      <c r="D1848" s="5"/>
      <c r="E1848" s="5"/>
      <c r="F1848" s="5"/>
      <c r="G1848" s="19"/>
      <c r="H1848" s="5"/>
    </row>
    <row r="1849" spans="1:8" x14ac:dyDescent="0.35">
      <c r="A1849" s="5"/>
      <c r="B1849" s="5"/>
      <c r="C1849" s="22"/>
      <c r="D1849" s="5"/>
      <c r="E1849" s="5"/>
      <c r="F1849" s="5"/>
      <c r="G1849" s="19"/>
      <c r="H1849" s="5"/>
    </row>
    <row r="1850" spans="1:8" x14ac:dyDescent="0.35">
      <c r="A1850" s="5"/>
      <c r="B1850" s="5"/>
      <c r="C1850" s="22"/>
      <c r="D1850" s="5"/>
      <c r="E1850" s="5"/>
      <c r="F1850" s="5"/>
      <c r="G1850" s="19"/>
      <c r="H1850" s="5"/>
    </row>
    <row r="1851" spans="1:8" x14ac:dyDescent="0.35">
      <c r="A1851" s="5"/>
      <c r="B1851" s="5"/>
      <c r="C1851" s="22"/>
      <c r="D1851" s="5"/>
      <c r="E1851" s="5"/>
      <c r="F1851" s="5"/>
      <c r="G1851" s="19"/>
      <c r="H1851" s="5"/>
    </row>
    <row r="1852" spans="1:8" x14ac:dyDescent="0.35">
      <c r="A1852" s="5"/>
      <c r="B1852" s="5"/>
      <c r="C1852" s="22"/>
      <c r="D1852" s="5"/>
      <c r="E1852" s="5"/>
      <c r="F1852" s="5"/>
      <c r="G1852" s="19"/>
      <c r="H1852" s="5"/>
    </row>
    <row r="1853" spans="1:8" x14ac:dyDescent="0.35">
      <c r="A1853" s="5"/>
      <c r="B1853" s="5"/>
      <c r="C1853" s="22"/>
      <c r="D1853" s="5"/>
      <c r="E1853" s="5"/>
      <c r="F1853" s="5"/>
      <c r="G1853" s="19"/>
      <c r="H1853" s="5"/>
    </row>
    <row r="1854" spans="1:8" x14ac:dyDescent="0.35">
      <c r="A1854" s="5"/>
      <c r="B1854" s="5"/>
      <c r="C1854" s="22"/>
      <c r="D1854" s="5"/>
      <c r="E1854" s="5"/>
      <c r="F1854" s="5"/>
      <c r="G1854" s="19"/>
      <c r="H1854" s="5"/>
    </row>
    <row r="1855" spans="1:8" x14ac:dyDescent="0.35">
      <c r="A1855" s="5"/>
      <c r="B1855" s="5"/>
      <c r="C1855" s="22"/>
      <c r="D1855" s="5"/>
      <c r="E1855" s="5"/>
      <c r="F1855" s="5"/>
      <c r="G1855" s="19"/>
      <c r="H1855" s="5"/>
    </row>
    <row r="1856" spans="1:8" x14ac:dyDescent="0.35">
      <c r="A1856" s="5"/>
      <c r="B1856" s="5"/>
      <c r="C1856" s="22"/>
      <c r="D1856" s="5"/>
      <c r="E1856" s="5"/>
      <c r="F1856" s="5"/>
      <c r="G1856" s="19"/>
      <c r="H1856" s="5"/>
    </row>
    <row r="1857" spans="1:8" x14ac:dyDescent="0.35">
      <c r="A1857" s="5"/>
      <c r="B1857" s="5"/>
      <c r="C1857" s="22"/>
      <c r="D1857" s="5"/>
      <c r="E1857" s="5"/>
      <c r="F1857" s="5"/>
      <c r="G1857" s="19"/>
      <c r="H1857" s="5"/>
    </row>
    <row r="1858" spans="1:8" x14ac:dyDescent="0.35">
      <c r="A1858" s="5"/>
      <c r="B1858" s="5"/>
      <c r="C1858" s="22"/>
      <c r="D1858" s="5"/>
      <c r="E1858" s="5"/>
      <c r="F1858" s="5"/>
      <c r="G1858" s="19"/>
      <c r="H1858" s="5"/>
    </row>
    <row r="1859" spans="1:8" x14ac:dyDescent="0.35">
      <c r="A1859" s="5"/>
      <c r="B1859" s="5"/>
      <c r="C1859" s="22"/>
      <c r="D1859" s="5"/>
      <c r="E1859" s="5"/>
      <c r="F1859" s="5"/>
      <c r="G1859" s="19"/>
      <c r="H1859" s="5"/>
    </row>
    <row r="1860" spans="1:8" x14ac:dyDescent="0.35">
      <c r="A1860" s="5"/>
      <c r="B1860" s="5"/>
      <c r="C1860" s="22"/>
      <c r="D1860" s="5"/>
      <c r="E1860" s="5"/>
      <c r="F1860" s="5"/>
      <c r="G1860" s="19"/>
      <c r="H1860" s="5"/>
    </row>
    <row r="1861" spans="1:8" x14ac:dyDescent="0.35">
      <c r="A1861" s="5"/>
      <c r="B1861" s="5"/>
      <c r="C1861" s="22"/>
      <c r="D1861" s="5"/>
      <c r="E1861" s="5"/>
      <c r="F1861" s="5"/>
      <c r="G1861" s="19"/>
      <c r="H1861" s="5"/>
    </row>
    <row r="1862" spans="1:8" x14ac:dyDescent="0.35">
      <c r="A1862" s="5"/>
      <c r="B1862" s="5"/>
      <c r="C1862" s="22"/>
      <c r="D1862" s="5"/>
      <c r="E1862" s="5"/>
      <c r="F1862" s="5"/>
      <c r="G1862" s="19"/>
      <c r="H1862" s="5"/>
    </row>
    <row r="1863" spans="1:8" x14ac:dyDescent="0.35">
      <c r="A1863" s="5"/>
      <c r="B1863" s="5"/>
      <c r="C1863" s="22"/>
      <c r="D1863" s="5"/>
      <c r="E1863" s="5"/>
      <c r="F1863" s="5"/>
      <c r="G1863" s="19"/>
      <c r="H1863" s="5"/>
    </row>
    <row r="1864" spans="1:8" x14ac:dyDescent="0.35">
      <c r="A1864" s="5"/>
      <c r="B1864" s="5"/>
      <c r="C1864" s="22"/>
      <c r="D1864" s="5"/>
      <c r="E1864" s="5"/>
      <c r="F1864" s="5"/>
      <c r="G1864" s="19"/>
      <c r="H1864" s="5"/>
    </row>
    <row r="1865" spans="1:8" x14ac:dyDescent="0.35">
      <c r="A1865" s="5"/>
      <c r="B1865" s="5"/>
      <c r="C1865" s="22"/>
      <c r="D1865" s="5"/>
      <c r="E1865" s="5"/>
      <c r="F1865" s="5"/>
      <c r="G1865" s="19"/>
      <c r="H1865" s="5"/>
    </row>
    <row r="1866" spans="1:8" x14ac:dyDescent="0.35">
      <c r="A1866" s="5"/>
      <c r="B1866" s="5"/>
      <c r="C1866" s="22"/>
      <c r="D1866" s="5"/>
      <c r="E1866" s="5"/>
      <c r="F1866" s="5"/>
      <c r="G1866" s="19"/>
      <c r="H1866" s="5"/>
    </row>
    <row r="1867" spans="1:8" x14ac:dyDescent="0.35">
      <c r="A1867" s="5"/>
      <c r="B1867" s="5"/>
      <c r="C1867" s="22"/>
      <c r="D1867" s="5"/>
      <c r="E1867" s="5"/>
      <c r="F1867" s="5"/>
      <c r="G1867" s="19"/>
      <c r="H1867" s="5"/>
    </row>
    <row r="1868" spans="1:8" x14ac:dyDescent="0.35">
      <c r="A1868" s="5"/>
      <c r="B1868" s="5"/>
      <c r="C1868" s="22"/>
      <c r="D1868" s="5"/>
      <c r="E1868" s="5"/>
      <c r="F1868" s="5"/>
      <c r="G1868" s="19"/>
      <c r="H1868" s="5"/>
    </row>
    <row r="1869" spans="1:8" x14ac:dyDescent="0.35">
      <c r="A1869" s="5"/>
      <c r="B1869" s="5"/>
      <c r="C1869" s="22"/>
      <c r="D1869" s="5"/>
      <c r="E1869" s="5"/>
      <c r="F1869" s="5"/>
      <c r="G1869" s="19"/>
      <c r="H1869" s="5"/>
    </row>
    <row r="1870" spans="1:8" x14ac:dyDescent="0.35">
      <c r="A1870" s="5"/>
      <c r="B1870" s="5"/>
      <c r="C1870" s="22"/>
      <c r="D1870" s="5"/>
      <c r="E1870" s="5"/>
      <c r="F1870" s="5"/>
      <c r="G1870" s="19"/>
      <c r="H1870" s="5"/>
    </row>
    <row r="1871" spans="1:8" x14ac:dyDescent="0.35">
      <c r="A1871" s="5"/>
      <c r="B1871" s="5"/>
      <c r="C1871" s="22"/>
      <c r="D1871" s="5"/>
      <c r="E1871" s="5"/>
      <c r="F1871" s="5"/>
      <c r="G1871" s="19"/>
      <c r="H1871" s="5"/>
    </row>
    <row r="1872" spans="1:8" x14ac:dyDescent="0.35">
      <c r="A1872" s="5"/>
      <c r="B1872" s="5"/>
      <c r="C1872" s="22"/>
      <c r="D1872" s="5"/>
      <c r="E1872" s="5"/>
      <c r="F1872" s="5"/>
      <c r="G1872" s="19"/>
      <c r="H1872" s="5"/>
    </row>
    <row r="1873" spans="1:8" x14ac:dyDescent="0.35">
      <c r="A1873" s="5"/>
      <c r="B1873" s="5"/>
      <c r="C1873" s="22"/>
      <c r="D1873" s="5"/>
      <c r="E1873" s="5"/>
      <c r="F1873" s="5"/>
      <c r="G1873" s="19"/>
      <c r="H1873" s="5"/>
    </row>
    <row r="1874" spans="1:8" x14ac:dyDescent="0.35">
      <c r="A1874" s="5"/>
      <c r="B1874" s="5"/>
      <c r="C1874" s="22"/>
      <c r="D1874" s="5"/>
      <c r="E1874" s="5"/>
      <c r="F1874" s="5"/>
      <c r="G1874" s="19"/>
      <c r="H1874" s="5"/>
    </row>
    <row r="1875" spans="1:8" x14ac:dyDescent="0.35">
      <c r="A1875" s="5"/>
      <c r="B1875" s="5"/>
      <c r="C1875" s="22"/>
      <c r="D1875" s="5"/>
      <c r="E1875" s="5"/>
      <c r="F1875" s="5"/>
      <c r="G1875" s="19"/>
      <c r="H1875" s="5"/>
    </row>
    <row r="1876" spans="1:8" x14ac:dyDescent="0.35">
      <c r="A1876" s="5"/>
      <c r="B1876" s="5"/>
      <c r="C1876" s="22"/>
      <c r="D1876" s="5"/>
      <c r="E1876" s="5"/>
      <c r="F1876" s="5"/>
      <c r="G1876" s="19"/>
      <c r="H1876" s="5"/>
    </row>
    <row r="1877" spans="1:8" x14ac:dyDescent="0.35">
      <c r="A1877" s="5"/>
      <c r="B1877" s="5"/>
      <c r="C1877" s="22"/>
      <c r="D1877" s="5"/>
      <c r="E1877" s="5"/>
      <c r="F1877" s="5"/>
      <c r="G1877" s="19"/>
      <c r="H1877" s="5"/>
    </row>
    <row r="1878" spans="1:8" x14ac:dyDescent="0.35">
      <c r="A1878" s="5"/>
      <c r="B1878" s="5"/>
      <c r="C1878" s="22"/>
      <c r="D1878" s="5"/>
      <c r="E1878" s="5"/>
      <c r="F1878" s="5"/>
      <c r="G1878" s="19"/>
      <c r="H1878" s="5"/>
    </row>
    <row r="1879" spans="1:8" x14ac:dyDescent="0.35">
      <c r="A1879" s="5"/>
      <c r="B1879" s="5"/>
      <c r="C1879" s="22"/>
      <c r="D1879" s="5"/>
      <c r="E1879" s="5"/>
      <c r="F1879" s="5"/>
      <c r="G1879" s="19"/>
      <c r="H1879" s="5"/>
    </row>
    <row r="1880" spans="1:8" x14ac:dyDescent="0.35">
      <c r="A1880" s="5"/>
      <c r="B1880" s="5"/>
      <c r="C1880" s="22"/>
      <c r="D1880" s="5"/>
      <c r="E1880" s="5"/>
      <c r="F1880" s="5"/>
      <c r="G1880" s="19"/>
      <c r="H1880" s="5"/>
    </row>
    <row r="1881" spans="1:8" x14ac:dyDescent="0.35">
      <c r="A1881" s="5"/>
      <c r="B1881" s="5"/>
      <c r="C1881" s="22"/>
      <c r="D1881" s="5"/>
      <c r="E1881" s="5"/>
      <c r="F1881" s="5"/>
      <c r="G1881" s="19"/>
      <c r="H1881" s="5"/>
    </row>
    <row r="1882" spans="1:8" x14ac:dyDescent="0.35">
      <c r="A1882" s="5"/>
      <c r="B1882" s="5"/>
      <c r="C1882" s="22"/>
      <c r="D1882" s="5"/>
      <c r="E1882" s="5"/>
      <c r="F1882" s="5"/>
      <c r="G1882" s="19"/>
      <c r="H1882" s="5"/>
    </row>
    <row r="1883" spans="1:8" x14ac:dyDescent="0.35">
      <c r="A1883" s="5"/>
      <c r="B1883" s="5"/>
      <c r="C1883" s="22"/>
      <c r="D1883" s="5"/>
      <c r="E1883" s="5"/>
      <c r="F1883" s="5"/>
      <c r="G1883" s="19"/>
      <c r="H1883" s="5"/>
    </row>
    <row r="1884" spans="1:8" x14ac:dyDescent="0.35">
      <c r="A1884" s="5"/>
      <c r="B1884" s="5"/>
      <c r="C1884" s="22"/>
      <c r="D1884" s="5"/>
      <c r="E1884" s="5"/>
      <c r="F1884" s="5"/>
      <c r="G1884" s="19"/>
      <c r="H1884" s="5"/>
    </row>
    <row r="1885" spans="1:8" x14ac:dyDescent="0.35">
      <c r="A1885" s="5"/>
      <c r="B1885" s="5"/>
      <c r="C1885" s="22"/>
      <c r="D1885" s="5"/>
      <c r="E1885" s="5"/>
      <c r="F1885" s="5"/>
      <c r="G1885" s="19"/>
      <c r="H1885" s="5"/>
    </row>
    <row r="1886" spans="1:8" x14ac:dyDescent="0.35">
      <c r="A1886" s="5"/>
      <c r="B1886" s="5"/>
      <c r="C1886" s="22"/>
      <c r="D1886" s="5"/>
      <c r="E1886" s="5"/>
      <c r="F1886" s="5"/>
      <c r="G1886" s="19"/>
      <c r="H1886" s="5"/>
    </row>
    <row r="1887" spans="1:8" x14ac:dyDescent="0.35">
      <c r="A1887" s="5"/>
      <c r="B1887" s="5"/>
      <c r="C1887" s="22"/>
      <c r="D1887" s="5"/>
      <c r="E1887" s="5"/>
      <c r="F1887" s="5"/>
      <c r="G1887" s="19"/>
      <c r="H1887" s="5"/>
    </row>
    <row r="1888" spans="1:8" x14ac:dyDescent="0.35">
      <c r="A1888" s="5"/>
      <c r="B1888" s="5"/>
      <c r="C1888" s="22"/>
      <c r="D1888" s="5"/>
      <c r="E1888" s="5"/>
      <c r="F1888" s="5"/>
      <c r="G1888" s="19"/>
      <c r="H1888" s="5"/>
    </row>
    <row r="1889" spans="1:8" x14ac:dyDescent="0.35">
      <c r="A1889" s="5"/>
      <c r="B1889" s="5"/>
      <c r="C1889" s="22"/>
      <c r="D1889" s="5"/>
      <c r="E1889" s="5"/>
      <c r="F1889" s="5"/>
      <c r="G1889" s="19"/>
      <c r="H1889" s="5"/>
    </row>
    <row r="1890" spans="1:8" x14ac:dyDescent="0.35">
      <c r="A1890" s="5"/>
      <c r="B1890" s="5"/>
      <c r="C1890" s="22"/>
      <c r="D1890" s="5"/>
      <c r="E1890" s="5"/>
      <c r="F1890" s="5"/>
      <c r="G1890" s="19"/>
      <c r="H1890" s="5"/>
    </row>
    <row r="1891" spans="1:8" x14ac:dyDescent="0.35">
      <c r="A1891" s="5"/>
      <c r="B1891" s="5"/>
      <c r="C1891" s="22"/>
      <c r="D1891" s="5"/>
      <c r="E1891" s="5"/>
      <c r="F1891" s="5"/>
      <c r="G1891" s="19"/>
      <c r="H1891" s="5"/>
    </row>
    <row r="1892" spans="1:8" x14ac:dyDescent="0.35">
      <c r="A1892" s="5"/>
      <c r="B1892" s="5"/>
      <c r="C1892" s="22"/>
      <c r="D1892" s="5"/>
      <c r="E1892" s="5"/>
      <c r="F1892" s="5"/>
      <c r="G1892" s="19"/>
      <c r="H1892" s="5"/>
    </row>
    <row r="1893" spans="1:8" x14ac:dyDescent="0.35">
      <c r="A1893" s="5"/>
      <c r="B1893" s="5"/>
      <c r="C1893" s="22"/>
      <c r="D1893" s="5"/>
      <c r="E1893" s="5"/>
      <c r="F1893" s="5"/>
      <c r="G1893" s="19"/>
      <c r="H1893" s="5"/>
    </row>
    <row r="1894" spans="1:8" x14ac:dyDescent="0.35">
      <c r="A1894" s="5"/>
      <c r="B1894" s="5"/>
      <c r="C1894" s="22"/>
      <c r="D1894" s="5"/>
      <c r="E1894" s="5"/>
      <c r="F1894" s="5"/>
      <c r="G1894" s="19"/>
      <c r="H1894" s="5"/>
    </row>
    <row r="1895" spans="1:8" x14ac:dyDescent="0.35">
      <c r="A1895" s="5"/>
      <c r="B1895" s="5"/>
      <c r="C1895" s="22"/>
      <c r="D1895" s="5"/>
      <c r="E1895" s="5"/>
      <c r="F1895" s="5"/>
      <c r="G1895" s="19"/>
      <c r="H1895" s="5"/>
    </row>
    <row r="1896" spans="1:8" x14ac:dyDescent="0.35">
      <c r="A1896" s="5"/>
      <c r="B1896" s="5"/>
      <c r="C1896" s="22"/>
      <c r="D1896" s="5"/>
      <c r="E1896" s="5"/>
      <c r="F1896" s="5"/>
      <c r="G1896" s="19"/>
      <c r="H1896" s="5"/>
    </row>
    <row r="1897" spans="1:8" x14ac:dyDescent="0.35">
      <c r="A1897" s="5"/>
      <c r="B1897" s="5"/>
      <c r="C1897" s="22"/>
      <c r="D1897" s="5"/>
      <c r="E1897" s="5"/>
      <c r="F1897" s="5"/>
      <c r="G1897" s="19"/>
      <c r="H1897" s="5"/>
    </row>
    <row r="1898" spans="1:8" x14ac:dyDescent="0.35">
      <c r="A1898" s="5"/>
      <c r="B1898" s="5"/>
      <c r="C1898" s="22"/>
      <c r="D1898" s="5"/>
      <c r="E1898" s="5"/>
      <c r="F1898" s="5"/>
      <c r="G1898" s="19"/>
      <c r="H1898" s="5"/>
    </row>
    <row r="1899" spans="1:8" x14ac:dyDescent="0.35">
      <c r="A1899" s="5"/>
      <c r="B1899" s="5"/>
      <c r="C1899" s="22"/>
      <c r="D1899" s="5"/>
      <c r="E1899" s="5"/>
      <c r="F1899" s="5"/>
      <c r="G1899" s="19"/>
      <c r="H1899" s="5"/>
    </row>
    <row r="1900" spans="1:8" x14ac:dyDescent="0.35">
      <c r="A1900" s="5"/>
      <c r="B1900" s="5"/>
      <c r="C1900" s="22"/>
      <c r="D1900" s="5"/>
      <c r="E1900" s="5"/>
      <c r="F1900" s="5"/>
      <c r="G1900" s="19"/>
      <c r="H1900" s="5"/>
    </row>
    <row r="1901" spans="1:8" x14ac:dyDescent="0.35">
      <c r="A1901" s="5"/>
      <c r="B1901" s="5"/>
      <c r="C1901" s="22"/>
      <c r="D1901" s="5"/>
      <c r="E1901" s="5"/>
      <c r="F1901" s="5"/>
      <c r="G1901" s="19"/>
      <c r="H1901" s="5"/>
    </row>
    <row r="1902" spans="1:8" x14ac:dyDescent="0.35">
      <c r="A1902" s="5"/>
      <c r="B1902" s="5"/>
      <c r="C1902" s="22"/>
      <c r="D1902" s="5"/>
      <c r="E1902" s="5"/>
      <c r="F1902" s="5"/>
      <c r="G1902" s="19"/>
      <c r="H1902" s="5"/>
    </row>
    <row r="1903" spans="1:8" x14ac:dyDescent="0.35">
      <c r="A1903" s="5"/>
      <c r="B1903" s="5"/>
      <c r="C1903" s="22"/>
      <c r="D1903" s="5"/>
      <c r="E1903" s="5"/>
      <c r="F1903" s="5"/>
      <c r="G1903" s="19"/>
      <c r="H1903" s="5"/>
    </row>
    <row r="1904" spans="1:8" x14ac:dyDescent="0.35">
      <c r="A1904" s="5"/>
      <c r="B1904" s="5"/>
      <c r="C1904" s="22"/>
      <c r="D1904" s="5"/>
      <c r="E1904" s="5"/>
      <c r="F1904" s="5"/>
      <c r="G1904" s="19"/>
      <c r="H1904" s="5"/>
    </row>
    <row r="1905" spans="1:8" x14ac:dyDescent="0.35">
      <c r="A1905" s="5"/>
      <c r="B1905" s="5"/>
      <c r="C1905" s="22"/>
      <c r="D1905" s="5"/>
      <c r="E1905" s="5"/>
      <c r="F1905" s="5"/>
      <c r="G1905" s="19"/>
      <c r="H1905" s="5"/>
    </row>
    <row r="1906" spans="1:8" x14ac:dyDescent="0.35">
      <c r="A1906" s="5"/>
      <c r="B1906" s="5"/>
      <c r="C1906" s="22"/>
      <c r="D1906" s="5"/>
      <c r="E1906" s="5"/>
      <c r="F1906" s="5"/>
      <c r="G1906" s="19"/>
      <c r="H1906" s="5"/>
    </row>
    <row r="1907" spans="1:8" x14ac:dyDescent="0.35">
      <c r="A1907" s="5"/>
      <c r="B1907" s="5"/>
      <c r="C1907" s="22"/>
      <c r="D1907" s="5"/>
      <c r="E1907" s="5"/>
      <c r="F1907" s="5"/>
      <c r="G1907" s="19"/>
      <c r="H1907" s="5"/>
    </row>
    <row r="1908" spans="1:8" x14ac:dyDescent="0.35">
      <c r="A1908" s="5"/>
      <c r="B1908" s="5"/>
      <c r="C1908" s="22"/>
      <c r="D1908" s="5"/>
      <c r="E1908" s="5"/>
      <c r="F1908" s="5"/>
      <c r="G1908" s="19"/>
      <c r="H1908" s="5"/>
    </row>
    <row r="1909" spans="1:8" x14ac:dyDescent="0.35">
      <c r="A1909" s="5"/>
      <c r="B1909" s="5"/>
      <c r="C1909" s="22"/>
      <c r="D1909" s="5"/>
      <c r="E1909" s="5"/>
      <c r="F1909" s="5"/>
      <c r="G1909" s="19"/>
      <c r="H1909" s="5"/>
    </row>
    <row r="1910" spans="1:8" x14ac:dyDescent="0.35">
      <c r="A1910" s="5"/>
      <c r="B1910" s="5"/>
      <c r="C1910" s="22"/>
      <c r="D1910" s="5"/>
      <c r="E1910" s="5"/>
      <c r="F1910" s="5"/>
      <c r="G1910" s="19"/>
      <c r="H1910" s="5"/>
    </row>
    <row r="1911" spans="1:8" x14ac:dyDescent="0.35">
      <c r="A1911" s="5"/>
      <c r="B1911" s="5"/>
      <c r="C1911" s="22"/>
      <c r="D1911" s="5"/>
      <c r="E1911" s="5"/>
      <c r="F1911" s="5"/>
      <c r="G1911" s="19"/>
      <c r="H1911" s="5"/>
    </row>
    <row r="1912" spans="1:8" x14ac:dyDescent="0.35">
      <c r="A1912" s="5"/>
      <c r="B1912" s="5"/>
      <c r="C1912" s="22"/>
      <c r="D1912" s="5"/>
      <c r="E1912" s="5"/>
      <c r="F1912" s="5"/>
      <c r="G1912" s="19"/>
      <c r="H1912" s="5"/>
    </row>
    <row r="1913" spans="1:8" x14ac:dyDescent="0.35">
      <c r="A1913" s="5"/>
      <c r="B1913" s="5"/>
      <c r="C1913" s="22"/>
      <c r="D1913" s="5"/>
      <c r="E1913" s="5"/>
      <c r="F1913" s="5"/>
      <c r="G1913" s="19"/>
      <c r="H1913" s="5"/>
    </row>
    <row r="1914" spans="1:8" x14ac:dyDescent="0.35">
      <c r="A1914" s="5"/>
      <c r="B1914" s="5"/>
      <c r="C1914" s="22"/>
      <c r="D1914" s="5"/>
      <c r="E1914" s="5"/>
      <c r="F1914" s="5"/>
      <c r="G1914" s="19"/>
      <c r="H1914" s="5"/>
    </row>
    <row r="1915" spans="1:8" x14ac:dyDescent="0.35">
      <c r="A1915" s="5"/>
      <c r="B1915" s="5"/>
      <c r="C1915" s="22"/>
      <c r="D1915" s="5"/>
      <c r="E1915" s="5"/>
      <c r="F1915" s="5"/>
      <c r="G1915" s="19"/>
      <c r="H1915" s="5"/>
    </row>
    <row r="1916" spans="1:8" x14ac:dyDescent="0.35">
      <c r="A1916" s="5"/>
      <c r="B1916" s="5"/>
      <c r="C1916" s="22"/>
      <c r="D1916" s="5"/>
      <c r="E1916" s="5"/>
      <c r="F1916" s="5"/>
      <c r="G1916" s="19"/>
      <c r="H1916" s="5"/>
    </row>
    <row r="1917" spans="1:8" x14ac:dyDescent="0.35">
      <c r="A1917" s="5"/>
      <c r="B1917" s="5"/>
      <c r="C1917" s="22"/>
      <c r="D1917" s="5"/>
      <c r="E1917" s="5"/>
      <c r="F1917" s="5"/>
      <c r="G1917" s="19"/>
      <c r="H1917" s="5"/>
    </row>
    <row r="1918" spans="1:8" x14ac:dyDescent="0.35">
      <c r="A1918" s="5"/>
      <c r="B1918" s="5"/>
      <c r="C1918" s="22"/>
      <c r="D1918" s="5"/>
      <c r="E1918" s="5"/>
      <c r="F1918" s="5"/>
      <c r="G1918" s="19"/>
      <c r="H1918" s="5"/>
    </row>
    <row r="1919" spans="1:8" x14ac:dyDescent="0.35">
      <c r="A1919" s="5"/>
      <c r="B1919" s="5"/>
      <c r="C1919" s="22"/>
      <c r="D1919" s="5"/>
      <c r="E1919" s="5"/>
      <c r="F1919" s="5"/>
      <c r="G1919" s="19"/>
      <c r="H1919" s="5"/>
    </row>
    <row r="1920" spans="1:8" x14ac:dyDescent="0.35">
      <c r="A1920" s="5"/>
      <c r="B1920" s="5"/>
      <c r="C1920" s="22"/>
      <c r="D1920" s="5"/>
      <c r="E1920" s="5"/>
      <c r="F1920" s="5"/>
      <c r="G1920" s="19"/>
      <c r="H1920" s="5"/>
    </row>
    <row r="1921" spans="1:8" x14ac:dyDescent="0.35">
      <c r="A1921" s="5"/>
      <c r="B1921" s="5"/>
      <c r="C1921" s="22"/>
      <c r="D1921" s="5"/>
      <c r="E1921" s="5"/>
      <c r="F1921" s="5"/>
      <c r="G1921" s="19"/>
      <c r="H1921" s="5"/>
    </row>
    <row r="1922" spans="1:8" x14ac:dyDescent="0.35">
      <c r="A1922" s="5"/>
      <c r="B1922" s="5"/>
      <c r="C1922" s="22"/>
      <c r="D1922" s="5"/>
      <c r="E1922" s="5"/>
      <c r="F1922" s="5"/>
      <c r="G1922" s="19"/>
      <c r="H1922" s="5"/>
    </row>
    <row r="1923" spans="1:8" x14ac:dyDescent="0.35">
      <c r="A1923" s="5"/>
      <c r="B1923" s="5"/>
      <c r="C1923" s="22"/>
      <c r="D1923" s="5"/>
      <c r="E1923" s="5"/>
      <c r="F1923" s="5"/>
      <c r="G1923" s="19"/>
      <c r="H1923" s="5"/>
    </row>
    <row r="1924" spans="1:8" x14ac:dyDescent="0.35">
      <c r="A1924" s="5"/>
      <c r="B1924" s="5"/>
      <c r="C1924" s="22"/>
      <c r="D1924" s="5"/>
      <c r="E1924" s="5"/>
      <c r="F1924" s="5"/>
      <c r="G1924" s="19"/>
      <c r="H1924" s="5"/>
    </row>
    <row r="1925" spans="1:8" x14ac:dyDescent="0.35">
      <c r="A1925" s="5"/>
      <c r="B1925" s="5"/>
      <c r="C1925" s="22"/>
      <c r="D1925" s="5"/>
      <c r="E1925" s="5"/>
      <c r="F1925" s="5"/>
      <c r="G1925" s="19"/>
      <c r="H1925" s="5"/>
    </row>
    <row r="1926" spans="1:8" x14ac:dyDescent="0.35">
      <c r="A1926" s="5"/>
      <c r="B1926" s="5"/>
      <c r="C1926" s="22"/>
      <c r="D1926" s="5"/>
      <c r="E1926" s="5"/>
      <c r="F1926" s="5"/>
      <c r="G1926" s="19"/>
      <c r="H1926" s="5"/>
    </row>
    <row r="1927" spans="1:8" x14ac:dyDescent="0.35">
      <c r="A1927" s="5"/>
      <c r="B1927" s="5"/>
      <c r="C1927" s="22"/>
      <c r="D1927" s="5"/>
      <c r="E1927" s="5"/>
      <c r="F1927" s="5"/>
      <c r="G1927" s="19"/>
      <c r="H1927" s="5"/>
    </row>
    <row r="1928" spans="1:8" x14ac:dyDescent="0.35">
      <c r="A1928" s="5"/>
      <c r="B1928" s="5"/>
      <c r="C1928" s="22"/>
      <c r="D1928" s="5"/>
      <c r="E1928" s="5"/>
      <c r="F1928" s="5"/>
      <c r="G1928" s="19"/>
      <c r="H1928" s="5"/>
    </row>
    <row r="1929" spans="1:8" x14ac:dyDescent="0.35">
      <c r="A1929" s="5"/>
      <c r="B1929" s="5"/>
      <c r="C1929" s="22"/>
      <c r="D1929" s="5"/>
      <c r="E1929" s="5"/>
      <c r="F1929" s="5"/>
      <c r="G1929" s="19"/>
      <c r="H1929" s="5"/>
    </row>
    <row r="1930" spans="1:8" x14ac:dyDescent="0.35">
      <c r="A1930" s="5"/>
      <c r="B1930" s="5"/>
      <c r="C1930" s="22"/>
      <c r="D1930" s="5"/>
      <c r="E1930" s="5"/>
      <c r="F1930" s="5"/>
      <c r="G1930" s="19"/>
      <c r="H1930" s="5"/>
    </row>
    <row r="1931" spans="1:8" x14ac:dyDescent="0.35">
      <c r="A1931" s="5"/>
      <c r="B1931" s="5"/>
      <c r="C1931" s="22"/>
      <c r="D1931" s="5"/>
      <c r="E1931" s="5"/>
      <c r="F1931" s="5"/>
      <c r="G1931" s="19"/>
      <c r="H1931" s="5"/>
    </row>
    <row r="1932" spans="1:8" x14ac:dyDescent="0.35">
      <c r="A1932" s="5"/>
      <c r="B1932" s="5"/>
      <c r="C1932" s="22"/>
      <c r="D1932" s="5"/>
      <c r="E1932" s="5"/>
      <c r="F1932" s="5"/>
      <c r="G1932" s="19"/>
      <c r="H1932" s="5"/>
    </row>
    <row r="1933" spans="1:8" x14ac:dyDescent="0.35">
      <c r="A1933" s="5"/>
      <c r="B1933" s="5"/>
      <c r="C1933" s="22"/>
      <c r="D1933" s="5"/>
      <c r="E1933" s="5"/>
      <c r="F1933" s="5"/>
      <c r="G1933" s="19"/>
      <c r="H1933" s="5"/>
    </row>
    <row r="1934" spans="1:8" x14ac:dyDescent="0.35">
      <c r="A1934" s="5"/>
      <c r="B1934" s="5"/>
      <c r="C1934" s="22"/>
      <c r="D1934" s="5"/>
      <c r="E1934" s="5"/>
      <c r="F1934" s="5"/>
      <c r="G1934" s="19"/>
      <c r="H1934" s="5"/>
    </row>
    <row r="1935" spans="1:8" x14ac:dyDescent="0.35">
      <c r="A1935" s="5"/>
      <c r="B1935" s="5"/>
      <c r="C1935" s="22"/>
      <c r="D1935" s="5"/>
      <c r="E1935" s="5"/>
      <c r="F1935" s="5"/>
      <c r="G1935" s="19"/>
      <c r="H1935" s="5"/>
    </row>
    <row r="1936" spans="1:8" x14ac:dyDescent="0.35">
      <c r="A1936" s="5"/>
      <c r="B1936" s="5"/>
      <c r="C1936" s="22"/>
      <c r="D1936" s="5"/>
      <c r="E1936" s="5"/>
      <c r="F1936" s="5"/>
      <c r="G1936" s="19"/>
      <c r="H1936" s="5"/>
    </row>
    <row r="1937" spans="1:8" x14ac:dyDescent="0.35">
      <c r="A1937" s="5"/>
      <c r="B1937" s="5"/>
      <c r="C1937" s="22"/>
      <c r="D1937" s="5"/>
      <c r="E1937" s="5"/>
      <c r="F1937" s="5"/>
      <c r="G1937" s="19"/>
      <c r="H1937" s="5"/>
    </row>
    <row r="1938" spans="1:8" x14ac:dyDescent="0.35">
      <c r="A1938" s="5"/>
      <c r="B1938" s="5"/>
      <c r="C1938" s="22"/>
      <c r="D1938" s="5"/>
      <c r="E1938" s="5"/>
      <c r="F1938" s="5"/>
      <c r="G1938" s="19"/>
      <c r="H1938" s="5"/>
    </row>
    <row r="1939" spans="1:8" x14ac:dyDescent="0.35">
      <c r="A1939" s="5"/>
      <c r="B1939" s="5"/>
      <c r="C1939" s="22"/>
      <c r="D1939" s="5"/>
      <c r="E1939" s="5"/>
      <c r="F1939" s="5"/>
      <c r="G1939" s="19"/>
      <c r="H1939" s="5"/>
    </row>
    <row r="1940" spans="1:8" x14ac:dyDescent="0.35">
      <c r="A1940" s="5"/>
      <c r="B1940" s="5"/>
      <c r="C1940" s="22"/>
      <c r="D1940" s="5"/>
      <c r="E1940" s="5"/>
      <c r="F1940" s="5"/>
      <c r="G1940" s="19"/>
      <c r="H1940" s="5"/>
    </row>
    <row r="1941" spans="1:8" x14ac:dyDescent="0.35">
      <c r="A1941" s="5"/>
      <c r="B1941" s="5"/>
      <c r="C1941" s="22"/>
      <c r="D1941" s="5"/>
      <c r="E1941" s="5"/>
      <c r="F1941" s="5"/>
      <c r="G1941" s="19"/>
      <c r="H1941" s="5"/>
    </row>
    <row r="1942" spans="1:8" x14ac:dyDescent="0.35">
      <c r="A1942" s="5"/>
      <c r="B1942" s="5"/>
      <c r="C1942" s="22"/>
      <c r="D1942" s="5"/>
      <c r="E1942" s="5"/>
      <c r="F1942" s="5"/>
      <c r="G1942" s="19"/>
      <c r="H1942" s="5"/>
    </row>
    <row r="1943" spans="1:8" x14ac:dyDescent="0.35">
      <c r="A1943" s="5"/>
      <c r="B1943" s="5"/>
      <c r="C1943" s="22"/>
      <c r="D1943" s="5"/>
      <c r="E1943" s="5"/>
      <c r="F1943" s="5"/>
      <c r="G1943" s="19"/>
      <c r="H1943" s="5"/>
    </row>
    <row r="1944" spans="1:8" x14ac:dyDescent="0.35">
      <c r="A1944" s="5"/>
      <c r="B1944" s="5"/>
      <c r="C1944" s="22"/>
      <c r="D1944" s="5"/>
      <c r="E1944" s="5"/>
      <c r="F1944" s="5"/>
      <c r="G1944" s="19"/>
      <c r="H1944" s="5"/>
    </row>
    <row r="1945" spans="1:8" x14ac:dyDescent="0.35">
      <c r="A1945" s="5"/>
      <c r="B1945" s="5"/>
      <c r="C1945" s="22"/>
      <c r="D1945" s="5"/>
      <c r="E1945" s="5"/>
      <c r="F1945" s="5"/>
      <c r="G1945" s="19"/>
      <c r="H1945" s="5"/>
    </row>
    <row r="1946" spans="1:8" x14ac:dyDescent="0.35">
      <c r="A1946" s="5"/>
      <c r="B1946" s="5"/>
      <c r="C1946" s="22"/>
      <c r="D1946" s="5"/>
      <c r="E1946" s="5"/>
      <c r="F1946" s="5"/>
      <c r="G1946" s="19"/>
      <c r="H1946" s="5"/>
    </row>
    <row r="1947" spans="1:8" x14ac:dyDescent="0.35">
      <c r="A1947" s="5"/>
      <c r="B1947" s="5"/>
      <c r="C1947" s="22"/>
      <c r="D1947" s="5"/>
      <c r="E1947" s="5"/>
      <c r="F1947" s="5"/>
      <c r="G1947" s="19"/>
      <c r="H1947" s="5"/>
    </row>
    <row r="1948" spans="1:8" x14ac:dyDescent="0.35">
      <c r="A1948" s="5"/>
      <c r="B1948" s="5"/>
      <c r="C1948" s="22"/>
      <c r="D1948" s="5"/>
      <c r="E1948" s="5"/>
      <c r="F1948" s="5"/>
      <c r="G1948" s="19"/>
      <c r="H1948" s="5"/>
    </row>
    <row r="1949" spans="1:8" x14ac:dyDescent="0.35">
      <c r="A1949" s="5"/>
      <c r="B1949" s="5"/>
      <c r="C1949" s="22"/>
      <c r="D1949" s="5"/>
      <c r="E1949" s="5"/>
      <c r="F1949" s="5"/>
      <c r="G1949" s="19"/>
      <c r="H1949" s="5"/>
    </row>
    <row r="1950" spans="1:8" x14ac:dyDescent="0.35">
      <c r="A1950" s="5"/>
      <c r="B1950" s="5"/>
      <c r="C1950" s="22"/>
      <c r="D1950" s="5"/>
      <c r="E1950" s="5"/>
      <c r="F1950" s="5"/>
      <c r="G1950" s="19"/>
      <c r="H1950" s="5"/>
    </row>
    <row r="1951" spans="1:8" x14ac:dyDescent="0.35">
      <c r="A1951" s="5"/>
      <c r="B1951" s="5"/>
      <c r="C1951" s="22"/>
      <c r="D1951" s="5"/>
      <c r="E1951" s="5"/>
      <c r="F1951" s="5"/>
      <c r="G1951" s="19"/>
      <c r="H1951" s="5"/>
    </row>
    <row r="1952" spans="1:8" x14ac:dyDescent="0.35">
      <c r="A1952" s="5"/>
      <c r="B1952" s="5"/>
      <c r="C1952" s="22"/>
      <c r="D1952" s="5"/>
      <c r="E1952" s="5"/>
      <c r="F1952" s="5"/>
      <c r="G1952" s="19"/>
      <c r="H1952" s="5"/>
    </row>
    <row r="1953" spans="1:8" x14ac:dyDescent="0.35">
      <c r="A1953" s="5"/>
      <c r="B1953" s="5"/>
      <c r="C1953" s="22"/>
      <c r="D1953" s="5"/>
      <c r="E1953" s="5"/>
      <c r="F1953" s="5"/>
      <c r="G1953" s="19"/>
      <c r="H1953" s="5"/>
    </row>
    <row r="1954" spans="1:8" x14ac:dyDescent="0.35">
      <c r="A1954" s="5"/>
      <c r="B1954" s="5"/>
      <c r="C1954" s="22"/>
      <c r="D1954" s="5"/>
      <c r="E1954" s="5"/>
      <c r="F1954" s="5"/>
      <c r="G1954" s="19"/>
      <c r="H1954" s="5"/>
    </row>
    <row r="1955" spans="1:8" x14ac:dyDescent="0.35">
      <c r="A1955" s="5"/>
      <c r="B1955" s="5"/>
      <c r="C1955" s="22"/>
      <c r="D1955" s="5"/>
      <c r="E1955" s="5"/>
      <c r="F1955" s="5"/>
      <c r="G1955" s="19"/>
      <c r="H1955" s="5"/>
    </row>
    <row r="1956" spans="1:8" x14ac:dyDescent="0.35">
      <c r="A1956" s="5"/>
      <c r="B1956" s="5"/>
      <c r="C1956" s="22"/>
      <c r="D1956" s="5"/>
      <c r="E1956" s="5"/>
      <c r="F1956" s="5"/>
      <c r="G1956" s="19"/>
      <c r="H1956" s="5"/>
    </row>
    <row r="1957" spans="1:8" x14ac:dyDescent="0.35">
      <c r="A1957" s="5"/>
      <c r="B1957" s="5"/>
      <c r="C1957" s="22"/>
      <c r="D1957" s="5"/>
      <c r="E1957" s="5"/>
      <c r="F1957" s="5"/>
      <c r="G1957" s="19"/>
      <c r="H1957" s="5"/>
    </row>
    <row r="1958" spans="1:8" x14ac:dyDescent="0.35">
      <c r="A1958" s="5"/>
      <c r="B1958" s="5"/>
      <c r="C1958" s="22"/>
      <c r="D1958" s="5"/>
      <c r="E1958" s="5"/>
      <c r="F1958" s="5"/>
      <c r="G1958" s="19"/>
      <c r="H1958" s="5"/>
    </row>
    <row r="1959" spans="1:8" x14ac:dyDescent="0.35">
      <c r="A1959" s="5"/>
      <c r="B1959" s="5"/>
      <c r="C1959" s="22"/>
      <c r="D1959" s="5"/>
      <c r="E1959" s="5"/>
      <c r="F1959" s="5"/>
      <c r="G1959" s="19"/>
      <c r="H1959" s="5"/>
    </row>
    <row r="1960" spans="1:8" x14ac:dyDescent="0.35">
      <c r="A1960" s="5"/>
      <c r="B1960" s="5"/>
      <c r="C1960" s="22"/>
      <c r="D1960" s="5"/>
      <c r="E1960" s="5"/>
      <c r="F1960" s="5"/>
      <c r="G1960" s="19"/>
      <c r="H1960" s="5"/>
    </row>
    <row r="1961" spans="1:8" x14ac:dyDescent="0.35">
      <c r="A1961" s="5"/>
      <c r="B1961" s="5"/>
      <c r="C1961" s="22"/>
      <c r="D1961" s="5"/>
      <c r="E1961" s="5"/>
      <c r="F1961" s="5"/>
      <c r="G1961" s="19"/>
      <c r="H1961" s="5"/>
    </row>
    <row r="1962" spans="1:8" x14ac:dyDescent="0.35">
      <c r="A1962" s="5"/>
      <c r="B1962" s="5"/>
      <c r="C1962" s="22"/>
      <c r="D1962" s="5"/>
      <c r="E1962" s="5"/>
      <c r="F1962" s="5"/>
      <c r="G1962" s="19"/>
      <c r="H1962" s="5"/>
    </row>
    <row r="1963" spans="1:8" x14ac:dyDescent="0.35">
      <c r="A1963" s="5"/>
      <c r="B1963" s="5"/>
      <c r="C1963" s="22"/>
      <c r="D1963" s="5"/>
      <c r="E1963" s="5"/>
      <c r="F1963" s="5"/>
      <c r="G1963" s="19"/>
      <c r="H1963" s="5"/>
    </row>
    <row r="1964" spans="1:8" x14ac:dyDescent="0.35">
      <c r="A1964" s="5"/>
      <c r="B1964" s="5"/>
      <c r="C1964" s="22"/>
      <c r="D1964" s="5"/>
      <c r="E1964" s="5"/>
      <c r="F1964" s="5"/>
      <c r="G1964" s="19"/>
      <c r="H1964" s="5"/>
    </row>
    <row r="1965" spans="1:8" x14ac:dyDescent="0.35">
      <c r="A1965" s="5"/>
      <c r="B1965" s="5"/>
      <c r="C1965" s="22"/>
      <c r="D1965" s="5"/>
      <c r="E1965" s="5"/>
      <c r="F1965" s="5"/>
      <c r="G1965" s="19"/>
      <c r="H1965" s="5"/>
    </row>
    <row r="1966" spans="1:8" x14ac:dyDescent="0.35">
      <c r="A1966" s="5"/>
      <c r="B1966" s="5"/>
      <c r="C1966" s="22"/>
      <c r="D1966" s="5"/>
      <c r="E1966" s="5"/>
      <c r="F1966" s="5"/>
      <c r="G1966" s="19"/>
      <c r="H1966" s="5"/>
    </row>
    <row r="1967" spans="1:8" x14ac:dyDescent="0.35">
      <c r="A1967" s="5"/>
      <c r="B1967" s="5"/>
      <c r="C1967" s="22"/>
      <c r="D1967" s="5"/>
      <c r="E1967" s="5"/>
      <c r="F1967" s="5"/>
      <c r="G1967" s="19"/>
      <c r="H1967" s="5"/>
    </row>
    <row r="1968" spans="1:8" x14ac:dyDescent="0.35">
      <c r="A1968" s="5"/>
      <c r="B1968" s="5"/>
      <c r="C1968" s="22"/>
      <c r="D1968" s="5"/>
      <c r="E1968" s="5"/>
      <c r="F1968" s="5"/>
      <c r="G1968" s="19"/>
      <c r="H1968" s="5"/>
    </row>
    <row r="1969" spans="1:8" x14ac:dyDescent="0.35">
      <c r="A1969" s="5"/>
      <c r="B1969" s="5"/>
      <c r="C1969" s="22"/>
      <c r="D1969" s="5"/>
      <c r="E1969" s="5"/>
      <c r="F1969" s="5"/>
      <c r="G1969" s="19"/>
      <c r="H1969" s="5"/>
    </row>
    <row r="1970" spans="1:8" x14ac:dyDescent="0.35">
      <c r="A1970" s="5"/>
      <c r="B1970" s="5"/>
      <c r="C1970" s="22"/>
      <c r="D1970" s="5"/>
      <c r="E1970" s="5"/>
      <c r="F1970" s="5"/>
      <c r="G1970" s="19"/>
      <c r="H1970" s="5"/>
    </row>
    <row r="1971" spans="1:8" x14ac:dyDescent="0.35">
      <c r="A1971" s="5"/>
      <c r="B1971" s="5"/>
      <c r="C1971" s="22"/>
      <c r="D1971" s="5"/>
      <c r="E1971" s="5"/>
      <c r="F1971" s="5"/>
      <c r="G1971" s="19"/>
      <c r="H1971" s="5"/>
    </row>
    <row r="1972" spans="1:8" x14ac:dyDescent="0.35">
      <c r="A1972" s="5"/>
      <c r="B1972" s="5"/>
      <c r="C1972" s="22"/>
      <c r="D1972" s="5"/>
      <c r="E1972" s="5"/>
      <c r="F1972" s="5"/>
      <c r="G1972" s="19"/>
      <c r="H1972" s="5"/>
    </row>
    <row r="1973" spans="1:8" x14ac:dyDescent="0.35">
      <c r="A1973" s="5"/>
      <c r="B1973" s="5"/>
      <c r="C1973" s="22"/>
      <c r="D1973" s="5"/>
      <c r="E1973" s="5"/>
      <c r="F1973" s="5"/>
      <c r="G1973" s="19"/>
      <c r="H1973" s="5"/>
    </row>
    <row r="1974" spans="1:8" x14ac:dyDescent="0.35">
      <c r="A1974" s="5"/>
      <c r="B1974" s="5"/>
      <c r="C1974" s="22"/>
      <c r="D1974" s="5"/>
      <c r="E1974" s="5"/>
      <c r="F1974" s="5"/>
      <c r="G1974" s="19"/>
      <c r="H1974" s="5"/>
    </row>
    <row r="1975" spans="1:8" x14ac:dyDescent="0.35">
      <c r="A1975" s="5"/>
      <c r="B1975" s="5"/>
      <c r="C1975" s="22"/>
      <c r="D1975" s="5"/>
      <c r="E1975" s="5"/>
      <c r="F1975" s="5"/>
      <c r="G1975" s="19"/>
      <c r="H1975" s="5"/>
    </row>
    <row r="1976" spans="1:8" x14ac:dyDescent="0.35">
      <c r="A1976" s="5"/>
      <c r="B1976" s="5"/>
      <c r="C1976" s="22"/>
      <c r="D1976" s="5"/>
      <c r="E1976" s="5"/>
      <c r="F1976" s="5"/>
      <c r="G1976" s="19"/>
      <c r="H1976" s="5"/>
    </row>
    <row r="1977" spans="1:8" x14ac:dyDescent="0.35">
      <c r="A1977" s="5"/>
      <c r="B1977" s="5"/>
      <c r="C1977" s="22"/>
      <c r="D1977" s="5"/>
      <c r="E1977" s="5"/>
      <c r="F1977" s="5"/>
      <c r="G1977" s="19"/>
      <c r="H1977" s="5"/>
    </row>
    <row r="1978" spans="1:8" x14ac:dyDescent="0.35">
      <c r="A1978" s="5"/>
      <c r="B1978" s="5"/>
      <c r="C1978" s="22"/>
      <c r="D1978" s="5"/>
      <c r="E1978" s="5"/>
      <c r="F1978" s="5"/>
      <c r="G1978" s="19"/>
      <c r="H1978" s="5"/>
    </row>
    <row r="1979" spans="1:8" x14ac:dyDescent="0.35">
      <c r="A1979" s="5"/>
      <c r="B1979" s="5"/>
      <c r="C1979" s="22"/>
      <c r="D1979" s="5"/>
      <c r="E1979" s="5"/>
      <c r="F1979" s="5"/>
      <c r="G1979" s="19"/>
      <c r="H1979" s="5"/>
    </row>
    <row r="1980" spans="1:8" x14ac:dyDescent="0.35">
      <c r="A1980" s="5"/>
      <c r="B1980" s="5"/>
      <c r="C1980" s="22"/>
      <c r="D1980" s="5"/>
      <c r="E1980" s="5"/>
      <c r="F1980" s="5"/>
      <c r="G1980" s="19"/>
      <c r="H1980" s="5"/>
    </row>
    <row r="1981" spans="1:8" x14ac:dyDescent="0.35">
      <c r="A1981" s="5"/>
      <c r="B1981" s="5"/>
      <c r="C1981" s="22"/>
      <c r="D1981" s="5"/>
      <c r="E1981" s="5"/>
      <c r="F1981" s="5"/>
      <c r="G1981" s="19"/>
      <c r="H1981" s="5"/>
    </row>
    <row r="1982" spans="1:8" x14ac:dyDescent="0.35">
      <c r="A1982" s="5"/>
      <c r="B1982" s="5"/>
      <c r="C1982" s="22"/>
      <c r="D1982" s="5"/>
      <c r="E1982" s="5"/>
      <c r="F1982" s="5"/>
      <c r="G1982" s="19"/>
      <c r="H1982" s="5"/>
    </row>
    <row r="1983" spans="1:8" x14ac:dyDescent="0.35">
      <c r="A1983" s="5"/>
      <c r="B1983" s="5"/>
      <c r="C1983" s="22"/>
      <c r="D1983" s="5"/>
      <c r="E1983" s="5"/>
      <c r="F1983" s="5"/>
      <c r="G1983" s="19"/>
      <c r="H1983" s="5"/>
    </row>
    <row r="1984" spans="1:8" x14ac:dyDescent="0.35">
      <c r="A1984" s="5"/>
      <c r="B1984" s="5"/>
      <c r="C1984" s="22"/>
      <c r="D1984" s="5"/>
      <c r="E1984" s="5"/>
      <c r="F1984" s="5"/>
      <c r="G1984" s="19"/>
      <c r="H1984" s="5"/>
    </row>
    <row r="1985" spans="1:8" x14ac:dyDescent="0.35">
      <c r="A1985" s="5"/>
      <c r="B1985" s="5"/>
      <c r="C1985" s="22"/>
      <c r="D1985" s="5"/>
      <c r="E1985" s="5"/>
      <c r="F1985" s="5"/>
      <c r="G1985" s="19"/>
      <c r="H1985" s="5"/>
    </row>
    <row r="1986" spans="1:8" x14ac:dyDescent="0.35">
      <c r="A1986" s="5"/>
      <c r="B1986" s="5"/>
      <c r="C1986" s="22"/>
      <c r="D1986" s="5"/>
      <c r="E1986" s="5"/>
      <c r="F1986" s="5"/>
      <c r="G1986" s="19"/>
      <c r="H1986" s="5"/>
    </row>
    <row r="1987" spans="1:8" x14ac:dyDescent="0.35">
      <c r="A1987" s="5"/>
      <c r="B1987" s="5"/>
      <c r="C1987" s="22"/>
      <c r="D1987" s="5"/>
      <c r="E1987" s="5"/>
      <c r="F1987" s="5"/>
      <c r="G1987" s="19"/>
      <c r="H1987" s="5"/>
    </row>
    <row r="1988" spans="1:8" x14ac:dyDescent="0.35">
      <c r="A1988" s="5"/>
      <c r="B1988" s="5"/>
      <c r="C1988" s="22"/>
      <c r="D1988" s="5"/>
      <c r="E1988" s="5"/>
      <c r="F1988" s="5"/>
      <c r="G1988" s="19"/>
      <c r="H1988" s="5"/>
    </row>
    <row r="1989" spans="1:8" x14ac:dyDescent="0.35">
      <c r="A1989" s="5"/>
      <c r="B1989" s="5"/>
      <c r="C1989" s="22"/>
      <c r="D1989" s="5"/>
      <c r="E1989" s="5"/>
      <c r="F1989" s="5"/>
      <c r="G1989" s="19"/>
      <c r="H1989" s="5"/>
    </row>
    <row r="1990" spans="1:8" x14ac:dyDescent="0.35">
      <c r="A1990" s="5"/>
      <c r="B1990" s="5"/>
      <c r="C1990" s="22"/>
      <c r="D1990" s="5"/>
      <c r="E1990" s="5"/>
      <c r="F1990" s="5"/>
      <c r="G1990" s="19"/>
      <c r="H1990" s="5"/>
    </row>
    <row r="1991" spans="1:8" x14ac:dyDescent="0.35">
      <c r="A1991" s="5"/>
      <c r="B1991" s="5"/>
      <c r="C1991" s="22"/>
      <c r="D1991" s="5"/>
      <c r="E1991" s="5"/>
      <c r="F1991" s="5"/>
      <c r="G1991" s="19"/>
      <c r="H1991" s="5"/>
    </row>
    <row r="1992" spans="1:8" x14ac:dyDescent="0.35">
      <c r="A1992" s="5"/>
      <c r="B1992" s="5"/>
      <c r="C1992" s="22"/>
      <c r="D1992" s="5"/>
      <c r="E1992" s="5"/>
      <c r="F1992" s="5"/>
      <c r="G1992" s="19"/>
      <c r="H1992" s="5"/>
    </row>
    <row r="1993" spans="1:8" x14ac:dyDescent="0.35">
      <c r="A1993" s="5"/>
      <c r="B1993" s="5"/>
      <c r="C1993" s="22"/>
      <c r="D1993" s="5"/>
      <c r="E1993" s="5"/>
      <c r="F1993" s="5"/>
      <c r="G1993" s="19"/>
      <c r="H1993" s="5"/>
    </row>
    <row r="1994" spans="1:8" x14ac:dyDescent="0.35">
      <c r="A1994" s="5"/>
      <c r="B1994" s="5"/>
      <c r="C1994" s="22"/>
      <c r="D1994" s="5"/>
      <c r="E1994" s="5"/>
      <c r="F1994" s="5"/>
      <c r="G1994" s="19"/>
      <c r="H1994" s="5"/>
    </row>
    <row r="1995" spans="1:8" x14ac:dyDescent="0.35">
      <c r="A1995" s="5"/>
      <c r="B1995" s="5"/>
      <c r="C1995" s="22"/>
      <c r="D1995" s="5"/>
      <c r="E1995" s="5"/>
      <c r="F1995" s="5"/>
      <c r="G1995" s="19"/>
      <c r="H1995" s="5"/>
    </row>
    <row r="1996" spans="1:8" x14ac:dyDescent="0.35">
      <c r="A1996" s="5"/>
      <c r="B1996" s="5"/>
      <c r="C1996" s="22"/>
      <c r="D1996" s="5"/>
      <c r="E1996" s="5"/>
      <c r="F1996" s="5"/>
      <c r="G1996" s="19"/>
      <c r="H1996" s="5"/>
    </row>
    <row r="1997" spans="1:8" x14ac:dyDescent="0.35">
      <c r="A1997" s="5"/>
      <c r="B1997" s="5"/>
      <c r="C1997" s="22"/>
      <c r="D1997" s="5"/>
      <c r="E1997" s="5"/>
      <c r="F1997" s="5"/>
      <c r="G1997" s="19"/>
      <c r="H1997" s="5"/>
    </row>
    <row r="1998" spans="1:8" x14ac:dyDescent="0.35">
      <c r="A1998" s="5"/>
      <c r="B1998" s="5"/>
      <c r="C1998" s="22"/>
      <c r="D1998" s="5"/>
      <c r="E1998" s="5"/>
      <c r="F1998" s="5"/>
      <c r="G1998" s="19"/>
      <c r="H1998" s="5"/>
    </row>
    <row r="1999" spans="1:8" x14ac:dyDescent="0.35">
      <c r="A1999" s="5"/>
      <c r="B1999" s="5"/>
      <c r="C1999" s="22"/>
      <c r="D1999" s="5"/>
      <c r="E1999" s="5"/>
      <c r="F1999" s="5"/>
      <c r="G1999" s="19"/>
      <c r="H1999" s="5"/>
    </row>
    <row r="2000" spans="1:8" x14ac:dyDescent="0.35">
      <c r="A2000" s="5"/>
      <c r="B2000" s="5"/>
      <c r="C2000" s="22"/>
      <c r="D2000" s="5"/>
      <c r="E2000" s="5"/>
      <c r="F2000" s="5"/>
      <c r="G2000" s="19"/>
      <c r="H2000" s="5"/>
    </row>
    <row r="2001" spans="1:8" x14ac:dyDescent="0.35">
      <c r="A2001" s="5"/>
      <c r="B2001" s="5"/>
      <c r="C2001" s="22"/>
      <c r="D2001" s="5"/>
      <c r="E2001" s="5"/>
      <c r="F2001" s="5"/>
      <c r="G2001" s="19"/>
      <c r="H2001" s="5"/>
    </row>
    <row r="2002" spans="1:8" x14ac:dyDescent="0.35">
      <c r="A2002" s="5"/>
      <c r="B2002" s="5"/>
      <c r="C2002" s="22"/>
      <c r="D2002" s="5"/>
      <c r="E2002" s="5"/>
      <c r="F2002" s="5"/>
      <c r="G2002" s="19"/>
      <c r="H2002" s="5"/>
    </row>
    <row r="2003" spans="1:8" x14ac:dyDescent="0.35">
      <c r="A2003" s="5"/>
      <c r="B2003" s="5"/>
      <c r="C2003" s="22"/>
      <c r="D2003" s="5"/>
      <c r="E2003" s="5"/>
      <c r="F2003" s="5"/>
      <c r="G2003" s="19"/>
      <c r="H2003" s="5"/>
    </row>
    <row r="2004" spans="1:8" x14ac:dyDescent="0.35">
      <c r="A2004" s="5"/>
      <c r="B2004" s="5"/>
      <c r="C2004" s="22"/>
      <c r="D2004" s="5"/>
      <c r="E2004" s="5"/>
      <c r="F2004" s="5"/>
      <c r="G2004" s="19"/>
      <c r="H2004" s="5"/>
    </row>
    <row r="2005" spans="1:8" x14ac:dyDescent="0.35">
      <c r="A2005" s="5"/>
      <c r="B2005" s="5"/>
      <c r="C2005" s="22"/>
      <c r="D2005" s="5"/>
      <c r="E2005" s="5"/>
      <c r="F2005" s="5"/>
      <c r="G2005" s="19"/>
      <c r="H2005" s="5"/>
    </row>
    <row r="2006" spans="1:8" x14ac:dyDescent="0.35">
      <c r="A2006" s="5"/>
      <c r="B2006" s="5"/>
      <c r="C2006" s="22"/>
      <c r="D2006" s="5"/>
      <c r="E2006" s="5"/>
      <c r="F2006" s="5"/>
      <c r="G2006" s="19"/>
      <c r="H2006" s="5"/>
    </row>
    <row r="2007" spans="1:8" x14ac:dyDescent="0.35">
      <c r="A2007" s="5"/>
      <c r="B2007" s="5"/>
      <c r="C2007" s="22"/>
      <c r="D2007" s="5"/>
      <c r="E2007" s="5"/>
      <c r="F2007" s="5"/>
      <c r="G2007" s="19"/>
      <c r="H2007" s="5"/>
    </row>
    <row r="2008" spans="1:8" x14ac:dyDescent="0.35">
      <c r="A2008" s="5"/>
      <c r="B2008" s="5"/>
      <c r="C2008" s="22"/>
      <c r="D2008" s="5"/>
      <c r="E2008" s="5"/>
      <c r="F2008" s="5"/>
      <c r="G2008" s="19"/>
      <c r="H2008" s="5"/>
    </row>
    <row r="2009" spans="1:8" x14ac:dyDescent="0.35">
      <c r="A2009" s="5"/>
      <c r="B2009" s="5"/>
      <c r="C2009" s="22"/>
      <c r="D2009" s="5"/>
      <c r="E2009" s="5"/>
      <c r="F2009" s="5"/>
      <c r="G2009" s="19"/>
      <c r="H2009" s="5"/>
    </row>
    <row r="2010" spans="1:8" x14ac:dyDescent="0.35">
      <c r="A2010" s="5"/>
      <c r="B2010" s="5"/>
      <c r="C2010" s="22"/>
      <c r="D2010" s="5"/>
      <c r="E2010" s="5"/>
      <c r="F2010" s="5"/>
      <c r="G2010" s="19"/>
      <c r="H2010" s="5"/>
    </row>
    <row r="2011" spans="1:8" x14ac:dyDescent="0.35">
      <c r="A2011" s="5"/>
      <c r="B2011" s="5"/>
      <c r="C2011" s="22"/>
      <c r="D2011" s="5"/>
      <c r="E2011" s="5"/>
      <c r="F2011" s="5"/>
      <c r="G2011" s="19"/>
      <c r="H2011" s="5"/>
    </row>
    <row r="2012" spans="1:8" x14ac:dyDescent="0.35">
      <c r="A2012" s="5"/>
      <c r="B2012" s="5"/>
      <c r="C2012" s="22"/>
      <c r="D2012" s="5"/>
      <c r="E2012" s="5"/>
      <c r="F2012" s="5"/>
      <c r="G2012" s="19"/>
      <c r="H2012" s="5"/>
    </row>
    <row r="2013" spans="1:8" x14ac:dyDescent="0.35">
      <c r="A2013" s="5"/>
      <c r="B2013" s="5"/>
      <c r="C2013" s="22"/>
      <c r="D2013" s="5"/>
      <c r="E2013" s="5"/>
      <c r="F2013" s="5"/>
      <c r="G2013" s="19"/>
      <c r="H2013" s="5"/>
    </row>
    <row r="2014" spans="1:8" x14ac:dyDescent="0.35">
      <c r="A2014" s="5"/>
      <c r="B2014" s="5"/>
      <c r="C2014" s="22"/>
      <c r="D2014" s="5"/>
      <c r="E2014" s="5"/>
      <c r="F2014" s="5"/>
      <c r="G2014" s="19"/>
      <c r="H2014" s="5"/>
    </row>
    <row r="2015" spans="1:8" x14ac:dyDescent="0.35">
      <c r="A2015" s="5"/>
      <c r="B2015" s="5"/>
      <c r="C2015" s="22"/>
      <c r="D2015" s="5"/>
      <c r="E2015" s="5"/>
      <c r="F2015" s="5"/>
      <c r="G2015" s="19"/>
      <c r="H2015" s="5"/>
    </row>
    <row r="2016" spans="1:8" x14ac:dyDescent="0.35">
      <c r="A2016" s="5"/>
      <c r="B2016" s="5"/>
      <c r="C2016" s="22"/>
      <c r="D2016" s="5"/>
      <c r="E2016" s="5"/>
      <c r="F2016" s="5"/>
      <c r="G2016" s="19"/>
      <c r="H2016" s="5"/>
    </row>
    <row r="2017" spans="1:8" x14ac:dyDescent="0.35">
      <c r="A2017" s="5"/>
      <c r="B2017" s="5"/>
      <c r="C2017" s="22"/>
      <c r="D2017" s="5"/>
      <c r="E2017" s="5"/>
      <c r="F2017" s="5"/>
      <c r="G2017" s="19"/>
      <c r="H2017" s="5"/>
    </row>
    <row r="2018" spans="1:8" x14ac:dyDescent="0.35">
      <c r="A2018" s="5"/>
      <c r="B2018" s="5"/>
      <c r="C2018" s="22"/>
      <c r="D2018" s="5"/>
      <c r="E2018" s="5"/>
      <c r="F2018" s="5"/>
      <c r="G2018" s="19"/>
      <c r="H2018" s="5"/>
    </row>
    <row r="2019" spans="1:8" x14ac:dyDescent="0.35">
      <c r="A2019" s="5"/>
      <c r="B2019" s="5"/>
      <c r="C2019" s="22"/>
      <c r="D2019" s="5"/>
      <c r="E2019" s="5"/>
      <c r="F2019" s="5"/>
      <c r="G2019" s="19"/>
      <c r="H2019" s="5"/>
    </row>
    <row r="2020" spans="1:8" x14ac:dyDescent="0.35">
      <c r="A2020" s="5"/>
      <c r="B2020" s="5"/>
      <c r="C2020" s="22"/>
      <c r="D2020" s="5"/>
      <c r="E2020" s="5"/>
      <c r="F2020" s="5"/>
      <c r="G2020" s="19"/>
      <c r="H2020" s="5"/>
    </row>
    <row r="2021" spans="1:8" x14ac:dyDescent="0.35">
      <c r="A2021" s="5"/>
      <c r="B2021" s="5"/>
      <c r="C2021" s="22"/>
      <c r="D2021" s="5"/>
      <c r="E2021" s="5"/>
      <c r="F2021" s="5"/>
      <c r="G2021" s="19"/>
      <c r="H2021" s="5"/>
    </row>
    <row r="2022" spans="1:8" x14ac:dyDescent="0.35">
      <c r="A2022" s="5"/>
      <c r="B2022" s="5"/>
      <c r="C2022" s="22"/>
      <c r="D2022" s="5"/>
      <c r="E2022" s="5"/>
      <c r="F2022" s="5"/>
      <c r="G2022" s="19"/>
      <c r="H2022" s="5"/>
    </row>
    <row r="2023" spans="1:8" x14ac:dyDescent="0.35">
      <c r="A2023" s="5"/>
      <c r="B2023" s="5"/>
      <c r="C2023" s="22"/>
      <c r="D2023" s="5"/>
      <c r="E2023" s="5"/>
      <c r="F2023" s="5"/>
      <c r="G2023" s="19"/>
      <c r="H2023" s="5"/>
    </row>
    <row r="2024" spans="1:8" x14ac:dyDescent="0.35">
      <c r="A2024" s="5"/>
      <c r="B2024" s="5"/>
      <c r="C2024" s="22"/>
      <c r="D2024" s="5"/>
      <c r="E2024" s="5"/>
      <c r="F2024" s="5"/>
      <c r="G2024" s="19"/>
      <c r="H2024" s="5"/>
    </row>
    <row r="2025" spans="1:8" x14ac:dyDescent="0.35">
      <c r="A2025" s="5"/>
      <c r="B2025" s="5"/>
      <c r="C2025" s="22"/>
      <c r="D2025" s="5"/>
      <c r="E2025" s="5"/>
      <c r="F2025" s="5"/>
      <c r="G2025" s="19"/>
      <c r="H2025" s="5"/>
    </row>
    <row r="2026" spans="1:8" x14ac:dyDescent="0.35">
      <c r="A2026" s="5"/>
      <c r="B2026" s="5"/>
      <c r="C2026" s="22"/>
      <c r="D2026" s="5"/>
      <c r="E2026" s="5"/>
      <c r="F2026" s="5"/>
      <c r="G2026" s="19"/>
      <c r="H2026" s="5"/>
    </row>
    <row r="2027" spans="1:8" x14ac:dyDescent="0.35">
      <c r="A2027" s="5"/>
      <c r="B2027" s="5"/>
      <c r="C2027" s="22"/>
      <c r="D2027" s="5"/>
      <c r="E2027" s="5"/>
      <c r="F2027" s="5"/>
      <c r="G2027" s="19"/>
      <c r="H2027" s="5"/>
    </row>
    <row r="2028" spans="1:8" x14ac:dyDescent="0.35">
      <c r="A2028" s="5"/>
      <c r="B2028" s="5"/>
      <c r="C2028" s="22"/>
      <c r="D2028" s="5"/>
      <c r="E2028" s="5"/>
      <c r="F2028" s="5"/>
      <c r="G2028" s="19"/>
      <c r="H2028" s="5"/>
    </row>
    <row r="2029" spans="1:8" x14ac:dyDescent="0.35">
      <c r="A2029" s="5"/>
      <c r="B2029" s="5"/>
      <c r="C2029" s="22"/>
      <c r="D2029" s="5"/>
      <c r="E2029" s="5"/>
      <c r="F2029" s="5"/>
      <c r="G2029" s="19"/>
      <c r="H2029" s="5"/>
    </row>
    <row r="2030" spans="1:8" x14ac:dyDescent="0.35">
      <c r="A2030" s="5"/>
      <c r="B2030" s="5"/>
      <c r="C2030" s="22"/>
      <c r="D2030" s="5"/>
      <c r="E2030" s="5"/>
      <c r="F2030" s="5"/>
      <c r="G2030" s="19"/>
      <c r="H2030" s="5"/>
    </row>
    <row r="2031" spans="1:8" x14ac:dyDescent="0.35">
      <c r="A2031" s="5"/>
      <c r="B2031" s="5"/>
      <c r="C2031" s="22"/>
      <c r="D2031" s="5"/>
      <c r="E2031" s="5"/>
      <c r="F2031" s="5"/>
      <c r="G2031" s="19"/>
      <c r="H2031" s="5"/>
    </row>
    <row r="2032" spans="1:8" x14ac:dyDescent="0.35">
      <c r="A2032" s="5"/>
      <c r="B2032" s="5"/>
      <c r="C2032" s="22"/>
      <c r="D2032" s="5"/>
      <c r="E2032" s="5"/>
      <c r="F2032" s="5"/>
      <c r="G2032" s="19"/>
      <c r="H2032" s="5"/>
    </row>
    <row r="2033" spans="1:8" x14ac:dyDescent="0.35">
      <c r="A2033" s="5"/>
      <c r="B2033" s="5"/>
      <c r="C2033" s="22"/>
      <c r="D2033" s="5"/>
      <c r="E2033" s="5"/>
      <c r="F2033" s="5"/>
      <c r="G2033" s="19"/>
      <c r="H2033" s="5"/>
    </row>
    <row r="2034" spans="1:8" x14ac:dyDescent="0.35">
      <c r="A2034" s="5"/>
      <c r="B2034" s="5"/>
      <c r="C2034" s="22"/>
      <c r="D2034" s="5"/>
      <c r="E2034" s="5"/>
      <c r="F2034" s="5"/>
      <c r="G2034" s="19"/>
      <c r="H2034" s="5"/>
    </row>
    <row r="2035" spans="1:8" x14ac:dyDescent="0.35">
      <c r="A2035" s="5"/>
      <c r="B2035" s="5"/>
      <c r="C2035" s="22"/>
      <c r="D2035" s="5"/>
      <c r="E2035" s="5"/>
      <c r="F2035" s="5"/>
      <c r="G2035" s="19"/>
      <c r="H2035" s="5"/>
    </row>
    <row r="2036" spans="1:8" x14ac:dyDescent="0.35">
      <c r="A2036" s="5"/>
      <c r="B2036" s="5"/>
      <c r="C2036" s="22"/>
      <c r="D2036" s="5"/>
      <c r="E2036" s="5"/>
      <c r="F2036" s="5"/>
      <c r="G2036" s="19"/>
      <c r="H2036" s="5"/>
    </row>
    <row r="2037" spans="1:8" x14ac:dyDescent="0.35">
      <c r="A2037" s="5"/>
      <c r="B2037" s="5"/>
      <c r="C2037" s="22"/>
      <c r="D2037" s="5"/>
      <c r="E2037" s="5"/>
      <c r="F2037" s="5"/>
      <c r="G2037" s="19"/>
      <c r="H2037" s="5"/>
    </row>
    <row r="2038" spans="1:8" x14ac:dyDescent="0.35">
      <c r="A2038" s="5"/>
      <c r="B2038" s="5"/>
      <c r="C2038" s="22"/>
      <c r="D2038" s="5"/>
      <c r="E2038" s="5"/>
      <c r="F2038" s="5"/>
      <c r="G2038" s="19"/>
      <c r="H2038" s="5"/>
    </row>
    <row r="2039" spans="1:8" x14ac:dyDescent="0.35">
      <c r="A2039" s="5"/>
      <c r="B2039" s="5"/>
      <c r="C2039" s="22"/>
      <c r="D2039" s="5"/>
      <c r="E2039" s="5"/>
      <c r="F2039" s="5"/>
      <c r="G2039" s="19"/>
      <c r="H2039" s="5"/>
    </row>
    <row r="2040" spans="1:8" x14ac:dyDescent="0.35">
      <c r="A2040" s="5"/>
      <c r="B2040" s="5"/>
      <c r="C2040" s="22"/>
      <c r="D2040" s="5"/>
      <c r="E2040" s="5"/>
      <c r="F2040" s="5"/>
      <c r="G2040" s="19"/>
      <c r="H2040" s="5"/>
    </row>
    <row r="2041" spans="1:8" x14ac:dyDescent="0.35">
      <c r="A2041" s="5"/>
      <c r="B2041" s="5"/>
      <c r="C2041" s="22"/>
      <c r="D2041" s="5"/>
      <c r="E2041" s="5"/>
      <c r="F2041" s="5"/>
      <c r="G2041" s="19"/>
      <c r="H2041" s="5"/>
    </row>
    <row r="2042" spans="1:8" x14ac:dyDescent="0.35">
      <c r="A2042" s="5"/>
      <c r="B2042" s="5"/>
      <c r="C2042" s="22"/>
      <c r="D2042" s="5"/>
      <c r="E2042" s="5"/>
      <c r="F2042" s="5"/>
      <c r="G2042" s="19"/>
      <c r="H2042" s="5"/>
    </row>
    <row r="2043" spans="1:8" x14ac:dyDescent="0.35">
      <c r="A2043" s="5"/>
      <c r="B2043" s="5"/>
      <c r="C2043" s="22"/>
      <c r="D2043" s="5"/>
      <c r="E2043" s="5"/>
      <c r="F2043" s="5"/>
      <c r="G2043" s="19"/>
      <c r="H2043" s="5"/>
    </row>
    <row r="2044" spans="1:8" x14ac:dyDescent="0.35">
      <c r="A2044" s="5"/>
      <c r="B2044" s="5"/>
      <c r="C2044" s="22"/>
      <c r="D2044" s="5"/>
      <c r="E2044" s="5"/>
      <c r="F2044" s="5"/>
      <c r="G2044" s="19"/>
      <c r="H2044" s="5"/>
    </row>
    <row r="2045" spans="1:8" x14ac:dyDescent="0.35">
      <c r="A2045" s="5"/>
      <c r="B2045" s="5"/>
      <c r="C2045" s="22"/>
      <c r="D2045" s="5"/>
      <c r="E2045" s="5"/>
      <c r="F2045" s="5"/>
      <c r="G2045" s="19"/>
      <c r="H2045" s="5"/>
    </row>
    <row r="2046" spans="1:8" x14ac:dyDescent="0.35">
      <c r="A2046" s="5"/>
      <c r="B2046" s="5"/>
      <c r="C2046" s="22"/>
      <c r="D2046" s="5"/>
      <c r="E2046" s="5"/>
      <c r="F2046" s="5"/>
      <c r="G2046" s="19"/>
      <c r="H2046" s="5"/>
    </row>
    <row r="2047" spans="1:8" x14ac:dyDescent="0.35">
      <c r="A2047" s="5"/>
      <c r="B2047" s="5"/>
      <c r="C2047" s="22"/>
      <c r="D2047" s="5"/>
      <c r="E2047" s="5"/>
      <c r="F2047" s="5"/>
      <c r="G2047" s="19"/>
      <c r="H2047" s="5"/>
    </row>
    <row r="2048" spans="1:8" x14ac:dyDescent="0.35">
      <c r="A2048" s="5"/>
      <c r="B2048" s="5"/>
      <c r="C2048" s="22"/>
      <c r="D2048" s="5"/>
      <c r="E2048" s="5"/>
      <c r="F2048" s="5"/>
      <c r="G2048" s="19"/>
      <c r="H2048" s="5"/>
    </row>
    <row r="2049" spans="1:8" x14ac:dyDescent="0.35">
      <c r="A2049" s="5"/>
      <c r="B2049" s="5"/>
      <c r="C2049" s="22"/>
      <c r="D2049" s="5"/>
      <c r="E2049" s="5"/>
      <c r="F2049" s="5"/>
      <c r="G2049" s="19"/>
      <c r="H2049" s="5"/>
    </row>
    <row r="2050" spans="1:8" x14ac:dyDescent="0.35">
      <c r="A2050" s="5"/>
      <c r="B2050" s="5"/>
      <c r="C2050" s="22"/>
      <c r="D2050" s="5"/>
      <c r="E2050" s="5"/>
      <c r="F2050" s="5"/>
      <c r="G2050" s="19"/>
      <c r="H2050" s="5"/>
    </row>
    <row r="2051" spans="1:8" x14ac:dyDescent="0.35">
      <c r="A2051" s="5"/>
      <c r="B2051" s="5"/>
      <c r="C2051" s="22"/>
      <c r="D2051" s="5"/>
      <c r="E2051" s="5"/>
      <c r="F2051" s="5"/>
      <c r="G2051" s="19"/>
      <c r="H2051" s="5"/>
    </row>
    <row r="2052" spans="1:8" x14ac:dyDescent="0.35">
      <c r="A2052" s="5"/>
      <c r="B2052" s="5"/>
      <c r="C2052" s="22"/>
      <c r="D2052" s="5"/>
      <c r="E2052" s="5"/>
      <c r="F2052" s="5"/>
      <c r="G2052" s="19"/>
      <c r="H2052" s="5"/>
    </row>
    <row r="2053" spans="1:8" x14ac:dyDescent="0.35">
      <c r="A2053" s="5"/>
      <c r="B2053" s="5"/>
      <c r="C2053" s="22"/>
      <c r="D2053" s="5"/>
      <c r="E2053" s="5"/>
      <c r="F2053" s="5"/>
      <c r="G2053" s="19"/>
      <c r="H2053" s="5"/>
    </row>
    <row r="2054" spans="1:8" x14ac:dyDescent="0.35">
      <c r="A2054" s="5"/>
      <c r="B2054" s="5"/>
      <c r="C2054" s="22"/>
      <c r="D2054" s="5"/>
      <c r="E2054" s="5"/>
      <c r="F2054" s="5"/>
      <c r="G2054" s="19"/>
      <c r="H2054" s="5"/>
    </row>
    <row r="2055" spans="1:8" x14ac:dyDescent="0.35">
      <c r="A2055" s="5"/>
      <c r="B2055" s="5"/>
      <c r="C2055" s="22"/>
      <c r="D2055" s="5"/>
      <c r="E2055" s="5"/>
      <c r="F2055" s="5"/>
      <c r="G2055" s="19"/>
      <c r="H2055" s="5"/>
    </row>
    <row r="2056" spans="1:8" x14ac:dyDescent="0.35">
      <c r="A2056" s="5"/>
      <c r="B2056" s="5"/>
      <c r="C2056" s="22"/>
      <c r="D2056" s="5"/>
      <c r="E2056" s="5"/>
      <c r="F2056" s="5"/>
      <c r="G2056" s="19"/>
      <c r="H2056" s="5"/>
    </row>
    <row r="2057" spans="1:8" x14ac:dyDescent="0.35">
      <c r="A2057" s="5"/>
      <c r="B2057" s="5"/>
      <c r="C2057" s="22"/>
      <c r="D2057" s="5"/>
      <c r="E2057" s="5"/>
      <c r="F2057" s="5"/>
      <c r="G2057" s="19"/>
      <c r="H2057" s="5"/>
    </row>
    <row r="2058" spans="1:8" x14ac:dyDescent="0.35">
      <c r="A2058" s="5"/>
      <c r="B2058" s="5"/>
      <c r="C2058" s="22"/>
      <c r="D2058" s="5"/>
      <c r="E2058" s="5"/>
      <c r="F2058" s="5"/>
      <c r="G2058" s="19"/>
      <c r="H2058" s="5"/>
    </row>
    <row r="2059" spans="1:8" x14ac:dyDescent="0.35">
      <c r="A2059" s="5"/>
      <c r="B2059" s="5"/>
      <c r="C2059" s="22"/>
      <c r="D2059" s="5"/>
      <c r="E2059" s="5"/>
      <c r="F2059" s="5"/>
      <c r="G2059" s="19"/>
      <c r="H2059" s="5"/>
    </row>
    <row r="2060" spans="1:8" x14ac:dyDescent="0.35">
      <c r="A2060" s="5"/>
      <c r="B2060" s="5"/>
      <c r="C2060" s="22"/>
      <c r="D2060" s="5"/>
      <c r="E2060" s="5"/>
      <c r="F2060" s="5"/>
      <c r="G2060" s="19"/>
      <c r="H2060" s="5"/>
    </row>
    <row r="2061" spans="1:8" x14ac:dyDescent="0.35">
      <c r="A2061" s="5"/>
      <c r="B2061" s="5"/>
      <c r="C2061" s="22"/>
      <c r="D2061" s="5"/>
      <c r="E2061" s="5"/>
      <c r="F2061" s="5"/>
      <c r="G2061" s="19"/>
      <c r="H2061" s="5"/>
    </row>
    <row r="2062" spans="1:8" x14ac:dyDescent="0.35">
      <c r="A2062" s="5"/>
      <c r="B2062" s="5"/>
      <c r="C2062" s="22"/>
      <c r="D2062" s="5"/>
      <c r="E2062" s="5"/>
      <c r="F2062" s="5"/>
      <c r="G2062" s="19"/>
      <c r="H2062" s="5"/>
    </row>
    <row r="2063" spans="1:8" x14ac:dyDescent="0.35">
      <c r="A2063" s="5"/>
      <c r="B2063" s="5"/>
      <c r="C2063" s="22"/>
      <c r="D2063" s="5"/>
      <c r="E2063" s="5"/>
      <c r="F2063" s="5"/>
      <c r="G2063" s="19"/>
      <c r="H2063" s="5"/>
    </row>
    <row r="2064" spans="1:8" x14ac:dyDescent="0.35">
      <c r="A2064" s="5"/>
      <c r="B2064" s="5"/>
      <c r="C2064" s="22"/>
      <c r="D2064" s="5"/>
      <c r="E2064" s="5"/>
      <c r="F2064" s="5"/>
      <c r="G2064" s="19"/>
      <c r="H2064" s="5"/>
    </row>
    <row r="2065" spans="1:8" x14ac:dyDescent="0.35">
      <c r="A2065" s="5"/>
      <c r="B2065" s="5"/>
      <c r="C2065" s="22"/>
      <c r="D2065" s="5"/>
      <c r="E2065" s="5"/>
      <c r="F2065" s="5"/>
      <c r="G2065" s="19"/>
      <c r="H2065" s="5"/>
    </row>
    <row r="2066" spans="1:8" x14ac:dyDescent="0.35">
      <c r="A2066" s="5"/>
      <c r="B2066" s="5"/>
      <c r="C2066" s="22"/>
      <c r="D2066" s="5"/>
      <c r="E2066" s="5"/>
      <c r="F2066" s="5"/>
      <c r="G2066" s="19"/>
      <c r="H2066" s="5"/>
    </row>
    <row r="2067" spans="1:8" x14ac:dyDescent="0.35">
      <c r="A2067" s="5"/>
      <c r="B2067" s="5"/>
      <c r="C2067" s="22"/>
      <c r="D2067" s="5"/>
      <c r="E2067" s="5"/>
      <c r="F2067" s="5"/>
      <c r="G2067" s="19"/>
      <c r="H2067" s="5"/>
    </row>
    <row r="2068" spans="1:8" x14ac:dyDescent="0.35">
      <c r="A2068" s="5"/>
      <c r="B2068" s="5"/>
      <c r="C2068" s="22"/>
      <c r="D2068" s="5"/>
      <c r="E2068" s="5"/>
      <c r="F2068" s="5"/>
      <c r="G2068" s="19"/>
      <c r="H2068" s="5"/>
    </row>
    <row r="2069" spans="1:8" x14ac:dyDescent="0.35">
      <c r="A2069" s="5"/>
      <c r="B2069" s="5"/>
      <c r="C2069" s="22"/>
      <c r="D2069" s="5"/>
      <c r="E2069" s="5"/>
      <c r="F2069" s="5"/>
      <c r="G2069" s="19"/>
      <c r="H2069" s="5"/>
    </row>
    <row r="2070" spans="1:8" x14ac:dyDescent="0.35">
      <c r="A2070" s="5"/>
      <c r="B2070" s="5"/>
      <c r="C2070" s="22"/>
      <c r="D2070" s="5"/>
      <c r="E2070" s="5"/>
      <c r="F2070" s="5"/>
      <c r="G2070" s="19"/>
      <c r="H2070" s="5"/>
    </row>
    <row r="2071" spans="1:8" x14ac:dyDescent="0.35">
      <c r="A2071" s="5"/>
      <c r="B2071" s="5"/>
      <c r="C2071" s="22"/>
      <c r="D2071" s="5"/>
      <c r="E2071" s="5"/>
      <c r="F2071" s="5"/>
      <c r="G2071" s="19"/>
      <c r="H2071" s="5"/>
    </row>
    <row r="2072" spans="1:8" x14ac:dyDescent="0.35">
      <c r="A2072" s="5"/>
      <c r="B2072" s="5"/>
      <c r="C2072" s="22"/>
      <c r="D2072" s="5"/>
      <c r="E2072" s="5"/>
      <c r="F2072" s="5"/>
      <c r="G2072" s="19"/>
      <c r="H2072" s="5"/>
    </row>
    <row r="2073" spans="1:8" x14ac:dyDescent="0.35">
      <c r="A2073" s="5"/>
      <c r="B2073" s="5"/>
      <c r="C2073" s="22"/>
      <c r="D2073" s="5"/>
      <c r="E2073" s="5"/>
      <c r="F2073" s="5"/>
      <c r="G2073" s="19"/>
      <c r="H2073" s="5"/>
    </row>
    <row r="2074" spans="1:8" x14ac:dyDescent="0.35">
      <c r="A2074" s="5"/>
      <c r="B2074" s="5"/>
      <c r="C2074" s="22"/>
      <c r="D2074" s="5"/>
      <c r="E2074" s="5"/>
      <c r="F2074" s="5"/>
      <c r="G2074" s="19"/>
      <c r="H2074" s="5"/>
    </row>
    <row r="2075" spans="1:8" x14ac:dyDescent="0.35">
      <c r="A2075" s="5"/>
      <c r="B2075" s="5"/>
      <c r="C2075" s="22"/>
      <c r="D2075" s="5"/>
      <c r="E2075" s="5"/>
      <c r="F2075" s="5"/>
      <c r="G2075" s="19"/>
      <c r="H2075" s="5"/>
    </row>
    <row r="2076" spans="1:8" x14ac:dyDescent="0.35">
      <c r="A2076" s="5"/>
      <c r="B2076" s="5"/>
      <c r="C2076" s="22"/>
      <c r="D2076" s="5"/>
      <c r="E2076" s="5"/>
      <c r="F2076" s="5"/>
      <c r="G2076" s="19"/>
      <c r="H2076" s="5"/>
    </row>
    <row r="2077" spans="1:8" x14ac:dyDescent="0.35">
      <c r="A2077" s="5"/>
      <c r="B2077" s="5"/>
      <c r="C2077" s="22"/>
      <c r="D2077" s="5"/>
      <c r="E2077" s="5"/>
      <c r="F2077" s="5"/>
      <c r="G2077" s="19"/>
      <c r="H2077" s="5"/>
    </row>
    <row r="2078" spans="1:8" x14ac:dyDescent="0.35">
      <c r="A2078" s="5"/>
      <c r="B2078" s="5"/>
      <c r="C2078" s="22"/>
      <c r="D2078" s="5"/>
      <c r="E2078" s="5"/>
      <c r="F2078" s="5"/>
      <c r="G2078" s="19"/>
      <c r="H2078" s="5"/>
    </row>
    <row r="2079" spans="1:8" x14ac:dyDescent="0.35">
      <c r="A2079" s="5"/>
      <c r="B2079" s="5"/>
      <c r="C2079" s="22"/>
      <c r="D2079" s="5"/>
      <c r="E2079" s="5"/>
      <c r="F2079" s="5"/>
      <c r="G2079" s="19"/>
      <c r="H2079" s="5"/>
    </row>
    <row r="2080" spans="1:8" x14ac:dyDescent="0.35">
      <c r="A2080" s="5"/>
      <c r="B2080" s="5"/>
      <c r="C2080" s="22"/>
      <c r="D2080" s="5"/>
      <c r="E2080" s="5"/>
      <c r="F2080" s="5"/>
      <c r="G2080" s="19"/>
      <c r="H2080" s="5"/>
    </row>
    <row r="2081" spans="1:8" x14ac:dyDescent="0.35">
      <c r="A2081" s="5"/>
      <c r="B2081" s="5"/>
      <c r="C2081" s="22"/>
      <c r="D2081" s="5"/>
      <c r="E2081" s="5"/>
      <c r="F2081" s="5"/>
      <c r="G2081" s="19"/>
      <c r="H2081" s="5"/>
    </row>
    <row r="2082" spans="1:8" x14ac:dyDescent="0.35">
      <c r="A2082" s="5"/>
      <c r="B2082" s="5"/>
      <c r="C2082" s="22"/>
      <c r="D2082" s="5"/>
      <c r="E2082" s="5"/>
      <c r="F2082" s="5"/>
      <c r="G2082" s="19"/>
      <c r="H2082" s="5"/>
    </row>
    <row r="2083" spans="1:8" x14ac:dyDescent="0.35">
      <c r="A2083" s="5"/>
      <c r="B2083" s="5"/>
      <c r="C2083" s="22"/>
      <c r="D2083" s="5"/>
      <c r="E2083" s="5"/>
      <c r="F2083" s="5"/>
      <c r="G2083" s="19"/>
      <c r="H2083" s="5"/>
    </row>
    <row r="2084" spans="1:8" x14ac:dyDescent="0.35">
      <c r="A2084" s="5"/>
      <c r="B2084" s="5"/>
      <c r="C2084" s="22"/>
      <c r="D2084" s="5"/>
      <c r="E2084" s="5"/>
      <c r="F2084" s="5"/>
      <c r="G2084" s="19"/>
      <c r="H2084" s="5"/>
    </row>
    <row r="2085" spans="1:8" x14ac:dyDescent="0.35">
      <c r="A2085" s="5"/>
      <c r="B2085" s="5"/>
      <c r="C2085" s="22"/>
      <c r="D2085" s="5"/>
      <c r="E2085" s="5"/>
      <c r="F2085" s="5"/>
      <c r="G2085" s="19"/>
      <c r="H2085" s="5"/>
    </row>
    <row r="2086" spans="1:8" x14ac:dyDescent="0.35">
      <c r="A2086" s="5"/>
      <c r="B2086" s="5"/>
      <c r="C2086" s="22"/>
      <c r="D2086" s="5"/>
      <c r="E2086" s="5"/>
      <c r="F2086" s="5"/>
      <c r="G2086" s="19"/>
      <c r="H2086" s="5"/>
    </row>
    <row r="2087" spans="1:8" x14ac:dyDescent="0.35">
      <c r="A2087" s="5"/>
      <c r="B2087" s="5"/>
      <c r="C2087" s="22"/>
      <c r="D2087" s="5"/>
      <c r="E2087" s="5"/>
      <c r="F2087" s="5"/>
      <c r="G2087" s="19"/>
      <c r="H2087" s="5"/>
    </row>
    <row r="2088" spans="1:8" x14ac:dyDescent="0.35">
      <c r="A2088" s="5"/>
      <c r="B2088" s="5"/>
      <c r="C2088" s="22"/>
      <c r="D2088" s="5"/>
      <c r="E2088" s="5"/>
      <c r="F2088" s="5"/>
      <c r="G2088" s="19"/>
      <c r="H2088" s="5"/>
    </row>
    <row r="2089" spans="1:8" x14ac:dyDescent="0.35">
      <c r="A2089" s="5"/>
      <c r="B2089" s="5"/>
      <c r="C2089" s="22"/>
      <c r="D2089" s="5"/>
      <c r="E2089" s="5"/>
      <c r="F2089" s="5"/>
      <c r="G2089" s="19"/>
      <c r="H2089" s="5"/>
    </row>
    <row r="2090" spans="1:8" x14ac:dyDescent="0.35">
      <c r="A2090" s="5"/>
      <c r="B2090" s="5"/>
      <c r="C2090" s="22"/>
      <c r="D2090" s="5"/>
      <c r="E2090" s="5"/>
      <c r="F2090" s="5"/>
      <c r="G2090" s="19"/>
      <c r="H2090" s="5"/>
    </row>
    <row r="2091" spans="1:8" x14ac:dyDescent="0.35">
      <c r="A2091" s="5"/>
      <c r="B2091" s="5"/>
      <c r="C2091" s="22"/>
      <c r="D2091" s="5"/>
      <c r="E2091" s="5"/>
      <c r="F2091" s="5"/>
      <c r="G2091" s="19"/>
      <c r="H2091" s="5"/>
    </row>
    <row r="2092" spans="1:8" x14ac:dyDescent="0.35">
      <c r="A2092" s="5"/>
      <c r="B2092" s="5"/>
      <c r="C2092" s="22"/>
      <c r="D2092" s="5"/>
      <c r="E2092" s="5"/>
      <c r="F2092" s="5"/>
      <c r="G2092" s="19"/>
      <c r="H2092" s="5"/>
    </row>
    <row r="2093" spans="1:8" x14ac:dyDescent="0.35">
      <c r="A2093" s="5"/>
      <c r="B2093" s="5"/>
      <c r="C2093" s="22"/>
      <c r="D2093" s="5"/>
      <c r="E2093" s="5"/>
      <c r="F2093" s="5"/>
      <c r="G2093" s="19"/>
      <c r="H2093" s="5"/>
    </row>
    <row r="2094" spans="1:8" x14ac:dyDescent="0.35">
      <c r="A2094" s="5"/>
      <c r="B2094" s="5"/>
      <c r="C2094" s="22"/>
      <c r="D2094" s="5"/>
      <c r="E2094" s="5"/>
      <c r="F2094" s="5"/>
      <c r="G2094" s="19"/>
      <c r="H2094" s="5"/>
    </row>
    <row r="2095" spans="1:8" x14ac:dyDescent="0.35">
      <c r="A2095" s="5"/>
      <c r="B2095" s="5"/>
      <c r="C2095" s="22"/>
      <c r="D2095" s="5"/>
      <c r="E2095" s="5"/>
      <c r="F2095" s="5"/>
      <c r="G2095" s="19"/>
      <c r="H2095" s="5"/>
    </row>
    <row r="2096" spans="1:8" x14ac:dyDescent="0.35">
      <c r="A2096" s="5"/>
      <c r="B2096" s="5"/>
      <c r="C2096" s="22"/>
      <c r="D2096" s="5"/>
      <c r="E2096" s="5"/>
      <c r="F2096" s="5"/>
      <c r="G2096" s="19"/>
      <c r="H2096" s="5"/>
    </row>
    <row r="2097" spans="1:8" x14ac:dyDescent="0.35">
      <c r="A2097" s="5"/>
      <c r="B2097" s="5"/>
      <c r="C2097" s="22"/>
      <c r="D2097" s="5"/>
      <c r="E2097" s="5"/>
      <c r="F2097" s="5"/>
      <c r="G2097" s="19"/>
      <c r="H2097" s="5"/>
    </row>
    <row r="2098" spans="1:8" x14ac:dyDescent="0.35">
      <c r="A2098" s="5"/>
      <c r="B2098" s="5"/>
      <c r="C2098" s="22"/>
      <c r="D2098" s="5"/>
      <c r="E2098" s="5"/>
      <c r="F2098" s="5"/>
      <c r="G2098" s="19"/>
      <c r="H2098" s="5"/>
    </row>
    <row r="2099" spans="1:8" x14ac:dyDescent="0.35">
      <c r="A2099" s="5"/>
      <c r="B2099" s="5"/>
      <c r="C2099" s="22"/>
      <c r="D2099" s="5"/>
      <c r="E2099" s="5"/>
      <c r="F2099" s="5"/>
      <c r="G2099" s="19"/>
      <c r="H2099" s="5"/>
    </row>
    <row r="2100" spans="1:8" x14ac:dyDescent="0.35">
      <c r="A2100" s="5"/>
      <c r="B2100" s="5"/>
      <c r="C2100" s="22"/>
      <c r="D2100" s="5"/>
      <c r="E2100" s="5"/>
      <c r="F2100" s="5"/>
      <c r="G2100" s="19"/>
      <c r="H2100" s="5"/>
    </row>
    <row r="2101" spans="1:8" x14ac:dyDescent="0.35">
      <c r="A2101" s="5"/>
      <c r="B2101" s="5"/>
      <c r="C2101" s="22"/>
      <c r="D2101" s="5"/>
      <c r="E2101" s="5"/>
      <c r="F2101" s="5"/>
      <c r="G2101" s="19"/>
      <c r="H2101" s="5"/>
    </row>
    <row r="2102" spans="1:8" x14ac:dyDescent="0.35">
      <c r="A2102" s="5"/>
      <c r="B2102" s="5"/>
      <c r="C2102" s="22"/>
      <c r="D2102" s="5"/>
      <c r="E2102" s="5"/>
      <c r="F2102" s="5"/>
      <c r="G2102" s="19"/>
      <c r="H2102" s="5"/>
    </row>
    <row r="2103" spans="1:8" x14ac:dyDescent="0.35">
      <c r="A2103" s="5"/>
      <c r="B2103" s="5"/>
      <c r="C2103" s="22"/>
      <c r="D2103" s="5"/>
      <c r="E2103" s="5"/>
      <c r="F2103" s="5"/>
      <c r="G2103" s="19"/>
      <c r="H2103" s="5"/>
    </row>
    <row r="2104" spans="1:8" x14ac:dyDescent="0.35">
      <c r="A2104" s="5"/>
      <c r="B2104" s="5"/>
      <c r="C2104" s="22"/>
      <c r="D2104" s="5"/>
      <c r="E2104" s="5"/>
      <c r="F2104" s="5"/>
      <c r="G2104" s="19"/>
      <c r="H2104" s="5"/>
    </row>
    <row r="2105" spans="1:8" x14ac:dyDescent="0.35">
      <c r="A2105" s="5"/>
      <c r="B2105" s="5"/>
      <c r="C2105" s="22"/>
      <c r="D2105" s="5"/>
      <c r="E2105" s="5"/>
      <c r="F2105" s="5"/>
      <c r="G2105" s="19"/>
      <c r="H2105" s="5"/>
    </row>
    <row r="2106" spans="1:8" x14ac:dyDescent="0.35">
      <c r="A2106" s="5"/>
      <c r="B2106" s="5"/>
      <c r="C2106" s="22"/>
      <c r="D2106" s="5"/>
      <c r="E2106" s="5"/>
      <c r="F2106" s="5"/>
      <c r="G2106" s="19"/>
      <c r="H2106" s="5"/>
    </row>
    <row r="2107" spans="1:8" x14ac:dyDescent="0.35">
      <c r="A2107" s="5"/>
      <c r="B2107" s="5"/>
      <c r="C2107" s="22"/>
      <c r="D2107" s="5"/>
      <c r="E2107" s="5"/>
      <c r="F2107" s="5"/>
      <c r="G2107" s="19"/>
      <c r="H2107" s="5"/>
    </row>
    <row r="2108" spans="1:8" x14ac:dyDescent="0.35">
      <c r="A2108" s="5"/>
      <c r="B2108" s="5"/>
      <c r="C2108" s="22"/>
      <c r="D2108" s="5"/>
      <c r="E2108" s="5"/>
      <c r="F2108" s="5"/>
      <c r="G2108" s="19"/>
      <c r="H2108" s="5"/>
    </row>
    <row r="2109" spans="1:8" x14ac:dyDescent="0.35">
      <c r="A2109" s="5"/>
      <c r="B2109" s="5"/>
      <c r="C2109" s="22"/>
      <c r="D2109" s="5"/>
      <c r="E2109" s="5"/>
      <c r="F2109" s="5"/>
      <c r="G2109" s="19"/>
      <c r="H2109" s="5"/>
    </row>
    <row r="2110" spans="1:8" x14ac:dyDescent="0.35">
      <c r="A2110" s="5"/>
      <c r="B2110" s="5"/>
      <c r="C2110" s="22"/>
      <c r="D2110" s="5"/>
      <c r="E2110" s="5"/>
      <c r="F2110" s="5"/>
      <c r="G2110" s="19"/>
      <c r="H2110" s="5"/>
    </row>
    <row r="2111" spans="1:8" x14ac:dyDescent="0.35">
      <c r="A2111" s="5"/>
      <c r="B2111" s="5"/>
      <c r="C2111" s="22"/>
      <c r="D2111" s="5"/>
      <c r="E2111" s="5"/>
      <c r="F2111" s="5"/>
      <c r="G2111" s="19"/>
      <c r="H2111" s="5"/>
    </row>
    <row r="2112" spans="1:8" x14ac:dyDescent="0.35">
      <c r="A2112" s="5"/>
      <c r="B2112" s="5"/>
      <c r="C2112" s="22"/>
      <c r="D2112" s="5"/>
      <c r="E2112" s="5"/>
      <c r="F2112" s="5"/>
      <c r="G2112" s="19"/>
      <c r="H2112" s="5"/>
    </row>
    <row r="2113" spans="1:8" x14ac:dyDescent="0.35">
      <c r="A2113" s="5"/>
      <c r="B2113" s="5"/>
      <c r="C2113" s="22"/>
      <c r="D2113" s="5"/>
      <c r="E2113" s="5"/>
      <c r="F2113" s="5"/>
      <c r="G2113" s="19"/>
      <c r="H2113" s="5"/>
    </row>
    <row r="2114" spans="1:8" x14ac:dyDescent="0.35">
      <c r="A2114" s="5"/>
      <c r="B2114" s="5"/>
      <c r="C2114" s="22"/>
      <c r="D2114" s="5"/>
      <c r="E2114" s="5"/>
      <c r="F2114" s="5"/>
      <c r="G2114" s="19"/>
      <c r="H2114" s="5"/>
    </row>
    <row r="2115" spans="1:8" x14ac:dyDescent="0.35">
      <c r="A2115" s="5"/>
      <c r="B2115" s="5"/>
      <c r="C2115" s="22"/>
      <c r="D2115" s="5"/>
      <c r="E2115" s="5"/>
      <c r="F2115" s="5"/>
      <c r="G2115" s="19"/>
      <c r="H2115" s="5"/>
    </row>
    <row r="2116" spans="1:8" x14ac:dyDescent="0.35">
      <c r="A2116" s="5"/>
      <c r="B2116" s="5"/>
      <c r="C2116" s="22"/>
      <c r="D2116" s="5"/>
      <c r="E2116" s="5"/>
      <c r="F2116" s="5"/>
      <c r="G2116" s="19"/>
      <c r="H2116" s="5"/>
    </row>
    <row r="2117" spans="1:8" x14ac:dyDescent="0.35">
      <c r="A2117" s="5"/>
      <c r="B2117" s="5"/>
      <c r="C2117" s="22"/>
      <c r="D2117" s="5"/>
      <c r="E2117" s="5"/>
      <c r="F2117" s="5"/>
      <c r="G2117" s="19"/>
      <c r="H2117" s="5"/>
    </row>
    <row r="2118" spans="1:8" x14ac:dyDescent="0.35">
      <c r="A2118" s="5"/>
      <c r="B2118" s="5"/>
      <c r="C2118" s="22"/>
      <c r="D2118" s="5"/>
      <c r="E2118" s="5"/>
      <c r="F2118" s="5"/>
      <c r="G2118" s="19"/>
      <c r="H2118" s="5"/>
    </row>
    <row r="2119" spans="1:8" x14ac:dyDescent="0.35">
      <c r="A2119" s="5"/>
      <c r="B2119" s="5"/>
      <c r="C2119" s="22"/>
      <c r="D2119" s="5"/>
      <c r="E2119" s="5"/>
      <c r="F2119" s="5"/>
      <c r="G2119" s="19"/>
      <c r="H2119" s="5"/>
    </row>
    <row r="2120" spans="1:8" x14ac:dyDescent="0.35">
      <c r="A2120" s="5"/>
      <c r="B2120" s="5"/>
      <c r="C2120" s="22"/>
      <c r="D2120" s="5"/>
      <c r="E2120" s="5"/>
      <c r="F2120" s="5"/>
      <c r="G2120" s="19"/>
      <c r="H2120" s="5"/>
    </row>
    <row r="2121" spans="1:8" x14ac:dyDescent="0.35">
      <c r="A2121" s="5"/>
      <c r="B2121" s="5"/>
      <c r="C2121" s="22"/>
      <c r="D2121" s="5"/>
      <c r="E2121" s="5"/>
      <c r="F2121" s="5"/>
      <c r="G2121" s="19"/>
      <c r="H2121" s="5"/>
    </row>
    <row r="2122" spans="1:8" x14ac:dyDescent="0.35">
      <c r="A2122" s="5"/>
      <c r="B2122" s="5"/>
      <c r="C2122" s="22"/>
      <c r="D2122" s="5"/>
      <c r="E2122" s="5"/>
      <c r="F2122" s="5"/>
      <c r="G2122" s="19"/>
      <c r="H2122" s="5"/>
    </row>
    <row r="2123" spans="1:8" x14ac:dyDescent="0.35">
      <c r="A2123" s="5"/>
      <c r="B2123" s="5"/>
      <c r="C2123" s="22"/>
      <c r="D2123" s="5"/>
      <c r="E2123" s="5"/>
      <c r="F2123" s="5"/>
      <c r="G2123" s="19"/>
      <c r="H2123" s="5"/>
    </row>
    <row r="2124" spans="1:8" x14ac:dyDescent="0.35">
      <c r="A2124" s="5"/>
      <c r="B2124" s="5"/>
      <c r="C2124" s="22"/>
      <c r="D2124" s="5"/>
      <c r="E2124" s="5"/>
      <c r="F2124" s="5"/>
      <c r="G2124" s="19"/>
      <c r="H2124" s="5"/>
    </row>
    <row r="2125" spans="1:8" x14ac:dyDescent="0.35">
      <c r="A2125" s="5"/>
      <c r="B2125" s="5"/>
      <c r="C2125" s="22"/>
      <c r="D2125" s="5"/>
      <c r="E2125" s="5"/>
      <c r="F2125" s="5"/>
      <c r="G2125" s="19"/>
      <c r="H2125" s="5"/>
    </row>
    <row r="2126" spans="1:8" x14ac:dyDescent="0.35">
      <c r="A2126" s="5"/>
      <c r="B2126" s="5"/>
      <c r="C2126" s="22"/>
      <c r="D2126" s="5"/>
      <c r="E2126" s="5"/>
      <c r="F2126" s="5"/>
      <c r="G2126" s="19"/>
      <c r="H2126" s="5"/>
    </row>
    <row r="2127" spans="1:8" x14ac:dyDescent="0.35">
      <c r="A2127" s="5"/>
      <c r="B2127" s="5"/>
      <c r="C2127" s="22"/>
      <c r="D2127" s="5"/>
      <c r="E2127" s="5"/>
      <c r="F2127" s="5"/>
      <c r="G2127" s="19"/>
      <c r="H2127" s="5"/>
    </row>
    <row r="2128" spans="1:8" x14ac:dyDescent="0.35">
      <c r="A2128" s="5"/>
      <c r="B2128" s="5"/>
      <c r="C2128" s="22"/>
      <c r="D2128" s="5"/>
      <c r="E2128" s="5"/>
      <c r="F2128" s="5"/>
      <c r="G2128" s="19"/>
      <c r="H2128" s="5"/>
    </row>
    <row r="2129" spans="1:8" x14ac:dyDescent="0.35">
      <c r="A2129" s="5"/>
      <c r="B2129" s="5"/>
      <c r="C2129" s="22"/>
      <c r="D2129" s="5"/>
      <c r="E2129" s="5"/>
      <c r="F2129" s="5"/>
      <c r="G2129" s="19"/>
      <c r="H2129" s="5"/>
    </row>
    <row r="2130" spans="1:8" x14ac:dyDescent="0.35">
      <c r="A2130" s="5"/>
      <c r="B2130" s="5"/>
      <c r="C2130" s="22"/>
      <c r="D2130" s="5"/>
      <c r="E2130" s="5"/>
      <c r="F2130" s="5"/>
      <c r="G2130" s="19"/>
      <c r="H2130" s="5"/>
    </row>
    <row r="2131" spans="1:8" x14ac:dyDescent="0.35">
      <c r="A2131" s="5"/>
      <c r="B2131" s="5"/>
      <c r="C2131" s="22"/>
      <c r="D2131" s="5"/>
      <c r="E2131" s="5"/>
      <c r="F2131" s="5"/>
      <c r="G2131" s="19"/>
      <c r="H2131" s="5"/>
    </row>
    <row r="2132" spans="1:8" x14ac:dyDescent="0.35">
      <c r="A2132" s="5"/>
      <c r="B2132" s="5"/>
      <c r="C2132" s="22"/>
      <c r="D2132" s="5"/>
      <c r="E2132" s="5"/>
      <c r="F2132" s="5"/>
      <c r="G2132" s="19"/>
      <c r="H2132" s="5"/>
    </row>
    <row r="2133" spans="1:8" x14ac:dyDescent="0.35">
      <c r="A2133" s="5"/>
      <c r="B2133" s="5"/>
      <c r="C2133" s="22"/>
      <c r="D2133" s="5"/>
      <c r="E2133" s="5"/>
      <c r="F2133" s="5"/>
      <c r="G2133" s="19"/>
      <c r="H2133" s="5"/>
    </row>
    <row r="2134" spans="1:8" x14ac:dyDescent="0.35">
      <c r="A2134" s="5"/>
      <c r="B2134" s="5"/>
      <c r="C2134" s="22"/>
      <c r="D2134" s="5"/>
      <c r="E2134" s="5"/>
      <c r="F2134" s="5"/>
      <c r="G2134" s="19"/>
      <c r="H2134" s="5"/>
    </row>
    <row r="2135" spans="1:8" x14ac:dyDescent="0.35">
      <c r="A2135" s="5"/>
      <c r="B2135" s="5"/>
      <c r="C2135" s="22"/>
      <c r="D2135" s="5"/>
      <c r="E2135" s="5"/>
      <c r="F2135" s="5"/>
      <c r="G2135" s="19"/>
      <c r="H2135" s="5"/>
    </row>
    <row r="2136" spans="1:8" x14ac:dyDescent="0.35">
      <c r="A2136" s="5"/>
      <c r="B2136" s="5"/>
      <c r="C2136" s="22"/>
      <c r="D2136" s="5"/>
      <c r="E2136" s="5"/>
      <c r="F2136" s="5"/>
      <c r="G2136" s="19"/>
      <c r="H2136" s="5"/>
    </row>
    <row r="2137" spans="1:8" x14ac:dyDescent="0.35">
      <c r="A2137" s="5"/>
      <c r="B2137" s="5"/>
      <c r="C2137" s="22"/>
      <c r="D2137" s="5"/>
      <c r="E2137" s="5"/>
      <c r="F2137" s="5"/>
      <c r="G2137" s="19"/>
      <c r="H2137" s="5"/>
    </row>
    <row r="2138" spans="1:8" x14ac:dyDescent="0.35">
      <c r="A2138" s="5"/>
      <c r="B2138" s="5"/>
      <c r="C2138" s="22"/>
      <c r="D2138" s="5"/>
      <c r="E2138" s="5"/>
      <c r="F2138" s="5"/>
      <c r="G2138" s="19"/>
      <c r="H2138" s="5"/>
    </row>
    <row r="2139" spans="1:8" x14ac:dyDescent="0.35">
      <c r="A2139" s="5"/>
      <c r="B2139" s="5"/>
      <c r="C2139" s="22"/>
      <c r="D2139" s="5"/>
      <c r="E2139" s="5"/>
      <c r="F2139" s="5"/>
      <c r="G2139" s="19"/>
      <c r="H2139" s="5"/>
    </row>
    <row r="2140" spans="1:8" x14ac:dyDescent="0.35">
      <c r="A2140" s="5"/>
      <c r="B2140" s="5"/>
      <c r="C2140" s="22"/>
      <c r="D2140" s="5"/>
      <c r="E2140" s="5"/>
      <c r="F2140" s="5"/>
      <c r="G2140" s="19"/>
      <c r="H2140" s="5"/>
    </row>
    <row r="2141" spans="1:8" x14ac:dyDescent="0.35">
      <c r="A2141" s="5"/>
      <c r="B2141" s="5"/>
      <c r="C2141" s="22"/>
      <c r="D2141" s="5"/>
      <c r="E2141" s="5"/>
      <c r="F2141" s="5"/>
      <c r="G2141" s="19"/>
      <c r="H2141" s="5"/>
    </row>
    <row r="2142" spans="1:8" x14ac:dyDescent="0.35">
      <c r="A2142" s="5"/>
      <c r="B2142" s="5"/>
      <c r="C2142" s="22"/>
      <c r="D2142" s="5"/>
      <c r="E2142" s="5"/>
      <c r="F2142" s="5"/>
      <c r="G2142" s="19"/>
      <c r="H2142" s="5"/>
    </row>
    <row r="2143" spans="1:8" x14ac:dyDescent="0.35">
      <c r="A2143" s="5"/>
      <c r="B2143" s="5"/>
      <c r="C2143" s="22"/>
      <c r="D2143" s="5"/>
      <c r="E2143" s="5"/>
      <c r="F2143" s="5"/>
      <c r="G2143" s="19"/>
      <c r="H2143" s="5"/>
    </row>
    <row r="2144" spans="1:8" x14ac:dyDescent="0.35">
      <c r="A2144" s="5"/>
      <c r="B2144" s="5"/>
      <c r="C2144" s="22"/>
      <c r="D2144" s="5"/>
      <c r="E2144" s="5"/>
      <c r="F2144" s="5"/>
      <c r="G2144" s="19"/>
      <c r="H2144" s="5"/>
    </row>
    <row r="2145" spans="1:8" x14ac:dyDescent="0.35">
      <c r="A2145" s="5"/>
      <c r="B2145" s="5"/>
      <c r="C2145" s="22"/>
      <c r="D2145" s="5"/>
      <c r="E2145" s="5"/>
      <c r="F2145" s="5"/>
      <c r="G2145" s="19"/>
      <c r="H2145" s="5"/>
    </row>
    <row r="2146" spans="1:8" x14ac:dyDescent="0.35">
      <c r="A2146" s="5"/>
      <c r="B2146" s="5"/>
      <c r="C2146" s="22"/>
      <c r="D2146" s="5"/>
      <c r="E2146" s="5"/>
      <c r="F2146" s="5"/>
      <c r="G2146" s="19"/>
      <c r="H2146" s="5"/>
    </row>
    <row r="2147" spans="1:8" x14ac:dyDescent="0.35">
      <c r="A2147" s="5"/>
      <c r="B2147" s="5"/>
      <c r="C2147" s="22"/>
      <c r="D2147" s="5"/>
      <c r="E2147" s="5"/>
      <c r="F2147" s="5"/>
      <c r="G2147" s="19"/>
      <c r="H2147" s="5"/>
    </row>
    <row r="2148" spans="1:8" x14ac:dyDescent="0.35">
      <c r="A2148" s="5"/>
      <c r="B2148" s="5"/>
      <c r="C2148" s="22"/>
      <c r="D2148" s="5"/>
      <c r="E2148" s="5"/>
      <c r="F2148" s="5"/>
      <c r="G2148" s="19"/>
      <c r="H2148" s="5"/>
    </row>
    <row r="2149" spans="1:8" x14ac:dyDescent="0.35">
      <c r="A2149" s="5"/>
      <c r="B2149" s="5"/>
      <c r="C2149" s="22"/>
      <c r="D2149" s="5"/>
      <c r="E2149" s="5"/>
      <c r="F2149" s="5"/>
      <c r="G2149" s="19"/>
      <c r="H2149" s="5"/>
    </row>
    <row r="2150" spans="1:8" x14ac:dyDescent="0.35">
      <c r="A2150" s="5"/>
      <c r="B2150" s="5"/>
      <c r="C2150" s="22"/>
      <c r="D2150" s="5"/>
      <c r="E2150" s="5"/>
      <c r="F2150" s="5"/>
      <c r="G2150" s="19"/>
      <c r="H2150" s="5"/>
    </row>
    <row r="2151" spans="1:8" x14ac:dyDescent="0.35">
      <c r="A2151" s="5"/>
      <c r="B2151" s="5"/>
      <c r="C2151" s="22"/>
      <c r="D2151" s="5"/>
      <c r="E2151" s="5"/>
      <c r="F2151" s="5"/>
      <c r="G2151" s="19"/>
      <c r="H2151" s="5"/>
    </row>
    <row r="2152" spans="1:8" x14ac:dyDescent="0.35">
      <c r="A2152" s="5"/>
      <c r="B2152" s="5"/>
      <c r="C2152" s="22"/>
      <c r="D2152" s="5"/>
      <c r="E2152" s="5"/>
      <c r="F2152" s="5"/>
      <c r="G2152" s="19"/>
      <c r="H2152" s="5"/>
    </row>
    <row r="2153" spans="1:8" x14ac:dyDescent="0.35">
      <c r="A2153" s="5"/>
      <c r="B2153" s="5"/>
      <c r="C2153" s="22"/>
      <c r="D2153" s="5"/>
      <c r="E2153" s="5"/>
      <c r="F2153" s="5"/>
      <c r="G2153" s="19"/>
      <c r="H2153" s="5"/>
    </row>
    <row r="2154" spans="1:8" x14ac:dyDescent="0.35">
      <c r="A2154" s="5"/>
      <c r="B2154" s="5"/>
      <c r="C2154" s="22"/>
      <c r="D2154" s="5"/>
      <c r="E2154" s="5"/>
      <c r="F2154" s="5"/>
      <c r="G2154" s="19"/>
      <c r="H2154" s="5"/>
    </row>
    <row r="2155" spans="1:8" x14ac:dyDescent="0.35">
      <c r="A2155" s="5"/>
      <c r="B2155" s="5"/>
      <c r="C2155" s="22"/>
      <c r="D2155" s="5"/>
      <c r="E2155" s="5"/>
      <c r="F2155" s="5"/>
      <c r="G2155" s="19"/>
      <c r="H2155" s="5"/>
    </row>
    <row r="2156" spans="1:8" x14ac:dyDescent="0.35">
      <c r="A2156" s="5"/>
      <c r="B2156" s="5"/>
      <c r="C2156" s="22"/>
      <c r="D2156" s="5"/>
      <c r="E2156" s="5"/>
      <c r="F2156" s="5"/>
      <c r="G2156" s="19"/>
      <c r="H2156" s="5"/>
    </row>
    <row r="2157" spans="1:8" x14ac:dyDescent="0.35">
      <c r="A2157" s="5"/>
      <c r="B2157" s="5"/>
      <c r="C2157" s="22"/>
      <c r="D2157" s="5"/>
      <c r="E2157" s="5"/>
      <c r="F2157" s="5"/>
      <c r="G2157" s="19"/>
      <c r="H2157" s="5"/>
    </row>
    <row r="2158" spans="1:8" x14ac:dyDescent="0.35">
      <c r="A2158" s="5"/>
      <c r="B2158" s="5"/>
      <c r="C2158" s="22"/>
      <c r="D2158" s="5"/>
      <c r="E2158" s="5"/>
      <c r="F2158" s="5"/>
      <c r="G2158" s="19"/>
      <c r="H2158" s="5"/>
    </row>
    <row r="2159" spans="1:8" x14ac:dyDescent="0.35">
      <c r="A2159" s="5"/>
      <c r="B2159" s="5"/>
      <c r="C2159" s="22"/>
      <c r="D2159" s="5"/>
      <c r="E2159" s="5"/>
      <c r="F2159" s="5"/>
      <c r="G2159" s="19"/>
      <c r="H2159" s="5"/>
    </row>
    <row r="2160" spans="1:8" x14ac:dyDescent="0.35">
      <c r="A2160" s="5"/>
      <c r="B2160" s="5"/>
      <c r="C2160" s="22"/>
      <c r="D2160" s="5"/>
      <c r="E2160" s="5"/>
      <c r="F2160" s="5"/>
      <c r="G2160" s="19"/>
      <c r="H2160" s="5"/>
    </row>
    <row r="2161" spans="1:8" x14ac:dyDescent="0.35">
      <c r="A2161" s="5"/>
      <c r="B2161" s="5"/>
      <c r="C2161" s="22"/>
      <c r="D2161" s="5"/>
      <c r="E2161" s="5"/>
      <c r="F2161" s="5"/>
      <c r="G2161" s="19"/>
      <c r="H2161" s="5"/>
    </row>
    <row r="2162" spans="1:8" x14ac:dyDescent="0.35">
      <c r="A2162" s="5"/>
      <c r="B2162" s="5"/>
      <c r="C2162" s="22"/>
      <c r="D2162" s="5"/>
      <c r="E2162" s="5"/>
      <c r="F2162" s="5"/>
      <c r="G2162" s="19"/>
      <c r="H2162" s="5"/>
    </row>
    <row r="2163" spans="1:8" x14ac:dyDescent="0.35">
      <c r="A2163" s="5"/>
      <c r="B2163" s="5"/>
      <c r="C2163" s="22"/>
      <c r="D2163" s="5"/>
      <c r="E2163" s="5"/>
      <c r="F2163" s="5"/>
      <c r="G2163" s="19"/>
      <c r="H2163" s="5"/>
    </row>
    <row r="2164" spans="1:8" x14ac:dyDescent="0.35">
      <c r="A2164" s="5"/>
      <c r="B2164" s="5"/>
      <c r="C2164" s="22"/>
      <c r="D2164" s="5"/>
      <c r="E2164" s="5"/>
      <c r="F2164" s="5"/>
      <c r="G2164" s="19"/>
      <c r="H2164" s="5"/>
    </row>
    <row r="2165" spans="1:8" x14ac:dyDescent="0.35">
      <c r="A2165" s="5"/>
      <c r="B2165" s="5"/>
      <c r="C2165" s="22"/>
      <c r="D2165" s="5"/>
      <c r="E2165" s="5"/>
      <c r="F2165" s="5"/>
      <c r="G2165" s="19"/>
      <c r="H2165" s="5"/>
    </row>
    <row r="2166" spans="1:8" x14ac:dyDescent="0.35">
      <c r="A2166" s="5"/>
      <c r="B2166" s="5"/>
      <c r="C2166" s="22"/>
      <c r="D2166" s="5"/>
      <c r="E2166" s="5"/>
      <c r="F2166" s="5"/>
      <c r="G2166" s="19"/>
      <c r="H2166" s="5"/>
    </row>
    <row r="2167" spans="1:8" x14ac:dyDescent="0.35">
      <c r="A2167" s="5"/>
      <c r="B2167" s="5"/>
      <c r="C2167" s="22"/>
      <c r="D2167" s="5"/>
      <c r="E2167" s="5"/>
      <c r="F2167" s="5"/>
      <c r="G2167" s="19"/>
      <c r="H2167" s="5"/>
    </row>
    <row r="2168" spans="1:8" x14ac:dyDescent="0.35">
      <c r="A2168" s="5"/>
      <c r="B2168" s="5"/>
      <c r="C2168" s="22"/>
      <c r="D2168" s="5"/>
      <c r="E2168" s="5"/>
      <c r="F2168" s="5"/>
      <c r="G2168" s="19"/>
      <c r="H2168" s="5"/>
    </row>
    <row r="2169" spans="1:8" x14ac:dyDescent="0.35">
      <c r="A2169" s="5"/>
      <c r="B2169" s="5"/>
      <c r="C2169" s="22"/>
      <c r="D2169" s="5"/>
      <c r="E2169" s="5"/>
      <c r="F2169" s="5"/>
      <c r="G2169" s="19"/>
      <c r="H2169" s="5"/>
    </row>
    <row r="2170" spans="1:8" x14ac:dyDescent="0.35">
      <c r="A2170" s="5"/>
      <c r="B2170" s="5"/>
      <c r="C2170" s="22"/>
      <c r="D2170" s="5"/>
      <c r="E2170" s="5"/>
      <c r="F2170" s="5"/>
      <c r="G2170" s="19"/>
      <c r="H2170" s="5"/>
    </row>
    <row r="2171" spans="1:8" x14ac:dyDescent="0.35">
      <c r="A2171" s="5"/>
      <c r="B2171" s="5"/>
      <c r="C2171" s="22"/>
      <c r="D2171" s="5"/>
      <c r="E2171" s="5"/>
      <c r="F2171" s="5"/>
      <c r="G2171" s="19"/>
      <c r="H2171" s="5"/>
    </row>
    <row r="2172" spans="1:8" x14ac:dyDescent="0.35">
      <c r="A2172" s="5"/>
      <c r="B2172" s="5"/>
      <c r="C2172" s="22"/>
      <c r="D2172" s="5"/>
      <c r="E2172" s="5"/>
      <c r="F2172" s="5"/>
      <c r="G2172" s="19"/>
      <c r="H2172" s="5"/>
    </row>
    <row r="2173" spans="1:8" x14ac:dyDescent="0.35">
      <c r="A2173" s="5"/>
      <c r="B2173" s="5"/>
      <c r="C2173" s="22"/>
      <c r="D2173" s="5"/>
      <c r="E2173" s="5"/>
      <c r="F2173" s="5"/>
      <c r="G2173" s="19"/>
      <c r="H2173" s="5"/>
    </row>
    <row r="2174" spans="1:8" x14ac:dyDescent="0.35">
      <c r="A2174" s="5"/>
      <c r="B2174" s="5"/>
      <c r="C2174" s="22"/>
      <c r="D2174" s="5"/>
      <c r="E2174" s="5"/>
      <c r="F2174" s="5"/>
      <c r="G2174" s="19"/>
      <c r="H2174" s="5"/>
    </row>
    <row r="2175" spans="1:8" x14ac:dyDescent="0.35">
      <c r="A2175" s="5"/>
      <c r="B2175" s="5"/>
      <c r="C2175" s="22"/>
      <c r="D2175" s="5"/>
      <c r="E2175" s="5"/>
      <c r="F2175" s="5"/>
      <c r="G2175" s="19"/>
      <c r="H2175" s="5"/>
    </row>
    <row r="2176" spans="1:8" x14ac:dyDescent="0.35">
      <c r="A2176" s="5"/>
      <c r="B2176" s="5"/>
      <c r="C2176" s="22"/>
      <c r="D2176" s="5"/>
      <c r="E2176" s="5"/>
      <c r="F2176" s="5"/>
      <c r="G2176" s="19"/>
      <c r="H2176" s="5"/>
    </row>
    <row r="2177" spans="1:8" x14ac:dyDescent="0.35">
      <c r="A2177" s="5"/>
      <c r="B2177" s="5"/>
      <c r="C2177" s="22"/>
      <c r="D2177" s="5"/>
      <c r="E2177" s="5"/>
      <c r="F2177" s="5"/>
      <c r="G2177" s="19"/>
      <c r="H2177" s="5"/>
    </row>
  </sheetData>
  <autoFilter ref="A1:S759" xr:uid="{00000000-0009-0000-0000-000002000000}"/>
  <conditionalFormatting sqref="A1 A904:A1048576">
    <cfRule type="duplicateValues" dxfId="38" priority="288"/>
    <cfRule type="duplicateValues" dxfId="37" priority="319"/>
    <cfRule type="duplicateValues" dxfId="36" priority="350"/>
  </conditionalFormatting>
  <conditionalFormatting sqref="A2:A6">
    <cfRule type="duplicateValues" dxfId="35" priority="2"/>
  </conditionalFormatting>
  <conditionalFormatting sqref="A7:A101">
    <cfRule type="duplicateValues" dxfId="34" priority="30"/>
  </conditionalFormatting>
  <conditionalFormatting sqref="A102:A149 A368:A890 A176:A264 A268:A298">
    <cfRule type="duplicateValues" dxfId="33" priority="31"/>
    <cfRule type="duplicateValues" dxfId="32" priority="32"/>
  </conditionalFormatting>
  <conditionalFormatting sqref="A150:A155">
    <cfRule type="duplicateValues" dxfId="31" priority="5"/>
    <cfRule type="duplicateValues" dxfId="30" priority="6"/>
  </conditionalFormatting>
  <conditionalFormatting sqref="A156:A175">
    <cfRule type="duplicateValues" dxfId="29" priority="25"/>
    <cfRule type="duplicateValues" dxfId="28" priority="26"/>
  </conditionalFormatting>
  <conditionalFormatting sqref="A265:A267">
    <cfRule type="duplicateValues" dxfId="27" priority="7"/>
    <cfRule type="duplicateValues" dxfId="26" priority="8"/>
  </conditionalFormatting>
  <conditionalFormatting sqref="A299:A327">
    <cfRule type="duplicateValues" dxfId="25" priority="21"/>
    <cfRule type="duplicateValues" dxfId="24" priority="22"/>
  </conditionalFormatting>
  <conditionalFormatting sqref="A328:A335">
    <cfRule type="duplicateValues" dxfId="23" priority="17"/>
    <cfRule type="duplicateValues" dxfId="22" priority="18"/>
  </conditionalFormatting>
  <conditionalFormatting sqref="A336:A367">
    <cfRule type="duplicateValues" dxfId="21" priority="13"/>
    <cfRule type="duplicateValues" dxfId="20" priority="14"/>
  </conditionalFormatting>
  <conditionalFormatting sqref="A891:A903">
    <cfRule type="duplicateValues" dxfId="19" priority="91"/>
    <cfRule type="duplicateValues" dxfId="18" priority="92"/>
  </conditionalFormatting>
  <conditionalFormatting sqref="B2:B6">
    <cfRule type="duplicateValues" dxfId="17" priority="1"/>
  </conditionalFormatting>
  <conditionalFormatting sqref="B7:B102">
    <cfRule type="duplicateValues" dxfId="16" priority="29"/>
  </conditionalFormatting>
  <conditionalFormatting sqref="B151:B156">
    <cfRule type="duplicateValues" dxfId="15" priority="3"/>
    <cfRule type="duplicateValues" dxfId="14" priority="4"/>
  </conditionalFormatting>
  <conditionalFormatting sqref="B157:B176">
    <cfRule type="duplicateValues" dxfId="13" priority="27"/>
    <cfRule type="duplicateValues" dxfId="12" priority="28"/>
  </conditionalFormatting>
  <conditionalFormatting sqref="B266:B268">
    <cfRule type="duplicateValues" dxfId="11" priority="9"/>
    <cfRule type="duplicateValues" dxfId="10" priority="10"/>
  </conditionalFormatting>
  <conditionalFormatting sqref="B300:B328">
    <cfRule type="duplicateValues" dxfId="9" priority="23"/>
    <cfRule type="duplicateValues" dxfId="8" priority="24"/>
  </conditionalFormatting>
  <conditionalFormatting sqref="B329:B336">
    <cfRule type="duplicateValues" dxfId="7" priority="19"/>
    <cfRule type="duplicateValues" dxfId="6" priority="20"/>
  </conditionalFormatting>
  <conditionalFormatting sqref="B337:B367">
    <cfRule type="duplicateValues" dxfId="5" priority="15"/>
    <cfRule type="duplicateValues" dxfId="4" priority="16"/>
  </conditionalFormatting>
  <conditionalFormatting sqref="B368:B436 B103:B150 B177:B265 B269:B299">
    <cfRule type="duplicateValues" dxfId="3" priority="11"/>
    <cfRule type="duplicateValues" dxfId="2" priority="12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M15"/>
  <sheetViews>
    <sheetView showGridLines="0" workbookViewId="0">
      <selection activeCell="M4" sqref="M4"/>
    </sheetView>
  </sheetViews>
  <sheetFormatPr defaultRowHeight="14.5" x14ac:dyDescent="0.35"/>
  <cols>
    <col min="9" max="9" width="9.90625" bestFit="1" customWidth="1"/>
    <col min="10" max="11" width="10.08984375" bestFit="1" customWidth="1"/>
  </cols>
  <sheetData>
    <row r="2" spans="2:13" ht="15" thickBot="1" x14ac:dyDescent="0.4"/>
    <row r="3" spans="2:13" x14ac:dyDescent="0.35">
      <c r="B3" s="39" t="s">
        <v>87</v>
      </c>
      <c r="C3" s="40" t="s">
        <v>58</v>
      </c>
      <c r="D3" s="41"/>
      <c r="E3" s="41"/>
      <c r="I3" s="1"/>
      <c r="M3">
        <f ca="1">YEAR(TODAY())</f>
        <v>2026</v>
      </c>
    </row>
    <row r="4" spans="2:13" x14ac:dyDescent="0.35">
      <c r="B4" s="42" t="s">
        <v>26</v>
      </c>
      <c r="C4" s="43" t="s">
        <v>88</v>
      </c>
      <c r="D4" s="44"/>
      <c r="E4" s="44"/>
    </row>
    <row r="5" spans="2:13" x14ac:dyDescent="0.35">
      <c r="B5" s="42" t="s">
        <v>27</v>
      </c>
      <c r="C5" s="43" t="s">
        <v>89</v>
      </c>
      <c r="D5" s="44"/>
      <c r="E5" s="44"/>
    </row>
    <row r="6" spans="2:13" x14ac:dyDescent="0.35">
      <c r="B6" s="42" t="s">
        <v>90</v>
      </c>
      <c r="C6" s="43" t="s">
        <v>91</v>
      </c>
      <c r="D6" s="44"/>
      <c r="E6" s="44"/>
    </row>
    <row r="7" spans="2:13" x14ac:dyDescent="0.35">
      <c r="B7" s="42" t="s">
        <v>28</v>
      </c>
      <c r="C7" s="43" t="s">
        <v>92</v>
      </c>
      <c r="D7" s="44"/>
      <c r="E7" s="44"/>
    </row>
    <row r="8" spans="2:13" x14ac:dyDescent="0.35">
      <c r="B8" s="42"/>
      <c r="C8" s="43"/>
      <c r="D8" s="44"/>
      <c r="E8" s="44"/>
    </row>
    <row r="9" spans="2:13" x14ac:dyDescent="0.35">
      <c r="B9" s="42"/>
      <c r="C9" s="43"/>
      <c r="D9" s="44"/>
      <c r="E9" s="44"/>
    </row>
    <row r="10" spans="2:13" x14ac:dyDescent="0.35">
      <c r="D10" s="44"/>
      <c r="E10" s="44"/>
      <c r="J10" t="s">
        <v>94</v>
      </c>
      <c r="K10" t="s">
        <v>95</v>
      </c>
    </row>
    <row r="11" spans="2:13" x14ac:dyDescent="0.35">
      <c r="B11" s="42"/>
      <c r="C11" s="43"/>
      <c r="D11" s="44"/>
      <c r="E11" s="44"/>
      <c r="H11" s="4"/>
      <c r="I11" s="4"/>
      <c r="J11" s="51">
        <v>44896</v>
      </c>
      <c r="K11" s="51">
        <v>44927</v>
      </c>
    </row>
    <row r="12" spans="2:13" x14ac:dyDescent="0.35">
      <c r="D12" s="44"/>
      <c r="E12" s="44"/>
      <c r="H12" s="4"/>
      <c r="I12" s="4"/>
      <c r="J12" s="52">
        <f>YEAR(J11)</f>
        <v>2022</v>
      </c>
      <c r="K12" s="52">
        <f>YEAR(K11)</f>
        <v>2023</v>
      </c>
    </row>
    <row r="13" spans="2:13" x14ac:dyDescent="0.35">
      <c r="H13" s="4">
        <v>2013</v>
      </c>
      <c r="I13" s="4"/>
      <c r="J13" s="52">
        <f>J12-H13</f>
        <v>9</v>
      </c>
      <c r="K13" s="52">
        <f>K12-H13</f>
        <v>10</v>
      </c>
    </row>
    <row r="14" spans="2:13" x14ac:dyDescent="0.35">
      <c r="H14" s="4">
        <v>2017</v>
      </c>
      <c r="I14" s="4"/>
      <c r="J14" s="52">
        <f>J12-H14</f>
        <v>5</v>
      </c>
      <c r="K14" s="52">
        <f>K12-H14</f>
        <v>6</v>
      </c>
    </row>
    <row r="15" spans="2:13" x14ac:dyDescent="0.35">
      <c r="H15" s="4">
        <v>2020</v>
      </c>
      <c r="I15" s="4"/>
      <c r="J15" s="52">
        <f>J12-H15</f>
        <v>2</v>
      </c>
      <c r="K15" s="52">
        <f>K12-H15</f>
        <v>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4</vt:i4>
      </vt:variant>
    </vt:vector>
  </HeadingPairs>
  <TitlesOfParts>
    <vt:vector size="4" baseType="lpstr">
      <vt:lpstr>PDm</vt:lpstr>
      <vt:lpstr>справ нов</vt:lpstr>
      <vt:lpstr>бал нов</vt:lpstr>
      <vt:lpstr>перевод вопроса №4</vt:lpstr>
    </vt:vector>
  </TitlesOfParts>
  <Company>ПУМБ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Карнацкий Данила Сергеевич</dc:creator>
  <cp:lastModifiedBy>Овечко Анастасія Сергіївна</cp:lastModifiedBy>
  <dcterms:created xsi:type="dcterms:W3CDTF">2018-05-17T15:11:23Z</dcterms:created>
  <dcterms:modified xsi:type="dcterms:W3CDTF">2026-01-13T14:53:23Z</dcterms:modified>
</cp:coreProperties>
</file>